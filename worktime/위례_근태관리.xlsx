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근태" sheetId="2" state="visible" r:id="rId2"/>
    <sheet name="OT" sheetId="3" state="visible" r:id="rId3"/>
    <sheet name="코드" sheetId="4" state="visible" r:id="rId4"/>
    <sheet name="명부" sheetId="5" state="visible" r:id="rId5"/>
    <sheet name="공휴일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##"/>
  </numFmts>
  <fonts count="11">
    <font>
      <name val="Calibri"/>
      <family val="2"/>
      <color theme="1"/>
      <sz val="11"/>
      <scheme val="minor"/>
    </font>
    <font>
      <name val="맑은 고딕"/>
      <b val="1"/>
      <color rgb="001C4E80"/>
      <sz val="14"/>
    </font>
    <font>
      <name val="맑은 고딕"/>
      <color rgb="0016181D"/>
      <sz val="10"/>
    </font>
    <font>
      <name val="맑은 고딕"/>
      <b val="1"/>
      <color rgb="001C4E80"/>
      <sz val="11"/>
    </font>
    <font>
      <name val="맑은 고딕"/>
      <b val="1"/>
      <color rgb="0016181D"/>
      <sz val="9"/>
    </font>
    <font>
      <name val="맑은 고딕"/>
      <color rgb="006B7280"/>
      <sz val="9"/>
    </font>
    <font>
      <name val="맑은 고딕"/>
      <b val="1"/>
      <color rgb="0016181D"/>
      <sz val="10"/>
    </font>
    <font>
      <name val="맑은 고딕"/>
      <b val="1"/>
      <color rgb="001C4E80"/>
      <sz val="13"/>
    </font>
    <font>
      <name val="맑은 고딕"/>
      <color rgb="006B7280"/>
      <sz val="8"/>
    </font>
    <font>
      <name val="맑은 고딕"/>
      <b val="1"/>
      <color rgb="0016181D"/>
      <sz val="9.5"/>
    </font>
    <font>
      <name val="맑은 고딕"/>
      <color rgb="0016181D"/>
      <sz val="9"/>
    </font>
  </fonts>
  <fills count="5">
    <fill>
      <patternFill/>
    </fill>
    <fill>
      <patternFill patternType="gray125"/>
    </fill>
    <fill>
      <patternFill patternType="solid">
        <fgColor rgb="00EEF1F5"/>
      </patternFill>
    </fill>
    <fill>
      <patternFill patternType="solid">
        <fgColor rgb="00E6F4E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8DCE1"/>
      </left>
      <right style="thin">
        <color rgb="00D8DCE1"/>
      </right>
      <top style="thin">
        <color rgb="00D8DCE1"/>
      </top>
      <bottom style="thin">
        <color rgb="00D8DCE1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7" fillId="0" borderId="0" pivotButton="0" quotePrefix="0" xfId="0"/>
    <xf numFmtId="0" fontId="5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165" fontId="4" fillId="2" borderId="1" applyAlignment="1" pivotButton="0" quotePrefix="0" xfId="0">
      <alignment horizontal="center" vertical="center"/>
    </xf>
    <xf numFmtId="165" fontId="10" fillId="4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ill>
        <patternFill patternType="solid">
          <fgColor rgb="00F0F1F3"/>
        </patternFill>
      </fill>
    </dxf>
    <dxf>
      <fill>
        <patternFill patternType="solid">
          <fgColor rgb="00FDF3DD"/>
        </patternFill>
      </fill>
    </dxf>
    <dxf>
      <font>
        <name val="맑은 고딕"/>
        <b val="1"/>
        <color rgb="00B3261E"/>
      </font>
      <fill>
        <patternFill patternType="solid">
          <fgColor rgb="00FBEAE9"/>
        </patternFill>
      </fill>
    </dxf>
    <dxf>
      <font>
        <name val="맑은 고딕"/>
        <b val="1"/>
        <color rgb="000F7B4F"/>
      </font>
      <fill>
        <patternFill patternType="solid">
          <fgColor rgb="00E6F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위례 근태 관리 — Teams 공동 편집용</t>
        </is>
      </c>
    </row>
    <row r="2">
      <c r="A2" s="2" t="inlineStr"/>
    </row>
    <row r="3">
      <c r="A3" s="2" t="inlineStr">
        <is>
          <t>이 파일은 Teams(SharePoint)에 두고 모든 구성원이 동시에 편집합니다. 각자 자기 행만 고치면 되고, 30% 판정은 자동으로 계산됩니다.</t>
        </is>
      </c>
    </row>
    <row r="4">
      <c r="A4" s="2" t="inlineStr"/>
    </row>
    <row r="5">
      <c r="A5" s="3" t="inlineStr">
        <is>
          <t>1. 「근태」 시트 — 자기 이름 행에서 해당 날짜 칸을 고릅니다.</t>
        </is>
      </c>
    </row>
    <row r="6">
      <c r="A6" s="2" t="inlineStr">
        <is>
          <t xml:space="preserve">   · 빈칸이 8시간 근무입니다. 8시간을 채우는 날은 아무것도 넣지 마세요.</t>
        </is>
      </c>
    </row>
    <row r="7">
      <c r="A7" s="2" t="inlineStr">
        <is>
          <t xml:space="preserve">   · 8시간을 못 채우는 날만 드롭다운에서 사유를 고릅니다.</t>
        </is>
      </c>
    </row>
    <row r="8">
      <c r="A8" s="2" t="inlineStr">
        <is>
          <t xml:space="preserve">   · 노란 칸(B1·B2)에 연·월을 넣으면 날짜와 요일이 자동으로 바뀝니다.</t>
        </is>
      </c>
    </row>
    <row r="9">
      <c r="A9" s="2" t="inlineStr">
        <is>
          <t xml:space="preserve">   · 맨 아래 판정 행이 빨갛게 되면 그날 30%가 미달입니다 — 서로 조율하세요.</t>
        </is>
      </c>
    </row>
    <row r="10">
      <c r="A10" s="2" t="inlineStr"/>
    </row>
    <row r="11">
      <c r="A11" s="3" t="inlineStr">
        <is>
          <t>2. 「OT」 시트 — 날짜별 OT 시간을 시간 단위로 넣습니다 (1시간 45분 = 1.75).</t>
        </is>
      </c>
    </row>
    <row r="12">
      <c r="A12" s="2" t="inlineStr">
        <is>
          <t xml:space="preserve">   · 월 합계와 잔여가 자동 계산됩니다. 기본 가능시간은 노란 칸에 직접 넣으세요.</t>
        </is>
      </c>
    </row>
    <row r="13">
      <c r="A13" s="2" t="inlineStr">
        <is>
          <t xml:space="preserve">   · 휴가를 쓰면 그 시간만큼 OT 가능시간이 자동으로 늘어납니다.</t>
        </is>
      </c>
    </row>
    <row r="14">
      <c r="A14" s="2" t="inlineStr"/>
    </row>
    <row r="15">
      <c r="A15" s="3" t="inlineStr">
        <is>
          <t>3. 「명부」·「공휴일」 — 인원 변동과 휴일이 바뀔 때만 고칩니다.</t>
        </is>
      </c>
    </row>
    <row r="16">
      <c r="A16" s="2" t="inlineStr"/>
    </row>
    <row r="17">
      <c r="A17" s="3" t="inlineStr">
        <is>
          <t>근무 시각 조합이 규칙에 맞는지 확인하려면</t>
        </is>
      </c>
    </row>
    <row r="18">
      <c r="A18" s="2" t="inlineStr">
        <is>
          <t>worktime/index.html (근태·초과근무 관리 도구) 의 「규칙 · 검증기」 탭을 쓰세요. 코어타임·휴게시간·반차 배치 규칙을 시각 단위로 검증해 줍니다.</t>
        </is>
      </c>
    </row>
    <row r="19">
      <c r="A19" s="2" t="inlineStr"/>
    </row>
    <row r="20">
      <c r="A20" s="3" t="inlineStr">
        <is>
          <t>30% 판정 기준</t>
        </is>
      </c>
    </row>
    <row r="21">
      <c r="A21" s="2" t="inlineStr">
        <is>
          <t>필요 인원 = 활성 인원(휴직 제외) × 30%, 올림. 직책자(팀장·파트장) 중 1명 이상이 8시간에 포함되어야 합니다. 파트 최소 인원 조건은 팀장 승인 시 유예됩니다.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8"/>
  <sheetViews>
    <sheetView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6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</cols>
  <sheetData>
    <row r="1">
      <c r="A1" s="4" t="inlineStr">
        <is>
          <t>연</t>
        </is>
      </c>
      <c r="B1" s="5" t="n">
        <v>2026</v>
      </c>
      <c r="D1" s="6" t="inlineStr">
        <is>
          <t>근태 — 빈칸이 8시간 근무입니다. 못 채우는 날만 사유를 고르세요</t>
        </is>
      </c>
    </row>
    <row r="2">
      <c r="A2" s="4" t="inlineStr">
        <is>
          <t>월</t>
        </is>
      </c>
      <c r="B2" s="5" t="n">
        <v>9</v>
      </c>
      <c r="D2" s="7" t="inlineStr">
        <is>
          <t>노란 칸에 연·월을 넣으면 날짜와 요일이 자동으로 바뀝니다</t>
        </is>
      </c>
    </row>
    <row r="4">
      <c r="D4" s="8">
        <f>IF(MONTH(DATE($B$1,$B$2,COLUMN()-3))&lt;&gt;$B$2,"",COLUMN()-3)</f>
        <v/>
      </c>
      <c r="E4" s="8">
        <f>IF(MONTH(DATE($B$1,$B$2,COLUMN()-3))&lt;&gt;$B$2,"",COLUMN()-3)</f>
        <v/>
      </c>
      <c r="F4" s="8">
        <f>IF(MONTH(DATE($B$1,$B$2,COLUMN()-3))&lt;&gt;$B$2,"",COLUMN()-3)</f>
        <v/>
      </c>
      <c r="G4" s="8">
        <f>IF(MONTH(DATE($B$1,$B$2,COLUMN()-3))&lt;&gt;$B$2,"",COLUMN()-3)</f>
        <v/>
      </c>
      <c r="H4" s="8">
        <f>IF(MONTH(DATE($B$1,$B$2,COLUMN()-3))&lt;&gt;$B$2,"",COLUMN()-3)</f>
        <v/>
      </c>
      <c r="I4" s="8">
        <f>IF(MONTH(DATE($B$1,$B$2,COLUMN()-3))&lt;&gt;$B$2,"",COLUMN()-3)</f>
        <v/>
      </c>
      <c r="J4" s="8">
        <f>IF(MONTH(DATE($B$1,$B$2,COLUMN()-3))&lt;&gt;$B$2,"",COLUMN()-3)</f>
        <v/>
      </c>
      <c r="K4" s="8">
        <f>IF(MONTH(DATE($B$1,$B$2,COLUMN()-3))&lt;&gt;$B$2,"",COLUMN()-3)</f>
        <v/>
      </c>
      <c r="L4" s="8">
        <f>IF(MONTH(DATE($B$1,$B$2,COLUMN()-3))&lt;&gt;$B$2,"",COLUMN()-3)</f>
        <v/>
      </c>
      <c r="M4" s="8">
        <f>IF(MONTH(DATE($B$1,$B$2,COLUMN()-3))&lt;&gt;$B$2,"",COLUMN()-3)</f>
        <v/>
      </c>
      <c r="N4" s="8">
        <f>IF(MONTH(DATE($B$1,$B$2,COLUMN()-3))&lt;&gt;$B$2,"",COLUMN()-3)</f>
        <v/>
      </c>
      <c r="O4" s="8">
        <f>IF(MONTH(DATE($B$1,$B$2,COLUMN()-3))&lt;&gt;$B$2,"",COLUMN()-3)</f>
        <v/>
      </c>
      <c r="P4" s="8">
        <f>IF(MONTH(DATE($B$1,$B$2,COLUMN()-3))&lt;&gt;$B$2,"",COLUMN()-3)</f>
        <v/>
      </c>
      <c r="Q4" s="8">
        <f>IF(MONTH(DATE($B$1,$B$2,COLUMN()-3))&lt;&gt;$B$2,"",COLUMN()-3)</f>
        <v/>
      </c>
      <c r="R4" s="8">
        <f>IF(MONTH(DATE($B$1,$B$2,COLUMN()-3))&lt;&gt;$B$2,"",COLUMN()-3)</f>
        <v/>
      </c>
      <c r="S4" s="8">
        <f>IF(MONTH(DATE($B$1,$B$2,COLUMN()-3))&lt;&gt;$B$2,"",COLUMN()-3)</f>
        <v/>
      </c>
      <c r="T4" s="8">
        <f>IF(MONTH(DATE($B$1,$B$2,COLUMN()-3))&lt;&gt;$B$2,"",COLUMN()-3)</f>
        <v/>
      </c>
      <c r="U4" s="8">
        <f>IF(MONTH(DATE($B$1,$B$2,COLUMN()-3))&lt;&gt;$B$2,"",COLUMN()-3)</f>
        <v/>
      </c>
      <c r="V4" s="8">
        <f>IF(MONTH(DATE($B$1,$B$2,COLUMN()-3))&lt;&gt;$B$2,"",COLUMN()-3)</f>
        <v/>
      </c>
      <c r="W4" s="8">
        <f>IF(MONTH(DATE($B$1,$B$2,COLUMN()-3))&lt;&gt;$B$2,"",COLUMN()-3)</f>
        <v/>
      </c>
      <c r="X4" s="8">
        <f>IF(MONTH(DATE($B$1,$B$2,COLUMN()-3))&lt;&gt;$B$2,"",COLUMN()-3)</f>
        <v/>
      </c>
      <c r="Y4" s="8">
        <f>IF(MONTH(DATE($B$1,$B$2,COLUMN()-3))&lt;&gt;$B$2,"",COLUMN()-3)</f>
        <v/>
      </c>
      <c r="Z4" s="8">
        <f>IF(MONTH(DATE($B$1,$B$2,COLUMN()-3))&lt;&gt;$B$2,"",COLUMN()-3)</f>
        <v/>
      </c>
      <c r="AA4" s="8">
        <f>IF(MONTH(DATE($B$1,$B$2,COLUMN()-3))&lt;&gt;$B$2,"",COLUMN()-3)</f>
        <v/>
      </c>
      <c r="AB4" s="8">
        <f>IF(MONTH(DATE($B$1,$B$2,COLUMN()-3))&lt;&gt;$B$2,"",COLUMN()-3)</f>
        <v/>
      </c>
      <c r="AC4" s="8">
        <f>IF(MONTH(DATE($B$1,$B$2,COLUMN()-3))&lt;&gt;$B$2,"",COLUMN()-3)</f>
        <v/>
      </c>
      <c r="AD4" s="8">
        <f>IF(MONTH(DATE($B$1,$B$2,COLUMN()-3))&lt;&gt;$B$2,"",COLUMN()-3)</f>
        <v/>
      </c>
      <c r="AE4" s="8">
        <f>IF(MONTH(DATE($B$1,$B$2,COLUMN()-3))&lt;&gt;$B$2,"",COLUMN()-3)</f>
        <v/>
      </c>
      <c r="AF4" s="8">
        <f>IF(MONTH(DATE($B$1,$B$2,COLUMN()-3))&lt;&gt;$B$2,"",COLUMN()-3)</f>
        <v/>
      </c>
      <c r="AG4" s="8">
        <f>IF(MONTH(DATE($B$1,$B$2,COLUMN()-3))&lt;&gt;$B$2,"",COLUMN()-3)</f>
        <v/>
      </c>
      <c r="AH4" s="8">
        <f>IF(MONTH(DATE($B$1,$B$2,COLUMN()-3))&lt;&gt;$B$2,"",COLUMN()-3)</f>
        <v/>
      </c>
    </row>
    <row r="5">
      <c r="D5" s="9">
        <f>IF(D$4="","",INDEX(코드!$H$2:$H$8,WEEKDAY(DATE($B$1,$B$2,D$4))))</f>
        <v/>
      </c>
      <c r="E5" s="9">
        <f>IF(E$4="","",INDEX(코드!$H$2:$H$8,WEEKDAY(DATE($B$1,$B$2,E$4))))</f>
        <v/>
      </c>
      <c r="F5" s="9">
        <f>IF(F$4="","",INDEX(코드!$H$2:$H$8,WEEKDAY(DATE($B$1,$B$2,F$4))))</f>
        <v/>
      </c>
      <c r="G5" s="9">
        <f>IF(G$4="","",INDEX(코드!$H$2:$H$8,WEEKDAY(DATE($B$1,$B$2,G$4))))</f>
        <v/>
      </c>
      <c r="H5" s="9">
        <f>IF(H$4="","",INDEX(코드!$H$2:$H$8,WEEKDAY(DATE($B$1,$B$2,H$4))))</f>
        <v/>
      </c>
      <c r="I5" s="9">
        <f>IF(I$4="","",INDEX(코드!$H$2:$H$8,WEEKDAY(DATE($B$1,$B$2,I$4))))</f>
        <v/>
      </c>
      <c r="J5" s="9">
        <f>IF(J$4="","",INDEX(코드!$H$2:$H$8,WEEKDAY(DATE($B$1,$B$2,J$4))))</f>
        <v/>
      </c>
      <c r="K5" s="9">
        <f>IF(K$4="","",INDEX(코드!$H$2:$H$8,WEEKDAY(DATE($B$1,$B$2,K$4))))</f>
        <v/>
      </c>
      <c r="L5" s="9">
        <f>IF(L$4="","",INDEX(코드!$H$2:$H$8,WEEKDAY(DATE($B$1,$B$2,L$4))))</f>
        <v/>
      </c>
      <c r="M5" s="9">
        <f>IF(M$4="","",INDEX(코드!$H$2:$H$8,WEEKDAY(DATE($B$1,$B$2,M$4))))</f>
        <v/>
      </c>
      <c r="N5" s="9">
        <f>IF(N$4="","",INDEX(코드!$H$2:$H$8,WEEKDAY(DATE($B$1,$B$2,N$4))))</f>
        <v/>
      </c>
      <c r="O5" s="9">
        <f>IF(O$4="","",INDEX(코드!$H$2:$H$8,WEEKDAY(DATE($B$1,$B$2,O$4))))</f>
        <v/>
      </c>
      <c r="P5" s="9">
        <f>IF(P$4="","",INDEX(코드!$H$2:$H$8,WEEKDAY(DATE($B$1,$B$2,P$4))))</f>
        <v/>
      </c>
      <c r="Q5" s="9">
        <f>IF(Q$4="","",INDEX(코드!$H$2:$H$8,WEEKDAY(DATE($B$1,$B$2,Q$4))))</f>
        <v/>
      </c>
      <c r="R5" s="9">
        <f>IF(R$4="","",INDEX(코드!$H$2:$H$8,WEEKDAY(DATE($B$1,$B$2,R$4))))</f>
        <v/>
      </c>
      <c r="S5" s="9">
        <f>IF(S$4="","",INDEX(코드!$H$2:$H$8,WEEKDAY(DATE($B$1,$B$2,S$4))))</f>
        <v/>
      </c>
      <c r="T5" s="9">
        <f>IF(T$4="","",INDEX(코드!$H$2:$H$8,WEEKDAY(DATE($B$1,$B$2,T$4))))</f>
        <v/>
      </c>
      <c r="U5" s="9">
        <f>IF(U$4="","",INDEX(코드!$H$2:$H$8,WEEKDAY(DATE($B$1,$B$2,U$4))))</f>
        <v/>
      </c>
      <c r="V5" s="9">
        <f>IF(V$4="","",INDEX(코드!$H$2:$H$8,WEEKDAY(DATE($B$1,$B$2,V$4))))</f>
        <v/>
      </c>
      <c r="W5" s="9">
        <f>IF(W$4="","",INDEX(코드!$H$2:$H$8,WEEKDAY(DATE($B$1,$B$2,W$4))))</f>
        <v/>
      </c>
      <c r="X5" s="9">
        <f>IF(X$4="","",INDEX(코드!$H$2:$H$8,WEEKDAY(DATE($B$1,$B$2,X$4))))</f>
        <v/>
      </c>
      <c r="Y5" s="9">
        <f>IF(Y$4="","",INDEX(코드!$H$2:$H$8,WEEKDAY(DATE($B$1,$B$2,Y$4))))</f>
        <v/>
      </c>
      <c r="Z5" s="9">
        <f>IF(Z$4="","",INDEX(코드!$H$2:$H$8,WEEKDAY(DATE($B$1,$B$2,Z$4))))</f>
        <v/>
      </c>
      <c r="AA5" s="9">
        <f>IF(AA$4="","",INDEX(코드!$H$2:$H$8,WEEKDAY(DATE($B$1,$B$2,AA$4))))</f>
        <v/>
      </c>
      <c r="AB5" s="9">
        <f>IF(AB$4="","",INDEX(코드!$H$2:$H$8,WEEKDAY(DATE($B$1,$B$2,AB$4))))</f>
        <v/>
      </c>
      <c r="AC5" s="9">
        <f>IF(AC$4="","",INDEX(코드!$H$2:$H$8,WEEKDAY(DATE($B$1,$B$2,AC$4))))</f>
        <v/>
      </c>
      <c r="AD5" s="9">
        <f>IF(AD$4="","",INDEX(코드!$H$2:$H$8,WEEKDAY(DATE($B$1,$B$2,AD$4))))</f>
        <v/>
      </c>
      <c r="AE5" s="9">
        <f>IF(AE$4="","",INDEX(코드!$H$2:$H$8,WEEKDAY(DATE($B$1,$B$2,AE$4))))</f>
        <v/>
      </c>
      <c r="AF5" s="9">
        <f>IF(AF$4="","",INDEX(코드!$H$2:$H$8,WEEKDAY(DATE($B$1,$B$2,AF$4))))</f>
        <v/>
      </c>
      <c r="AG5" s="9">
        <f>IF(AG$4="","",INDEX(코드!$H$2:$H$8,WEEKDAY(DATE($B$1,$B$2,AG$4))))</f>
        <v/>
      </c>
      <c r="AH5" s="9">
        <f>IF(AH$4="","",INDEX(코드!$H$2:$H$8,WEEKDAY(DATE($B$1,$B$2,AH$4))))</f>
        <v/>
      </c>
    </row>
    <row r="6">
      <c r="D6" s="10">
        <f>IF(D$4="","",IF(OR(WEEKDAY(DATE($B$1,$B$2,D$4),2)&gt;5,COUNTIF(공휴일!$A$2:$A$400,DATE($B$1,$B$2,D$4))&gt;0),"휴일",""))</f>
        <v/>
      </c>
      <c r="E6" s="10">
        <f>IF(E$4="","",IF(OR(WEEKDAY(DATE($B$1,$B$2,E$4),2)&gt;5,COUNTIF(공휴일!$A$2:$A$400,DATE($B$1,$B$2,E$4))&gt;0),"휴일",""))</f>
        <v/>
      </c>
      <c r="F6" s="10">
        <f>IF(F$4="","",IF(OR(WEEKDAY(DATE($B$1,$B$2,F$4),2)&gt;5,COUNTIF(공휴일!$A$2:$A$400,DATE($B$1,$B$2,F$4))&gt;0),"휴일",""))</f>
        <v/>
      </c>
      <c r="G6" s="10">
        <f>IF(G$4="","",IF(OR(WEEKDAY(DATE($B$1,$B$2,G$4),2)&gt;5,COUNTIF(공휴일!$A$2:$A$400,DATE($B$1,$B$2,G$4))&gt;0),"휴일",""))</f>
        <v/>
      </c>
      <c r="H6" s="10">
        <f>IF(H$4="","",IF(OR(WEEKDAY(DATE($B$1,$B$2,H$4),2)&gt;5,COUNTIF(공휴일!$A$2:$A$400,DATE($B$1,$B$2,H$4))&gt;0),"휴일",""))</f>
        <v/>
      </c>
      <c r="I6" s="10">
        <f>IF(I$4="","",IF(OR(WEEKDAY(DATE($B$1,$B$2,I$4),2)&gt;5,COUNTIF(공휴일!$A$2:$A$400,DATE($B$1,$B$2,I$4))&gt;0),"휴일",""))</f>
        <v/>
      </c>
      <c r="J6" s="10">
        <f>IF(J$4="","",IF(OR(WEEKDAY(DATE($B$1,$B$2,J$4),2)&gt;5,COUNTIF(공휴일!$A$2:$A$400,DATE($B$1,$B$2,J$4))&gt;0),"휴일",""))</f>
        <v/>
      </c>
      <c r="K6" s="10">
        <f>IF(K$4="","",IF(OR(WEEKDAY(DATE($B$1,$B$2,K$4),2)&gt;5,COUNTIF(공휴일!$A$2:$A$400,DATE($B$1,$B$2,K$4))&gt;0),"휴일",""))</f>
        <v/>
      </c>
      <c r="L6" s="10">
        <f>IF(L$4="","",IF(OR(WEEKDAY(DATE($B$1,$B$2,L$4),2)&gt;5,COUNTIF(공휴일!$A$2:$A$400,DATE($B$1,$B$2,L$4))&gt;0),"휴일",""))</f>
        <v/>
      </c>
      <c r="M6" s="10">
        <f>IF(M$4="","",IF(OR(WEEKDAY(DATE($B$1,$B$2,M$4),2)&gt;5,COUNTIF(공휴일!$A$2:$A$400,DATE($B$1,$B$2,M$4))&gt;0),"휴일",""))</f>
        <v/>
      </c>
      <c r="N6" s="10">
        <f>IF(N$4="","",IF(OR(WEEKDAY(DATE($B$1,$B$2,N$4),2)&gt;5,COUNTIF(공휴일!$A$2:$A$400,DATE($B$1,$B$2,N$4))&gt;0),"휴일",""))</f>
        <v/>
      </c>
      <c r="O6" s="10">
        <f>IF(O$4="","",IF(OR(WEEKDAY(DATE($B$1,$B$2,O$4),2)&gt;5,COUNTIF(공휴일!$A$2:$A$400,DATE($B$1,$B$2,O$4))&gt;0),"휴일",""))</f>
        <v/>
      </c>
      <c r="P6" s="10">
        <f>IF(P$4="","",IF(OR(WEEKDAY(DATE($B$1,$B$2,P$4),2)&gt;5,COUNTIF(공휴일!$A$2:$A$400,DATE($B$1,$B$2,P$4))&gt;0),"휴일",""))</f>
        <v/>
      </c>
      <c r="Q6" s="10">
        <f>IF(Q$4="","",IF(OR(WEEKDAY(DATE($B$1,$B$2,Q$4),2)&gt;5,COUNTIF(공휴일!$A$2:$A$400,DATE($B$1,$B$2,Q$4))&gt;0),"휴일",""))</f>
        <v/>
      </c>
      <c r="R6" s="10">
        <f>IF(R$4="","",IF(OR(WEEKDAY(DATE($B$1,$B$2,R$4),2)&gt;5,COUNTIF(공휴일!$A$2:$A$400,DATE($B$1,$B$2,R$4))&gt;0),"휴일",""))</f>
        <v/>
      </c>
      <c r="S6" s="10">
        <f>IF(S$4="","",IF(OR(WEEKDAY(DATE($B$1,$B$2,S$4),2)&gt;5,COUNTIF(공휴일!$A$2:$A$400,DATE($B$1,$B$2,S$4))&gt;0),"휴일",""))</f>
        <v/>
      </c>
      <c r="T6" s="10">
        <f>IF(T$4="","",IF(OR(WEEKDAY(DATE($B$1,$B$2,T$4),2)&gt;5,COUNTIF(공휴일!$A$2:$A$400,DATE($B$1,$B$2,T$4))&gt;0),"휴일",""))</f>
        <v/>
      </c>
      <c r="U6" s="10">
        <f>IF(U$4="","",IF(OR(WEEKDAY(DATE($B$1,$B$2,U$4),2)&gt;5,COUNTIF(공휴일!$A$2:$A$400,DATE($B$1,$B$2,U$4))&gt;0),"휴일",""))</f>
        <v/>
      </c>
      <c r="V6" s="10">
        <f>IF(V$4="","",IF(OR(WEEKDAY(DATE($B$1,$B$2,V$4),2)&gt;5,COUNTIF(공휴일!$A$2:$A$400,DATE($B$1,$B$2,V$4))&gt;0),"휴일",""))</f>
        <v/>
      </c>
      <c r="W6" s="10">
        <f>IF(W$4="","",IF(OR(WEEKDAY(DATE($B$1,$B$2,W$4),2)&gt;5,COUNTIF(공휴일!$A$2:$A$400,DATE($B$1,$B$2,W$4))&gt;0),"휴일",""))</f>
        <v/>
      </c>
      <c r="X6" s="10">
        <f>IF(X$4="","",IF(OR(WEEKDAY(DATE($B$1,$B$2,X$4),2)&gt;5,COUNTIF(공휴일!$A$2:$A$400,DATE($B$1,$B$2,X$4))&gt;0),"휴일",""))</f>
        <v/>
      </c>
      <c r="Y6" s="10">
        <f>IF(Y$4="","",IF(OR(WEEKDAY(DATE($B$1,$B$2,Y$4),2)&gt;5,COUNTIF(공휴일!$A$2:$A$400,DATE($B$1,$B$2,Y$4))&gt;0),"휴일",""))</f>
        <v/>
      </c>
      <c r="Z6" s="10">
        <f>IF(Z$4="","",IF(OR(WEEKDAY(DATE($B$1,$B$2,Z$4),2)&gt;5,COUNTIF(공휴일!$A$2:$A$400,DATE($B$1,$B$2,Z$4))&gt;0),"휴일",""))</f>
        <v/>
      </c>
      <c r="AA6" s="10">
        <f>IF(AA$4="","",IF(OR(WEEKDAY(DATE($B$1,$B$2,AA$4),2)&gt;5,COUNTIF(공휴일!$A$2:$A$400,DATE($B$1,$B$2,AA$4))&gt;0),"휴일",""))</f>
        <v/>
      </c>
      <c r="AB6" s="10">
        <f>IF(AB$4="","",IF(OR(WEEKDAY(DATE($B$1,$B$2,AB$4),2)&gt;5,COUNTIF(공휴일!$A$2:$A$400,DATE($B$1,$B$2,AB$4))&gt;0),"휴일",""))</f>
        <v/>
      </c>
      <c r="AC6" s="10">
        <f>IF(AC$4="","",IF(OR(WEEKDAY(DATE($B$1,$B$2,AC$4),2)&gt;5,COUNTIF(공휴일!$A$2:$A$400,DATE($B$1,$B$2,AC$4))&gt;0),"휴일",""))</f>
        <v/>
      </c>
      <c r="AD6" s="10">
        <f>IF(AD$4="","",IF(OR(WEEKDAY(DATE($B$1,$B$2,AD$4),2)&gt;5,COUNTIF(공휴일!$A$2:$A$400,DATE($B$1,$B$2,AD$4))&gt;0),"휴일",""))</f>
        <v/>
      </c>
      <c r="AE6" s="10">
        <f>IF(AE$4="","",IF(OR(WEEKDAY(DATE($B$1,$B$2,AE$4),2)&gt;5,COUNTIF(공휴일!$A$2:$A$400,DATE($B$1,$B$2,AE$4))&gt;0),"휴일",""))</f>
        <v/>
      </c>
      <c r="AF6" s="10">
        <f>IF(AF$4="","",IF(OR(WEEKDAY(DATE($B$1,$B$2,AF$4),2)&gt;5,COUNTIF(공휴일!$A$2:$A$400,DATE($B$1,$B$2,AF$4))&gt;0),"휴일",""))</f>
        <v/>
      </c>
      <c r="AG6" s="10">
        <f>IF(AG$4="","",IF(OR(WEEKDAY(DATE($B$1,$B$2,AG$4),2)&gt;5,COUNTIF(공휴일!$A$2:$A$400,DATE($B$1,$B$2,AG$4))&gt;0),"휴일",""))</f>
        <v/>
      </c>
      <c r="AH6" s="10">
        <f>IF(AH$4="","",IF(OR(WEEKDAY(DATE($B$1,$B$2,AH$4),2)&gt;5,COUNTIF(공휴일!$A$2:$A$400,DATE($B$1,$B$2,AH$4))&gt;0),"휴일",""))</f>
        <v/>
      </c>
    </row>
    <row r="7">
      <c r="A7" s="8" t="inlineStr">
        <is>
          <t>이름</t>
        </is>
      </c>
      <c r="B7" s="8" t="inlineStr">
        <is>
          <t>파트</t>
        </is>
      </c>
      <c r="C7" s="8" t="inlineStr">
        <is>
          <t>그룹</t>
        </is>
      </c>
    </row>
    <row r="8">
      <c r="A8" s="11">
        <f>IF(명부!A2="","",명부!A2)</f>
        <v/>
      </c>
      <c r="B8" s="12">
        <f>IF(명부!C2="","",명부!C2)</f>
        <v/>
      </c>
      <c r="C8" s="13">
        <f>IF(명부!E2="","",명부!E2)</f>
        <v/>
      </c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  <c r="Q8" s="14" t="n"/>
      <c r="R8" s="14" t="n"/>
      <c r="S8" s="14" t="n"/>
      <c r="T8" s="14" t="n"/>
      <c r="U8" s="14" t="n"/>
      <c r="V8" s="14" t="n"/>
      <c r="W8" s="14" t="n"/>
      <c r="X8" s="14" t="n"/>
      <c r="Y8" s="14" t="n"/>
      <c r="Z8" s="14" t="n"/>
      <c r="AA8" s="14" t="n"/>
      <c r="AB8" s="14" t="n"/>
      <c r="AC8" s="14" t="n"/>
      <c r="AD8" s="14" t="n"/>
      <c r="AE8" s="14" t="n"/>
      <c r="AF8" s="14" t="n"/>
      <c r="AG8" s="14" t="n"/>
      <c r="AH8" s="14" t="n"/>
    </row>
    <row r="9">
      <c r="A9" s="11">
        <f>IF(명부!A3="","",명부!A3)</f>
        <v/>
      </c>
      <c r="B9" s="12">
        <f>IF(명부!C3="","",명부!C3)</f>
        <v/>
      </c>
      <c r="C9" s="13">
        <f>IF(명부!E3="","",명부!E3)</f>
        <v/>
      </c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14" t="n"/>
      <c r="AC9" s="14" t="n"/>
      <c r="AD9" s="14" t="n"/>
      <c r="AE9" s="14" t="n"/>
      <c r="AF9" s="14" t="n"/>
      <c r="AG9" s="14" t="n"/>
      <c r="AH9" s="14" t="n"/>
    </row>
    <row r="10">
      <c r="A10" s="11">
        <f>IF(명부!A4="","",명부!A4)</f>
        <v/>
      </c>
      <c r="B10" s="12">
        <f>IF(명부!C4="","",명부!C4)</f>
        <v/>
      </c>
      <c r="C10" s="13">
        <f>IF(명부!E4="","",명부!E4)</f>
        <v/>
      </c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  <c r="Z10" s="14" t="n"/>
      <c r="AA10" s="14" t="n"/>
      <c r="AB10" s="14" t="n"/>
      <c r="AC10" s="14" t="n"/>
      <c r="AD10" s="14" t="n"/>
      <c r="AE10" s="14" t="n"/>
      <c r="AF10" s="14" t="n"/>
      <c r="AG10" s="14" t="n"/>
      <c r="AH10" s="14" t="n"/>
    </row>
    <row r="11">
      <c r="A11" s="11">
        <f>IF(명부!A5="","",명부!A5)</f>
        <v/>
      </c>
      <c r="B11" s="12">
        <f>IF(명부!C5="","",명부!C5)</f>
        <v/>
      </c>
      <c r="C11" s="13">
        <f>IF(명부!E5="","",명부!E5)</f>
        <v/>
      </c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  <c r="U11" s="14" t="n"/>
      <c r="V11" s="14" t="n"/>
      <c r="W11" s="14" t="n"/>
      <c r="X11" s="14" t="n"/>
      <c r="Y11" s="14" t="n"/>
      <c r="Z11" s="14" t="n"/>
      <c r="AA11" s="14" t="n"/>
      <c r="AB11" s="14" t="n"/>
      <c r="AC11" s="14" t="n"/>
      <c r="AD11" s="14" t="n"/>
      <c r="AE11" s="14" t="n"/>
      <c r="AF11" s="14" t="n"/>
      <c r="AG11" s="14" t="n"/>
      <c r="AH11" s="14" t="n"/>
    </row>
    <row r="12">
      <c r="A12" s="11">
        <f>IF(명부!A6="","",명부!A6)</f>
        <v/>
      </c>
      <c r="B12" s="12">
        <f>IF(명부!C6="","",명부!C6)</f>
        <v/>
      </c>
      <c r="C12" s="13">
        <f>IF(명부!E6="","",명부!E6)</f>
        <v/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  <c r="X12" s="14" t="n"/>
      <c r="Y12" s="14" t="n"/>
      <c r="Z12" s="14" t="n"/>
      <c r="AA12" s="14" t="n"/>
      <c r="AB12" s="14" t="n"/>
      <c r="AC12" s="14" t="n"/>
      <c r="AD12" s="14" t="n"/>
      <c r="AE12" s="14" t="n"/>
      <c r="AF12" s="14" t="n"/>
      <c r="AG12" s="14" t="n"/>
      <c r="AH12" s="14" t="n"/>
    </row>
    <row r="13">
      <c r="A13" s="11">
        <f>IF(명부!A7="","",명부!A7)</f>
        <v/>
      </c>
      <c r="B13" s="12">
        <f>IF(명부!C7="","",명부!C7)</f>
        <v/>
      </c>
      <c r="C13" s="13">
        <f>IF(명부!E7="","",명부!E7)</f>
        <v/>
      </c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14" t="n"/>
      <c r="S13" s="14" t="n"/>
      <c r="T13" s="14" t="n"/>
      <c r="U13" s="14" t="n"/>
      <c r="V13" s="14" t="n"/>
      <c r="W13" s="14" t="n"/>
      <c r="X13" s="14" t="n"/>
      <c r="Y13" s="14" t="n"/>
      <c r="Z13" s="14" t="n"/>
      <c r="AA13" s="14" t="n"/>
      <c r="AB13" s="14" t="n"/>
      <c r="AC13" s="14" t="n"/>
      <c r="AD13" s="14" t="n"/>
      <c r="AE13" s="14" t="n"/>
      <c r="AF13" s="14" t="n"/>
      <c r="AG13" s="14" t="n"/>
      <c r="AH13" s="14" t="n"/>
    </row>
    <row r="14">
      <c r="A14" s="11">
        <f>IF(명부!A8="","",명부!A8)</f>
        <v/>
      </c>
      <c r="B14" s="12">
        <f>IF(명부!C8="","",명부!C8)</f>
        <v/>
      </c>
      <c r="C14" s="13">
        <f>IF(명부!E8="","",명부!E8)</f>
        <v/>
      </c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14" t="n"/>
      <c r="S14" s="14" t="n"/>
      <c r="T14" s="14" t="n"/>
      <c r="U14" s="14" t="n"/>
      <c r="V14" s="14" t="n"/>
      <c r="W14" s="14" t="n"/>
      <c r="X14" s="14" t="n"/>
      <c r="Y14" s="14" t="n"/>
      <c r="Z14" s="14" t="n"/>
      <c r="AA14" s="14" t="n"/>
      <c r="AB14" s="14" t="n"/>
      <c r="AC14" s="14" t="n"/>
      <c r="AD14" s="14" t="n"/>
      <c r="AE14" s="14" t="n"/>
      <c r="AF14" s="14" t="n"/>
      <c r="AG14" s="14" t="n"/>
      <c r="AH14" s="14" t="n"/>
    </row>
    <row r="15">
      <c r="A15" s="11">
        <f>IF(명부!A9="","",명부!A9)</f>
        <v/>
      </c>
      <c r="B15" s="12">
        <f>IF(명부!C9="","",명부!C9)</f>
        <v/>
      </c>
      <c r="C15" s="13">
        <f>IF(명부!E9="","",명부!E9)</f>
        <v/>
      </c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  <c r="X15" s="14" t="n"/>
      <c r="Y15" s="14" t="n"/>
      <c r="Z15" s="14" t="n"/>
      <c r="AA15" s="14" t="n"/>
      <c r="AB15" s="14" t="n"/>
      <c r="AC15" s="14" t="n"/>
      <c r="AD15" s="14" t="n"/>
      <c r="AE15" s="14" t="n"/>
      <c r="AF15" s="14" t="n"/>
      <c r="AG15" s="14" t="n"/>
      <c r="AH15" s="14" t="n"/>
    </row>
    <row r="16">
      <c r="A16" s="11">
        <f>IF(명부!A10="","",명부!A10)</f>
        <v/>
      </c>
      <c r="B16" s="12">
        <f>IF(명부!C10="","",명부!C10)</f>
        <v/>
      </c>
      <c r="C16" s="13">
        <f>IF(명부!E10="","",명부!E10)</f>
        <v/>
      </c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14" t="n"/>
      <c r="S16" s="14" t="n"/>
      <c r="T16" s="14" t="n"/>
      <c r="U16" s="14" t="n"/>
      <c r="V16" s="14" t="n"/>
      <c r="W16" s="14" t="n"/>
      <c r="X16" s="14" t="n"/>
      <c r="Y16" s="14" t="n"/>
      <c r="Z16" s="14" t="n"/>
      <c r="AA16" s="14" t="n"/>
      <c r="AB16" s="14" t="n"/>
      <c r="AC16" s="14" t="n"/>
      <c r="AD16" s="14" t="n"/>
      <c r="AE16" s="14" t="n"/>
      <c r="AF16" s="14" t="n"/>
      <c r="AG16" s="14" t="n"/>
      <c r="AH16" s="14" t="n"/>
    </row>
    <row r="17">
      <c r="A17" s="11">
        <f>IF(명부!A11="","",명부!A11)</f>
        <v/>
      </c>
      <c r="B17" s="12">
        <f>IF(명부!C11="","",명부!C11)</f>
        <v/>
      </c>
      <c r="C17" s="13">
        <f>IF(명부!E11="","",명부!E11)</f>
        <v/>
      </c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  <c r="S17" s="14" t="n"/>
      <c r="T17" s="14" t="n"/>
      <c r="U17" s="14" t="n"/>
      <c r="V17" s="14" t="n"/>
      <c r="W17" s="14" t="n"/>
      <c r="X17" s="14" t="n"/>
      <c r="Y17" s="14" t="n"/>
      <c r="Z17" s="14" t="n"/>
      <c r="AA17" s="14" t="n"/>
      <c r="AB17" s="14" t="n"/>
      <c r="AC17" s="14" t="n"/>
      <c r="AD17" s="14" t="n"/>
      <c r="AE17" s="14" t="n"/>
      <c r="AF17" s="14" t="n"/>
      <c r="AG17" s="14" t="n"/>
      <c r="AH17" s="14" t="n"/>
    </row>
    <row r="18">
      <c r="A18" s="11">
        <f>IF(명부!A12="","",명부!A12)</f>
        <v/>
      </c>
      <c r="B18" s="12">
        <f>IF(명부!C12="","",명부!C12)</f>
        <v/>
      </c>
      <c r="C18" s="13">
        <f>IF(명부!E12="","",명부!E12)</f>
        <v/>
      </c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  <c r="X18" s="14" t="n"/>
      <c r="Y18" s="14" t="n"/>
      <c r="Z18" s="14" t="n"/>
      <c r="AA18" s="14" t="n"/>
      <c r="AB18" s="14" t="n"/>
      <c r="AC18" s="14" t="n"/>
      <c r="AD18" s="14" t="n"/>
      <c r="AE18" s="14" t="n"/>
      <c r="AF18" s="14" t="n"/>
      <c r="AG18" s="14" t="n"/>
      <c r="AH18" s="14" t="n"/>
    </row>
    <row r="19">
      <c r="A19" s="11">
        <f>IF(명부!A13="","",명부!A13)</f>
        <v/>
      </c>
      <c r="B19" s="12">
        <f>IF(명부!C13="","",명부!C13)</f>
        <v/>
      </c>
      <c r="C19" s="13">
        <f>IF(명부!E13="","",명부!E13)</f>
        <v/>
      </c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  <c r="R19" s="14" t="n"/>
      <c r="S19" s="14" t="n"/>
      <c r="T19" s="14" t="n"/>
      <c r="U19" s="14" t="n"/>
      <c r="V19" s="14" t="n"/>
      <c r="W19" s="14" t="n"/>
      <c r="X19" s="14" t="n"/>
      <c r="Y19" s="14" t="n"/>
      <c r="Z19" s="14" t="n"/>
      <c r="AA19" s="14" t="n"/>
      <c r="AB19" s="14" t="n"/>
      <c r="AC19" s="14" t="n"/>
      <c r="AD19" s="14" t="n"/>
      <c r="AE19" s="14" t="n"/>
      <c r="AF19" s="14" t="n"/>
      <c r="AG19" s="14" t="n"/>
      <c r="AH19" s="14" t="n"/>
    </row>
    <row r="20">
      <c r="A20" s="11">
        <f>IF(명부!A14="","",명부!A14)</f>
        <v/>
      </c>
      <c r="B20" s="12">
        <f>IF(명부!C14="","",명부!C14)</f>
        <v/>
      </c>
      <c r="C20" s="13">
        <f>IF(명부!E14="","",명부!E14)</f>
        <v/>
      </c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4" t="n"/>
      <c r="V20" s="14" t="n"/>
      <c r="W20" s="14" t="n"/>
      <c r="X20" s="14" t="n"/>
      <c r="Y20" s="14" t="n"/>
      <c r="Z20" s="14" t="n"/>
      <c r="AA20" s="14" t="n"/>
      <c r="AB20" s="14" t="n"/>
      <c r="AC20" s="14" t="n"/>
      <c r="AD20" s="14" t="n"/>
      <c r="AE20" s="14" t="n"/>
      <c r="AF20" s="14" t="n"/>
      <c r="AG20" s="14" t="n"/>
      <c r="AH20" s="14" t="n"/>
    </row>
    <row r="21">
      <c r="A21" s="11">
        <f>IF(명부!A15="","",명부!A15)</f>
        <v/>
      </c>
      <c r="B21" s="12">
        <f>IF(명부!C15="","",명부!C15)</f>
        <v/>
      </c>
      <c r="C21" s="13">
        <f>IF(명부!E15="","",명부!E15)</f>
        <v/>
      </c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  <c r="X21" s="14" t="n"/>
      <c r="Y21" s="14" t="n"/>
      <c r="Z21" s="14" t="n"/>
      <c r="AA21" s="14" t="n"/>
      <c r="AB21" s="14" t="n"/>
      <c r="AC21" s="14" t="n"/>
      <c r="AD21" s="14" t="n"/>
      <c r="AE21" s="14" t="n"/>
      <c r="AF21" s="14" t="n"/>
      <c r="AG21" s="14" t="n"/>
      <c r="AH21" s="14" t="n"/>
    </row>
    <row r="22">
      <c r="A22" s="11">
        <f>IF(명부!A16="","",명부!A16)</f>
        <v/>
      </c>
      <c r="B22" s="12">
        <f>IF(명부!C16="","",명부!C16)</f>
        <v/>
      </c>
      <c r="C22" s="13">
        <f>IF(명부!E16="","",명부!E16)</f>
        <v/>
      </c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  <c r="X22" s="14" t="n"/>
      <c r="Y22" s="14" t="n"/>
      <c r="Z22" s="14" t="n"/>
      <c r="AA22" s="14" t="n"/>
      <c r="AB22" s="14" t="n"/>
      <c r="AC22" s="14" t="n"/>
      <c r="AD22" s="14" t="n"/>
      <c r="AE22" s="14" t="n"/>
      <c r="AF22" s="14" t="n"/>
      <c r="AG22" s="14" t="n"/>
      <c r="AH22" s="14" t="n"/>
    </row>
    <row r="23">
      <c r="A23" s="11">
        <f>IF(명부!A17="","",명부!A17)</f>
        <v/>
      </c>
      <c r="B23" s="12">
        <f>IF(명부!C17="","",명부!C17)</f>
        <v/>
      </c>
      <c r="C23" s="13">
        <f>IF(명부!E17="","",명부!E17)</f>
        <v/>
      </c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  <c r="AA23" s="14" t="n"/>
      <c r="AB23" s="14" t="n"/>
      <c r="AC23" s="14" t="n"/>
      <c r="AD23" s="14" t="n"/>
      <c r="AE23" s="14" t="n"/>
      <c r="AF23" s="14" t="n"/>
      <c r="AG23" s="14" t="n"/>
      <c r="AH23" s="14" t="n"/>
    </row>
    <row r="24">
      <c r="A24" s="11">
        <f>IF(명부!A18="","",명부!A18)</f>
        <v/>
      </c>
      <c r="B24" s="12">
        <f>IF(명부!C18="","",명부!C18)</f>
        <v/>
      </c>
      <c r="C24" s="13">
        <f>IF(명부!E18="","",명부!E18)</f>
        <v/>
      </c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n"/>
      <c r="T24" s="14" t="n"/>
      <c r="U24" s="14" t="n"/>
      <c r="V24" s="14" t="n"/>
      <c r="W24" s="14" t="n"/>
      <c r="X24" s="14" t="n"/>
      <c r="Y24" s="14" t="n"/>
      <c r="Z24" s="14" t="n"/>
      <c r="AA24" s="14" t="n"/>
      <c r="AB24" s="14" t="n"/>
      <c r="AC24" s="14" t="n"/>
      <c r="AD24" s="14" t="n"/>
      <c r="AE24" s="14" t="n"/>
      <c r="AF24" s="14" t="n"/>
      <c r="AG24" s="14" t="n"/>
      <c r="AH24" s="14" t="n"/>
    </row>
    <row r="25">
      <c r="A25" s="11">
        <f>IF(명부!A19="","",명부!A19)</f>
        <v/>
      </c>
      <c r="B25" s="12">
        <f>IF(명부!C19="","",명부!C19)</f>
        <v/>
      </c>
      <c r="C25" s="13">
        <f>IF(명부!E19="","",명부!E19)</f>
        <v/>
      </c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  <c r="R25" s="14" t="n"/>
      <c r="S25" s="14" t="n"/>
      <c r="T25" s="14" t="n"/>
      <c r="U25" s="14" t="n"/>
      <c r="V25" s="14" t="n"/>
      <c r="W25" s="14" t="n"/>
      <c r="X25" s="14" t="n"/>
      <c r="Y25" s="14" t="n"/>
      <c r="Z25" s="14" t="n"/>
      <c r="AA25" s="14" t="n"/>
      <c r="AB25" s="14" t="n"/>
      <c r="AC25" s="14" t="n"/>
      <c r="AD25" s="14" t="n"/>
      <c r="AE25" s="14" t="n"/>
      <c r="AF25" s="14" t="n"/>
      <c r="AG25" s="14" t="n"/>
      <c r="AH25" s="14" t="n"/>
    </row>
    <row r="26">
      <c r="A26" s="11">
        <f>IF(명부!A20="","",명부!A20)</f>
        <v/>
      </c>
      <c r="B26" s="12">
        <f>IF(명부!C20="","",명부!C20)</f>
        <v/>
      </c>
      <c r="C26" s="13">
        <f>IF(명부!E20="","",명부!E20)</f>
        <v/>
      </c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  <c r="R26" s="14" t="n"/>
      <c r="S26" s="14" t="n"/>
      <c r="T26" s="14" t="n"/>
      <c r="U26" s="14" t="n"/>
      <c r="V26" s="14" t="n"/>
      <c r="W26" s="14" t="n"/>
      <c r="X26" s="14" t="n"/>
      <c r="Y26" s="14" t="n"/>
      <c r="Z26" s="14" t="n"/>
      <c r="AA26" s="14" t="n"/>
      <c r="AB26" s="14" t="n"/>
      <c r="AC26" s="14" t="n"/>
      <c r="AD26" s="14" t="n"/>
      <c r="AE26" s="14" t="n"/>
      <c r="AF26" s="14" t="n"/>
      <c r="AG26" s="14" t="n"/>
      <c r="AH26" s="14" t="n"/>
    </row>
    <row r="27">
      <c r="A27" s="11">
        <f>IF(명부!A21="","",명부!A21)</f>
        <v/>
      </c>
      <c r="B27" s="12">
        <f>IF(명부!C21="","",명부!C21)</f>
        <v/>
      </c>
      <c r="C27" s="13">
        <f>IF(명부!E21="","",명부!E21)</f>
        <v/>
      </c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4" t="n"/>
      <c r="W27" s="14" t="n"/>
      <c r="X27" s="14" t="n"/>
      <c r="Y27" s="14" t="n"/>
      <c r="Z27" s="14" t="n"/>
      <c r="AA27" s="14" t="n"/>
      <c r="AB27" s="14" t="n"/>
      <c r="AC27" s="14" t="n"/>
      <c r="AD27" s="14" t="n"/>
      <c r="AE27" s="14" t="n"/>
      <c r="AF27" s="14" t="n"/>
      <c r="AG27" s="14" t="n"/>
      <c r="AH27" s="14" t="n"/>
    </row>
    <row r="28">
      <c r="A28" s="11">
        <f>IF(명부!A22="","",명부!A22)</f>
        <v/>
      </c>
      <c r="B28" s="12">
        <f>IF(명부!C22="","",명부!C22)</f>
        <v/>
      </c>
      <c r="C28" s="13">
        <f>IF(명부!E22="","",명부!E22)</f>
        <v/>
      </c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  <c r="Q28" s="14" t="n"/>
      <c r="R28" s="14" t="n"/>
      <c r="S28" s="14" t="n"/>
      <c r="T28" s="14" t="n"/>
      <c r="U28" s="14" t="n"/>
      <c r="V28" s="14" t="n"/>
      <c r="W28" s="14" t="n"/>
      <c r="X28" s="14" t="n"/>
      <c r="Y28" s="14" t="n"/>
      <c r="Z28" s="14" t="n"/>
      <c r="AA28" s="14" t="n"/>
      <c r="AB28" s="14" t="n"/>
      <c r="AC28" s="14" t="n"/>
      <c r="AD28" s="14" t="n"/>
      <c r="AE28" s="14" t="n"/>
      <c r="AF28" s="14" t="n"/>
      <c r="AG28" s="14" t="n"/>
      <c r="AH28" s="14" t="n"/>
    </row>
    <row r="29">
      <c r="A29" s="11">
        <f>IF(명부!A23="","",명부!A23)</f>
        <v/>
      </c>
      <c r="B29" s="12">
        <f>IF(명부!C23="","",명부!C23)</f>
        <v/>
      </c>
      <c r="C29" s="13">
        <f>IF(명부!E23="","",명부!E23)</f>
        <v/>
      </c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14" t="n"/>
      <c r="AA29" s="14" t="n"/>
      <c r="AB29" s="14" t="n"/>
      <c r="AC29" s="14" t="n"/>
      <c r="AD29" s="14" t="n"/>
      <c r="AE29" s="14" t="n"/>
      <c r="AF29" s="14" t="n"/>
      <c r="AG29" s="14" t="n"/>
      <c r="AH29" s="14" t="n"/>
    </row>
    <row r="30">
      <c r="A30" s="11">
        <f>IF(명부!A24="","",명부!A24)</f>
        <v/>
      </c>
      <c r="B30" s="12">
        <f>IF(명부!C24="","",명부!C24)</f>
        <v/>
      </c>
      <c r="C30" s="13">
        <f>IF(명부!E24="","",명부!E24)</f>
        <v/>
      </c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  <c r="AA30" s="14" t="n"/>
      <c r="AB30" s="14" t="n"/>
      <c r="AC30" s="14" t="n"/>
      <c r="AD30" s="14" t="n"/>
      <c r="AE30" s="14" t="n"/>
      <c r="AF30" s="14" t="n"/>
      <c r="AG30" s="14" t="n"/>
      <c r="AH30" s="14" t="n"/>
    </row>
    <row r="31">
      <c r="A31" s="11">
        <f>IF(명부!A25="","",명부!A25)</f>
        <v/>
      </c>
      <c r="B31" s="12">
        <f>IF(명부!C25="","",명부!C25)</f>
        <v/>
      </c>
      <c r="C31" s="13">
        <f>IF(명부!E25="","",명부!E25)</f>
        <v/>
      </c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  <c r="U31" s="14" t="n"/>
      <c r="V31" s="14" t="n"/>
      <c r="W31" s="14" t="n"/>
      <c r="X31" s="14" t="n"/>
      <c r="Y31" s="14" t="n"/>
      <c r="Z31" s="14" t="n"/>
      <c r="AA31" s="14" t="n"/>
      <c r="AB31" s="14" t="n"/>
      <c r="AC31" s="14" t="n"/>
      <c r="AD31" s="14" t="n"/>
      <c r="AE31" s="14" t="n"/>
      <c r="AF31" s="14" t="n"/>
      <c r="AG31" s="14" t="n"/>
      <c r="AH31" s="14" t="n"/>
    </row>
    <row r="33">
      <c r="A33" s="15" t="inlineStr">
        <is>
          <t>8시간 인원</t>
        </is>
      </c>
      <c r="B33" s="16" t="n"/>
      <c r="C33" s="16" t="n"/>
      <c r="D33" s="8">
        <f>IF(D$6="휴일","",(명부!$B$27-COUNTIF(D$8:D$31,"휴직"))-SUMPRODUCT(COUNTIF(D$8:D$31,코드!$F$2:$F$11)))</f>
        <v/>
      </c>
      <c r="E33" s="8">
        <f>IF(E$6="휴일","",(명부!$B$27-COUNTIF(E$8:E$31,"휴직"))-SUMPRODUCT(COUNTIF(E$8:E$31,코드!$F$2:$F$11)))</f>
        <v/>
      </c>
      <c r="F33" s="8">
        <f>IF(F$6="휴일","",(명부!$B$27-COUNTIF(F$8:F$31,"휴직"))-SUMPRODUCT(COUNTIF(F$8:F$31,코드!$F$2:$F$11)))</f>
        <v/>
      </c>
      <c r="G33" s="8">
        <f>IF(G$6="휴일","",(명부!$B$27-COUNTIF(G$8:G$31,"휴직"))-SUMPRODUCT(COUNTIF(G$8:G$31,코드!$F$2:$F$11)))</f>
        <v/>
      </c>
      <c r="H33" s="8">
        <f>IF(H$6="휴일","",(명부!$B$27-COUNTIF(H$8:H$31,"휴직"))-SUMPRODUCT(COUNTIF(H$8:H$31,코드!$F$2:$F$11)))</f>
        <v/>
      </c>
      <c r="I33" s="8">
        <f>IF(I$6="휴일","",(명부!$B$27-COUNTIF(I$8:I$31,"휴직"))-SUMPRODUCT(COUNTIF(I$8:I$31,코드!$F$2:$F$11)))</f>
        <v/>
      </c>
      <c r="J33" s="8">
        <f>IF(J$6="휴일","",(명부!$B$27-COUNTIF(J$8:J$31,"휴직"))-SUMPRODUCT(COUNTIF(J$8:J$31,코드!$F$2:$F$11)))</f>
        <v/>
      </c>
      <c r="K33" s="8">
        <f>IF(K$6="휴일","",(명부!$B$27-COUNTIF(K$8:K$31,"휴직"))-SUMPRODUCT(COUNTIF(K$8:K$31,코드!$F$2:$F$11)))</f>
        <v/>
      </c>
      <c r="L33" s="8">
        <f>IF(L$6="휴일","",(명부!$B$27-COUNTIF(L$8:L$31,"휴직"))-SUMPRODUCT(COUNTIF(L$8:L$31,코드!$F$2:$F$11)))</f>
        <v/>
      </c>
      <c r="M33" s="8">
        <f>IF(M$6="휴일","",(명부!$B$27-COUNTIF(M$8:M$31,"휴직"))-SUMPRODUCT(COUNTIF(M$8:M$31,코드!$F$2:$F$11)))</f>
        <v/>
      </c>
      <c r="N33" s="8">
        <f>IF(N$6="휴일","",(명부!$B$27-COUNTIF(N$8:N$31,"휴직"))-SUMPRODUCT(COUNTIF(N$8:N$31,코드!$F$2:$F$11)))</f>
        <v/>
      </c>
      <c r="O33" s="8">
        <f>IF(O$6="휴일","",(명부!$B$27-COUNTIF(O$8:O$31,"휴직"))-SUMPRODUCT(COUNTIF(O$8:O$31,코드!$F$2:$F$11)))</f>
        <v/>
      </c>
      <c r="P33" s="8">
        <f>IF(P$6="휴일","",(명부!$B$27-COUNTIF(P$8:P$31,"휴직"))-SUMPRODUCT(COUNTIF(P$8:P$31,코드!$F$2:$F$11)))</f>
        <v/>
      </c>
      <c r="Q33" s="8">
        <f>IF(Q$6="휴일","",(명부!$B$27-COUNTIF(Q$8:Q$31,"휴직"))-SUMPRODUCT(COUNTIF(Q$8:Q$31,코드!$F$2:$F$11)))</f>
        <v/>
      </c>
      <c r="R33" s="8">
        <f>IF(R$6="휴일","",(명부!$B$27-COUNTIF(R$8:R$31,"휴직"))-SUMPRODUCT(COUNTIF(R$8:R$31,코드!$F$2:$F$11)))</f>
        <v/>
      </c>
      <c r="S33" s="8">
        <f>IF(S$6="휴일","",(명부!$B$27-COUNTIF(S$8:S$31,"휴직"))-SUMPRODUCT(COUNTIF(S$8:S$31,코드!$F$2:$F$11)))</f>
        <v/>
      </c>
      <c r="T33" s="8">
        <f>IF(T$6="휴일","",(명부!$B$27-COUNTIF(T$8:T$31,"휴직"))-SUMPRODUCT(COUNTIF(T$8:T$31,코드!$F$2:$F$11)))</f>
        <v/>
      </c>
      <c r="U33" s="8">
        <f>IF(U$6="휴일","",(명부!$B$27-COUNTIF(U$8:U$31,"휴직"))-SUMPRODUCT(COUNTIF(U$8:U$31,코드!$F$2:$F$11)))</f>
        <v/>
      </c>
      <c r="V33" s="8">
        <f>IF(V$6="휴일","",(명부!$B$27-COUNTIF(V$8:V$31,"휴직"))-SUMPRODUCT(COUNTIF(V$8:V$31,코드!$F$2:$F$11)))</f>
        <v/>
      </c>
      <c r="W33" s="8">
        <f>IF(W$6="휴일","",(명부!$B$27-COUNTIF(W$8:W$31,"휴직"))-SUMPRODUCT(COUNTIF(W$8:W$31,코드!$F$2:$F$11)))</f>
        <v/>
      </c>
      <c r="X33" s="8">
        <f>IF(X$6="휴일","",(명부!$B$27-COUNTIF(X$8:X$31,"휴직"))-SUMPRODUCT(COUNTIF(X$8:X$31,코드!$F$2:$F$11)))</f>
        <v/>
      </c>
      <c r="Y33" s="8">
        <f>IF(Y$6="휴일","",(명부!$B$27-COUNTIF(Y$8:Y$31,"휴직"))-SUMPRODUCT(COUNTIF(Y$8:Y$31,코드!$F$2:$F$11)))</f>
        <v/>
      </c>
      <c r="Z33" s="8">
        <f>IF(Z$6="휴일","",(명부!$B$27-COUNTIF(Z$8:Z$31,"휴직"))-SUMPRODUCT(COUNTIF(Z$8:Z$31,코드!$F$2:$F$11)))</f>
        <v/>
      </c>
      <c r="AA33" s="8">
        <f>IF(AA$6="휴일","",(명부!$B$27-COUNTIF(AA$8:AA$31,"휴직"))-SUMPRODUCT(COUNTIF(AA$8:AA$31,코드!$F$2:$F$11)))</f>
        <v/>
      </c>
      <c r="AB33" s="8">
        <f>IF(AB$6="휴일","",(명부!$B$27-COUNTIF(AB$8:AB$31,"휴직"))-SUMPRODUCT(COUNTIF(AB$8:AB$31,코드!$F$2:$F$11)))</f>
        <v/>
      </c>
      <c r="AC33" s="8">
        <f>IF(AC$6="휴일","",(명부!$B$27-COUNTIF(AC$8:AC$31,"휴직"))-SUMPRODUCT(COUNTIF(AC$8:AC$31,코드!$F$2:$F$11)))</f>
        <v/>
      </c>
      <c r="AD33" s="8">
        <f>IF(AD$6="휴일","",(명부!$B$27-COUNTIF(AD$8:AD$31,"휴직"))-SUMPRODUCT(COUNTIF(AD$8:AD$31,코드!$F$2:$F$11)))</f>
        <v/>
      </c>
      <c r="AE33" s="8">
        <f>IF(AE$6="휴일","",(명부!$B$27-COUNTIF(AE$8:AE$31,"휴직"))-SUMPRODUCT(COUNTIF(AE$8:AE$31,코드!$F$2:$F$11)))</f>
        <v/>
      </c>
      <c r="AF33" s="8">
        <f>IF(AF$6="휴일","",(명부!$B$27-COUNTIF(AF$8:AF$31,"휴직"))-SUMPRODUCT(COUNTIF(AF$8:AF$31,코드!$F$2:$F$11)))</f>
        <v/>
      </c>
      <c r="AG33" s="8">
        <f>IF(AG$6="휴일","",(명부!$B$27-COUNTIF(AG$8:AG$31,"휴직"))-SUMPRODUCT(COUNTIF(AG$8:AG$31,코드!$F$2:$F$11)))</f>
        <v/>
      </c>
      <c r="AH33" s="8">
        <f>IF(AH$6="휴일","",(명부!$B$27-COUNTIF(AH$8:AH$31,"휴직"))-SUMPRODUCT(COUNTIF(AH$8:AH$31,코드!$F$2:$F$11)))</f>
        <v/>
      </c>
    </row>
    <row r="34">
      <c r="A34" s="15" t="inlineStr">
        <is>
          <t>필요 인원 (30%)</t>
        </is>
      </c>
      <c r="B34" s="16" t="n"/>
      <c r="C34" s="16" t="n"/>
      <c r="D34" s="9">
        <f>IF(D$6="휴일","",ROUNDUP((명부!$B$27-COUNTIF(D$8:D$31,"휴직"))*0.3,0))</f>
        <v/>
      </c>
      <c r="E34" s="9">
        <f>IF(E$6="휴일","",ROUNDUP((명부!$B$27-COUNTIF(E$8:E$31,"휴직"))*0.3,0))</f>
        <v/>
      </c>
      <c r="F34" s="9">
        <f>IF(F$6="휴일","",ROUNDUP((명부!$B$27-COUNTIF(F$8:F$31,"휴직"))*0.3,0))</f>
        <v/>
      </c>
      <c r="G34" s="9">
        <f>IF(G$6="휴일","",ROUNDUP((명부!$B$27-COUNTIF(G$8:G$31,"휴직"))*0.3,0))</f>
        <v/>
      </c>
      <c r="H34" s="9">
        <f>IF(H$6="휴일","",ROUNDUP((명부!$B$27-COUNTIF(H$8:H$31,"휴직"))*0.3,0))</f>
        <v/>
      </c>
      <c r="I34" s="9">
        <f>IF(I$6="휴일","",ROUNDUP((명부!$B$27-COUNTIF(I$8:I$31,"휴직"))*0.3,0))</f>
        <v/>
      </c>
      <c r="J34" s="9">
        <f>IF(J$6="휴일","",ROUNDUP((명부!$B$27-COUNTIF(J$8:J$31,"휴직"))*0.3,0))</f>
        <v/>
      </c>
      <c r="K34" s="9">
        <f>IF(K$6="휴일","",ROUNDUP((명부!$B$27-COUNTIF(K$8:K$31,"휴직"))*0.3,0))</f>
        <v/>
      </c>
      <c r="L34" s="9">
        <f>IF(L$6="휴일","",ROUNDUP((명부!$B$27-COUNTIF(L$8:L$31,"휴직"))*0.3,0))</f>
        <v/>
      </c>
      <c r="M34" s="9">
        <f>IF(M$6="휴일","",ROUNDUP((명부!$B$27-COUNTIF(M$8:M$31,"휴직"))*0.3,0))</f>
        <v/>
      </c>
      <c r="N34" s="9">
        <f>IF(N$6="휴일","",ROUNDUP((명부!$B$27-COUNTIF(N$8:N$31,"휴직"))*0.3,0))</f>
        <v/>
      </c>
      <c r="O34" s="9">
        <f>IF(O$6="휴일","",ROUNDUP((명부!$B$27-COUNTIF(O$8:O$31,"휴직"))*0.3,0))</f>
        <v/>
      </c>
      <c r="P34" s="9">
        <f>IF(P$6="휴일","",ROUNDUP((명부!$B$27-COUNTIF(P$8:P$31,"휴직"))*0.3,0))</f>
        <v/>
      </c>
      <c r="Q34" s="9">
        <f>IF(Q$6="휴일","",ROUNDUP((명부!$B$27-COUNTIF(Q$8:Q$31,"휴직"))*0.3,0))</f>
        <v/>
      </c>
      <c r="R34" s="9">
        <f>IF(R$6="휴일","",ROUNDUP((명부!$B$27-COUNTIF(R$8:R$31,"휴직"))*0.3,0))</f>
        <v/>
      </c>
      <c r="S34" s="9">
        <f>IF(S$6="휴일","",ROUNDUP((명부!$B$27-COUNTIF(S$8:S$31,"휴직"))*0.3,0))</f>
        <v/>
      </c>
      <c r="T34" s="9">
        <f>IF(T$6="휴일","",ROUNDUP((명부!$B$27-COUNTIF(T$8:T$31,"휴직"))*0.3,0))</f>
        <v/>
      </c>
      <c r="U34" s="9">
        <f>IF(U$6="휴일","",ROUNDUP((명부!$B$27-COUNTIF(U$8:U$31,"휴직"))*0.3,0))</f>
        <v/>
      </c>
      <c r="V34" s="9">
        <f>IF(V$6="휴일","",ROUNDUP((명부!$B$27-COUNTIF(V$8:V$31,"휴직"))*0.3,0))</f>
        <v/>
      </c>
      <c r="W34" s="9">
        <f>IF(W$6="휴일","",ROUNDUP((명부!$B$27-COUNTIF(W$8:W$31,"휴직"))*0.3,0))</f>
        <v/>
      </c>
      <c r="X34" s="9">
        <f>IF(X$6="휴일","",ROUNDUP((명부!$B$27-COUNTIF(X$8:X$31,"휴직"))*0.3,0))</f>
        <v/>
      </c>
      <c r="Y34" s="9">
        <f>IF(Y$6="휴일","",ROUNDUP((명부!$B$27-COUNTIF(Y$8:Y$31,"휴직"))*0.3,0))</f>
        <v/>
      </c>
      <c r="Z34" s="9">
        <f>IF(Z$6="휴일","",ROUNDUP((명부!$B$27-COUNTIF(Z$8:Z$31,"휴직"))*0.3,0))</f>
        <v/>
      </c>
      <c r="AA34" s="9">
        <f>IF(AA$6="휴일","",ROUNDUP((명부!$B$27-COUNTIF(AA$8:AA$31,"휴직"))*0.3,0))</f>
        <v/>
      </c>
      <c r="AB34" s="9">
        <f>IF(AB$6="휴일","",ROUNDUP((명부!$B$27-COUNTIF(AB$8:AB$31,"휴직"))*0.3,0))</f>
        <v/>
      </c>
      <c r="AC34" s="9">
        <f>IF(AC$6="휴일","",ROUNDUP((명부!$B$27-COUNTIF(AC$8:AC$31,"휴직"))*0.3,0))</f>
        <v/>
      </c>
      <c r="AD34" s="9">
        <f>IF(AD$6="휴일","",ROUNDUP((명부!$B$27-COUNTIF(AD$8:AD$31,"휴직"))*0.3,0))</f>
        <v/>
      </c>
      <c r="AE34" s="9">
        <f>IF(AE$6="휴일","",ROUNDUP((명부!$B$27-COUNTIF(AE$8:AE$31,"휴직"))*0.3,0))</f>
        <v/>
      </c>
      <c r="AF34" s="9">
        <f>IF(AF$6="휴일","",ROUNDUP((명부!$B$27-COUNTIF(AF$8:AF$31,"휴직"))*0.3,0))</f>
        <v/>
      </c>
      <c r="AG34" s="9">
        <f>IF(AG$6="휴일","",ROUNDUP((명부!$B$27-COUNTIF(AG$8:AG$31,"휴직"))*0.3,0))</f>
        <v/>
      </c>
      <c r="AH34" s="9">
        <f>IF(AH$6="휴일","",ROUNDUP((명부!$B$27-COUNTIF(AH$8:AH$31,"휴직"))*0.3,0))</f>
        <v/>
      </c>
    </row>
    <row r="35">
      <c r="A35" s="15" t="inlineStr">
        <is>
          <t>판정</t>
        </is>
      </c>
      <c r="B35" s="16" t="n"/>
      <c r="C35" s="16" t="n"/>
      <c r="D35" s="17">
        <f>IF(D$6="휴일","",IF(D33&gt;=D34,"충족","미달"))</f>
        <v/>
      </c>
      <c r="E35" s="17">
        <f>IF(E$6="휴일","",IF(E33&gt;=E34,"충족","미달"))</f>
        <v/>
      </c>
      <c r="F35" s="17">
        <f>IF(F$6="휴일","",IF(F33&gt;=F34,"충족","미달"))</f>
        <v/>
      </c>
      <c r="G35" s="17">
        <f>IF(G$6="휴일","",IF(G33&gt;=G34,"충족","미달"))</f>
        <v/>
      </c>
      <c r="H35" s="17">
        <f>IF(H$6="휴일","",IF(H33&gt;=H34,"충족","미달"))</f>
        <v/>
      </c>
      <c r="I35" s="17">
        <f>IF(I$6="휴일","",IF(I33&gt;=I34,"충족","미달"))</f>
        <v/>
      </c>
      <c r="J35" s="17">
        <f>IF(J$6="휴일","",IF(J33&gt;=J34,"충족","미달"))</f>
        <v/>
      </c>
      <c r="K35" s="17">
        <f>IF(K$6="휴일","",IF(K33&gt;=K34,"충족","미달"))</f>
        <v/>
      </c>
      <c r="L35" s="17">
        <f>IF(L$6="휴일","",IF(L33&gt;=L34,"충족","미달"))</f>
        <v/>
      </c>
      <c r="M35" s="17">
        <f>IF(M$6="휴일","",IF(M33&gt;=M34,"충족","미달"))</f>
        <v/>
      </c>
      <c r="N35" s="17">
        <f>IF(N$6="휴일","",IF(N33&gt;=N34,"충족","미달"))</f>
        <v/>
      </c>
      <c r="O35" s="17">
        <f>IF(O$6="휴일","",IF(O33&gt;=O34,"충족","미달"))</f>
        <v/>
      </c>
      <c r="P35" s="17">
        <f>IF(P$6="휴일","",IF(P33&gt;=P34,"충족","미달"))</f>
        <v/>
      </c>
      <c r="Q35" s="17">
        <f>IF(Q$6="휴일","",IF(Q33&gt;=Q34,"충족","미달"))</f>
        <v/>
      </c>
      <c r="R35" s="17">
        <f>IF(R$6="휴일","",IF(R33&gt;=R34,"충족","미달"))</f>
        <v/>
      </c>
      <c r="S35" s="17">
        <f>IF(S$6="휴일","",IF(S33&gt;=S34,"충족","미달"))</f>
        <v/>
      </c>
      <c r="T35" s="17">
        <f>IF(T$6="휴일","",IF(T33&gt;=T34,"충족","미달"))</f>
        <v/>
      </c>
      <c r="U35" s="17">
        <f>IF(U$6="휴일","",IF(U33&gt;=U34,"충족","미달"))</f>
        <v/>
      </c>
      <c r="V35" s="17">
        <f>IF(V$6="휴일","",IF(V33&gt;=V34,"충족","미달"))</f>
        <v/>
      </c>
      <c r="W35" s="17">
        <f>IF(W$6="휴일","",IF(W33&gt;=W34,"충족","미달"))</f>
        <v/>
      </c>
      <c r="X35" s="17">
        <f>IF(X$6="휴일","",IF(X33&gt;=X34,"충족","미달"))</f>
        <v/>
      </c>
      <c r="Y35" s="17">
        <f>IF(Y$6="휴일","",IF(Y33&gt;=Y34,"충족","미달"))</f>
        <v/>
      </c>
      <c r="Z35" s="17">
        <f>IF(Z$6="휴일","",IF(Z33&gt;=Z34,"충족","미달"))</f>
        <v/>
      </c>
      <c r="AA35" s="17">
        <f>IF(AA$6="휴일","",IF(AA33&gt;=AA34,"충족","미달"))</f>
        <v/>
      </c>
      <c r="AB35" s="17">
        <f>IF(AB$6="휴일","",IF(AB33&gt;=AB34,"충족","미달"))</f>
        <v/>
      </c>
      <c r="AC35" s="17">
        <f>IF(AC$6="휴일","",IF(AC33&gt;=AC34,"충족","미달"))</f>
        <v/>
      </c>
      <c r="AD35" s="17">
        <f>IF(AD$6="휴일","",IF(AD33&gt;=AD34,"충족","미달"))</f>
        <v/>
      </c>
      <c r="AE35" s="17">
        <f>IF(AE$6="휴일","",IF(AE33&gt;=AE34,"충족","미달"))</f>
        <v/>
      </c>
      <c r="AF35" s="17">
        <f>IF(AF$6="휴일","",IF(AF33&gt;=AF34,"충족","미달"))</f>
        <v/>
      </c>
      <c r="AG35" s="17">
        <f>IF(AG$6="휴일","",IF(AG33&gt;=AG34,"충족","미달"))</f>
        <v/>
      </c>
      <c r="AH35" s="17">
        <f>IF(AH$6="휴일","",IF(AH33&gt;=AH34,"충족","미달"))</f>
        <v/>
      </c>
    </row>
    <row r="36">
      <c r="A36" s="15" t="inlineStr">
        <is>
          <t>직책자 8시간</t>
        </is>
      </c>
      <c r="B36" s="16" t="n"/>
      <c r="C36" s="16" t="n"/>
      <c r="D36" s="14">
        <f>IF(D$6="휴일","",COUNTIF(명부!$E$2:$E$25,"A")-COUNTIF(D$8:D$13,"휴직")-SUMPRODUCT(COUNTIF(D$8:D$13,코드!$F$2:$F$11)))</f>
        <v/>
      </c>
      <c r="E36" s="14">
        <f>IF(E$6="휴일","",COUNTIF(명부!$E$2:$E$25,"A")-COUNTIF(E$8:E$13,"휴직")-SUMPRODUCT(COUNTIF(E$8:E$13,코드!$F$2:$F$11)))</f>
        <v/>
      </c>
      <c r="F36" s="14">
        <f>IF(F$6="휴일","",COUNTIF(명부!$E$2:$E$25,"A")-COUNTIF(F$8:F$13,"휴직")-SUMPRODUCT(COUNTIF(F$8:F$13,코드!$F$2:$F$11)))</f>
        <v/>
      </c>
      <c r="G36" s="14">
        <f>IF(G$6="휴일","",COUNTIF(명부!$E$2:$E$25,"A")-COUNTIF(G$8:G$13,"휴직")-SUMPRODUCT(COUNTIF(G$8:G$13,코드!$F$2:$F$11)))</f>
        <v/>
      </c>
      <c r="H36" s="14">
        <f>IF(H$6="휴일","",COUNTIF(명부!$E$2:$E$25,"A")-COUNTIF(H$8:H$13,"휴직")-SUMPRODUCT(COUNTIF(H$8:H$13,코드!$F$2:$F$11)))</f>
        <v/>
      </c>
      <c r="I36" s="14">
        <f>IF(I$6="휴일","",COUNTIF(명부!$E$2:$E$25,"A")-COUNTIF(I$8:I$13,"휴직")-SUMPRODUCT(COUNTIF(I$8:I$13,코드!$F$2:$F$11)))</f>
        <v/>
      </c>
      <c r="J36" s="14">
        <f>IF(J$6="휴일","",COUNTIF(명부!$E$2:$E$25,"A")-COUNTIF(J$8:J$13,"휴직")-SUMPRODUCT(COUNTIF(J$8:J$13,코드!$F$2:$F$11)))</f>
        <v/>
      </c>
      <c r="K36" s="14">
        <f>IF(K$6="휴일","",COUNTIF(명부!$E$2:$E$25,"A")-COUNTIF(K$8:K$13,"휴직")-SUMPRODUCT(COUNTIF(K$8:K$13,코드!$F$2:$F$11)))</f>
        <v/>
      </c>
      <c r="L36" s="14">
        <f>IF(L$6="휴일","",COUNTIF(명부!$E$2:$E$25,"A")-COUNTIF(L$8:L$13,"휴직")-SUMPRODUCT(COUNTIF(L$8:L$13,코드!$F$2:$F$11)))</f>
        <v/>
      </c>
      <c r="M36" s="14">
        <f>IF(M$6="휴일","",COUNTIF(명부!$E$2:$E$25,"A")-COUNTIF(M$8:M$13,"휴직")-SUMPRODUCT(COUNTIF(M$8:M$13,코드!$F$2:$F$11)))</f>
        <v/>
      </c>
      <c r="N36" s="14">
        <f>IF(N$6="휴일","",COUNTIF(명부!$E$2:$E$25,"A")-COUNTIF(N$8:N$13,"휴직")-SUMPRODUCT(COUNTIF(N$8:N$13,코드!$F$2:$F$11)))</f>
        <v/>
      </c>
      <c r="O36" s="14">
        <f>IF(O$6="휴일","",COUNTIF(명부!$E$2:$E$25,"A")-COUNTIF(O$8:O$13,"휴직")-SUMPRODUCT(COUNTIF(O$8:O$13,코드!$F$2:$F$11)))</f>
        <v/>
      </c>
      <c r="P36" s="14">
        <f>IF(P$6="휴일","",COUNTIF(명부!$E$2:$E$25,"A")-COUNTIF(P$8:P$13,"휴직")-SUMPRODUCT(COUNTIF(P$8:P$13,코드!$F$2:$F$11)))</f>
        <v/>
      </c>
      <c r="Q36" s="14">
        <f>IF(Q$6="휴일","",COUNTIF(명부!$E$2:$E$25,"A")-COUNTIF(Q$8:Q$13,"휴직")-SUMPRODUCT(COUNTIF(Q$8:Q$13,코드!$F$2:$F$11)))</f>
        <v/>
      </c>
      <c r="R36" s="14">
        <f>IF(R$6="휴일","",COUNTIF(명부!$E$2:$E$25,"A")-COUNTIF(R$8:R$13,"휴직")-SUMPRODUCT(COUNTIF(R$8:R$13,코드!$F$2:$F$11)))</f>
        <v/>
      </c>
      <c r="S36" s="14">
        <f>IF(S$6="휴일","",COUNTIF(명부!$E$2:$E$25,"A")-COUNTIF(S$8:S$13,"휴직")-SUMPRODUCT(COUNTIF(S$8:S$13,코드!$F$2:$F$11)))</f>
        <v/>
      </c>
      <c r="T36" s="14">
        <f>IF(T$6="휴일","",COUNTIF(명부!$E$2:$E$25,"A")-COUNTIF(T$8:T$13,"휴직")-SUMPRODUCT(COUNTIF(T$8:T$13,코드!$F$2:$F$11)))</f>
        <v/>
      </c>
      <c r="U36" s="14">
        <f>IF(U$6="휴일","",COUNTIF(명부!$E$2:$E$25,"A")-COUNTIF(U$8:U$13,"휴직")-SUMPRODUCT(COUNTIF(U$8:U$13,코드!$F$2:$F$11)))</f>
        <v/>
      </c>
      <c r="V36" s="14">
        <f>IF(V$6="휴일","",COUNTIF(명부!$E$2:$E$25,"A")-COUNTIF(V$8:V$13,"휴직")-SUMPRODUCT(COUNTIF(V$8:V$13,코드!$F$2:$F$11)))</f>
        <v/>
      </c>
      <c r="W36" s="14">
        <f>IF(W$6="휴일","",COUNTIF(명부!$E$2:$E$25,"A")-COUNTIF(W$8:W$13,"휴직")-SUMPRODUCT(COUNTIF(W$8:W$13,코드!$F$2:$F$11)))</f>
        <v/>
      </c>
      <c r="X36" s="14">
        <f>IF(X$6="휴일","",COUNTIF(명부!$E$2:$E$25,"A")-COUNTIF(X$8:X$13,"휴직")-SUMPRODUCT(COUNTIF(X$8:X$13,코드!$F$2:$F$11)))</f>
        <v/>
      </c>
      <c r="Y36" s="14">
        <f>IF(Y$6="휴일","",COUNTIF(명부!$E$2:$E$25,"A")-COUNTIF(Y$8:Y$13,"휴직")-SUMPRODUCT(COUNTIF(Y$8:Y$13,코드!$F$2:$F$11)))</f>
        <v/>
      </c>
      <c r="Z36" s="14">
        <f>IF(Z$6="휴일","",COUNTIF(명부!$E$2:$E$25,"A")-COUNTIF(Z$8:Z$13,"휴직")-SUMPRODUCT(COUNTIF(Z$8:Z$13,코드!$F$2:$F$11)))</f>
        <v/>
      </c>
      <c r="AA36" s="14">
        <f>IF(AA$6="휴일","",COUNTIF(명부!$E$2:$E$25,"A")-COUNTIF(AA$8:AA$13,"휴직")-SUMPRODUCT(COUNTIF(AA$8:AA$13,코드!$F$2:$F$11)))</f>
        <v/>
      </c>
      <c r="AB36" s="14">
        <f>IF(AB$6="휴일","",COUNTIF(명부!$E$2:$E$25,"A")-COUNTIF(AB$8:AB$13,"휴직")-SUMPRODUCT(COUNTIF(AB$8:AB$13,코드!$F$2:$F$11)))</f>
        <v/>
      </c>
      <c r="AC36" s="14">
        <f>IF(AC$6="휴일","",COUNTIF(명부!$E$2:$E$25,"A")-COUNTIF(AC$8:AC$13,"휴직")-SUMPRODUCT(COUNTIF(AC$8:AC$13,코드!$F$2:$F$11)))</f>
        <v/>
      </c>
      <c r="AD36" s="14">
        <f>IF(AD$6="휴일","",COUNTIF(명부!$E$2:$E$25,"A")-COUNTIF(AD$8:AD$13,"휴직")-SUMPRODUCT(COUNTIF(AD$8:AD$13,코드!$F$2:$F$11)))</f>
        <v/>
      </c>
      <c r="AE36" s="14">
        <f>IF(AE$6="휴일","",COUNTIF(명부!$E$2:$E$25,"A")-COUNTIF(AE$8:AE$13,"휴직")-SUMPRODUCT(COUNTIF(AE$8:AE$13,코드!$F$2:$F$11)))</f>
        <v/>
      </c>
      <c r="AF36" s="14">
        <f>IF(AF$6="휴일","",COUNTIF(명부!$E$2:$E$25,"A")-COUNTIF(AF$8:AF$13,"휴직")-SUMPRODUCT(COUNTIF(AF$8:AF$13,코드!$F$2:$F$11)))</f>
        <v/>
      </c>
      <c r="AG36" s="14">
        <f>IF(AG$6="휴일","",COUNTIF(명부!$E$2:$E$25,"A")-COUNTIF(AG$8:AG$13,"휴직")-SUMPRODUCT(COUNTIF(AG$8:AG$13,코드!$F$2:$F$11)))</f>
        <v/>
      </c>
      <c r="AH36" s="14">
        <f>IF(AH$6="휴일","",COUNTIF(명부!$E$2:$E$25,"A")-COUNTIF(AH$8:AH$13,"휴직")-SUMPRODUCT(COUNTIF(AH$8:AH$13,코드!$F$2:$F$11)))</f>
        <v/>
      </c>
    </row>
    <row r="38">
      <c r="A38" s="7" t="inlineStr">
        <is>
          <t>판정이 「미달」인 날은 서로 조율해 8시간 근무 인원을 채우세요. 직책자 8시간이 0이면 팀장·파트장 중 한 명이 8시간을 맡아야 합니다. 근무 시각 조합이 규칙에 맞는지는 worktime/index.html 의 검증기로 확인하세요.</t>
        </is>
      </c>
    </row>
  </sheetData>
  <conditionalFormatting sqref="D8:AH31">
    <cfRule type="expression" priority="1" dxfId="0" stopIfTrue="0">
      <formula>D$6="휴일"</formula>
    </cfRule>
    <cfRule type="expression" priority="2" dxfId="1">
      <formula>D8&lt;&gt;""</formula>
    </cfRule>
  </conditionalFormatting>
  <conditionalFormatting sqref="D35:AH35">
    <cfRule type="cellIs" priority="3" operator="equal" dxfId="2">
      <formula>"미달"</formula>
    </cfRule>
    <cfRule type="cellIs" priority="4" operator="equal" dxfId="3">
      <formula>"충족"</formula>
    </cfRule>
  </conditionalFormatting>
  <conditionalFormatting sqref="D36:AH36">
    <cfRule type="cellIs" priority="5" operator="lessThan" dxfId="1">
      <formula>1</formula>
    </cfRule>
  </conditionalFormatting>
  <dataValidations count="1">
    <dataValidation sqref="D8:AH31" showDropDown="0" showInputMessage="0" showErrorMessage="0" allowBlank="1" errorTitle="허용되지 않는 값" error="드롭다운에 있는 근무 유형만 넣을 수 있습니다." promptTitle="근무 유형" prompt="빈칸 = 8시간 근무. 8시간을 못 채우는 날만 사유를 고르세요." type="list">
      <formula1>=코드!$A$2:$A$13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34"/>
  <sheetViews>
    <sheetView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6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12" customWidth="1" min="35" max="35"/>
    <col width="12" customWidth="1" min="36" max="36"/>
    <col width="12" customWidth="1" min="37" max="37"/>
    <col width="12" customWidth="1" min="38" max="38"/>
  </cols>
  <sheetData>
    <row r="1">
      <c r="A1" s="4" t="inlineStr">
        <is>
          <t>연</t>
        </is>
      </c>
      <c r="B1" s="5" t="n">
        <v>2026</v>
      </c>
      <c r="D1" s="6" t="inlineStr">
        <is>
          <t>OT — 날짜별 초과근로 시간 (1시간 45분 = 1.75)</t>
        </is>
      </c>
    </row>
    <row r="2">
      <c r="A2" s="4" t="inlineStr">
        <is>
          <t>월</t>
        </is>
      </c>
      <c r="B2" s="5" t="n">
        <v>9</v>
      </c>
      <c r="D2" s="7" t="inlineStr">
        <is>
          <t>노란 칸에 연·월을 넣으면 날짜와 요일이 자동으로 바뀝니다</t>
        </is>
      </c>
    </row>
    <row r="4">
      <c r="D4" s="8">
        <f>IF(MONTH(DATE($B$1,$B$2,COLUMN()-3))&lt;&gt;$B$2,"",COLUMN()-3)</f>
        <v/>
      </c>
      <c r="E4" s="8">
        <f>IF(MONTH(DATE($B$1,$B$2,COLUMN()-3))&lt;&gt;$B$2,"",COLUMN()-3)</f>
        <v/>
      </c>
      <c r="F4" s="8">
        <f>IF(MONTH(DATE($B$1,$B$2,COLUMN()-3))&lt;&gt;$B$2,"",COLUMN()-3)</f>
        <v/>
      </c>
      <c r="G4" s="8">
        <f>IF(MONTH(DATE($B$1,$B$2,COLUMN()-3))&lt;&gt;$B$2,"",COLUMN()-3)</f>
        <v/>
      </c>
      <c r="H4" s="8">
        <f>IF(MONTH(DATE($B$1,$B$2,COLUMN()-3))&lt;&gt;$B$2,"",COLUMN()-3)</f>
        <v/>
      </c>
      <c r="I4" s="8">
        <f>IF(MONTH(DATE($B$1,$B$2,COLUMN()-3))&lt;&gt;$B$2,"",COLUMN()-3)</f>
        <v/>
      </c>
      <c r="J4" s="8">
        <f>IF(MONTH(DATE($B$1,$B$2,COLUMN()-3))&lt;&gt;$B$2,"",COLUMN()-3)</f>
        <v/>
      </c>
      <c r="K4" s="8">
        <f>IF(MONTH(DATE($B$1,$B$2,COLUMN()-3))&lt;&gt;$B$2,"",COLUMN()-3)</f>
        <v/>
      </c>
      <c r="L4" s="8">
        <f>IF(MONTH(DATE($B$1,$B$2,COLUMN()-3))&lt;&gt;$B$2,"",COLUMN()-3)</f>
        <v/>
      </c>
      <c r="M4" s="8">
        <f>IF(MONTH(DATE($B$1,$B$2,COLUMN()-3))&lt;&gt;$B$2,"",COLUMN()-3)</f>
        <v/>
      </c>
      <c r="N4" s="8">
        <f>IF(MONTH(DATE($B$1,$B$2,COLUMN()-3))&lt;&gt;$B$2,"",COLUMN()-3)</f>
        <v/>
      </c>
      <c r="O4" s="8">
        <f>IF(MONTH(DATE($B$1,$B$2,COLUMN()-3))&lt;&gt;$B$2,"",COLUMN()-3)</f>
        <v/>
      </c>
      <c r="P4" s="8">
        <f>IF(MONTH(DATE($B$1,$B$2,COLUMN()-3))&lt;&gt;$B$2,"",COLUMN()-3)</f>
        <v/>
      </c>
      <c r="Q4" s="8">
        <f>IF(MONTH(DATE($B$1,$B$2,COLUMN()-3))&lt;&gt;$B$2,"",COLUMN()-3)</f>
        <v/>
      </c>
      <c r="R4" s="8">
        <f>IF(MONTH(DATE($B$1,$B$2,COLUMN()-3))&lt;&gt;$B$2,"",COLUMN()-3)</f>
        <v/>
      </c>
      <c r="S4" s="8">
        <f>IF(MONTH(DATE($B$1,$B$2,COLUMN()-3))&lt;&gt;$B$2,"",COLUMN()-3)</f>
        <v/>
      </c>
      <c r="T4" s="8">
        <f>IF(MONTH(DATE($B$1,$B$2,COLUMN()-3))&lt;&gt;$B$2,"",COLUMN()-3)</f>
        <v/>
      </c>
      <c r="U4" s="8">
        <f>IF(MONTH(DATE($B$1,$B$2,COLUMN()-3))&lt;&gt;$B$2,"",COLUMN()-3)</f>
        <v/>
      </c>
      <c r="V4" s="8">
        <f>IF(MONTH(DATE($B$1,$B$2,COLUMN()-3))&lt;&gt;$B$2,"",COLUMN()-3)</f>
        <v/>
      </c>
      <c r="W4" s="8">
        <f>IF(MONTH(DATE($B$1,$B$2,COLUMN()-3))&lt;&gt;$B$2,"",COLUMN()-3)</f>
        <v/>
      </c>
      <c r="X4" s="8">
        <f>IF(MONTH(DATE($B$1,$B$2,COLUMN()-3))&lt;&gt;$B$2,"",COLUMN()-3)</f>
        <v/>
      </c>
      <c r="Y4" s="8">
        <f>IF(MONTH(DATE($B$1,$B$2,COLUMN()-3))&lt;&gt;$B$2,"",COLUMN()-3)</f>
        <v/>
      </c>
      <c r="Z4" s="8">
        <f>IF(MONTH(DATE($B$1,$B$2,COLUMN()-3))&lt;&gt;$B$2,"",COLUMN()-3)</f>
        <v/>
      </c>
      <c r="AA4" s="8">
        <f>IF(MONTH(DATE($B$1,$B$2,COLUMN()-3))&lt;&gt;$B$2,"",COLUMN()-3)</f>
        <v/>
      </c>
      <c r="AB4" s="8">
        <f>IF(MONTH(DATE($B$1,$B$2,COLUMN()-3))&lt;&gt;$B$2,"",COLUMN()-3)</f>
        <v/>
      </c>
      <c r="AC4" s="8">
        <f>IF(MONTH(DATE($B$1,$B$2,COLUMN()-3))&lt;&gt;$B$2,"",COLUMN()-3)</f>
        <v/>
      </c>
      <c r="AD4" s="8">
        <f>IF(MONTH(DATE($B$1,$B$2,COLUMN()-3))&lt;&gt;$B$2,"",COLUMN()-3)</f>
        <v/>
      </c>
      <c r="AE4" s="8">
        <f>IF(MONTH(DATE($B$1,$B$2,COLUMN()-3))&lt;&gt;$B$2,"",COLUMN()-3)</f>
        <v/>
      </c>
      <c r="AF4" s="8">
        <f>IF(MONTH(DATE($B$1,$B$2,COLUMN()-3))&lt;&gt;$B$2,"",COLUMN()-3)</f>
        <v/>
      </c>
      <c r="AG4" s="8">
        <f>IF(MONTH(DATE($B$1,$B$2,COLUMN()-3))&lt;&gt;$B$2,"",COLUMN()-3)</f>
        <v/>
      </c>
      <c r="AH4" s="8">
        <f>IF(MONTH(DATE($B$1,$B$2,COLUMN()-3))&lt;&gt;$B$2,"",COLUMN()-3)</f>
        <v/>
      </c>
    </row>
    <row r="5">
      <c r="D5" s="9">
        <f>IF(D$4="","",INDEX(코드!$H$2:$H$8,WEEKDAY(DATE($B$1,$B$2,D$4))))</f>
        <v/>
      </c>
      <c r="E5" s="9">
        <f>IF(E$4="","",INDEX(코드!$H$2:$H$8,WEEKDAY(DATE($B$1,$B$2,E$4))))</f>
        <v/>
      </c>
      <c r="F5" s="9">
        <f>IF(F$4="","",INDEX(코드!$H$2:$H$8,WEEKDAY(DATE($B$1,$B$2,F$4))))</f>
        <v/>
      </c>
      <c r="G5" s="9">
        <f>IF(G$4="","",INDEX(코드!$H$2:$H$8,WEEKDAY(DATE($B$1,$B$2,G$4))))</f>
        <v/>
      </c>
      <c r="H5" s="9">
        <f>IF(H$4="","",INDEX(코드!$H$2:$H$8,WEEKDAY(DATE($B$1,$B$2,H$4))))</f>
        <v/>
      </c>
      <c r="I5" s="9">
        <f>IF(I$4="","",INDEX(코드!$H$2:$H$8,WEEKDAY(DATE($B$1,$B$2,I$4))))</f>
        <v/>
      </c>
      <c r="J5" s="9">
        <f>IF(J$4="","",INDEX(코드!$H$2:$H$8,WEEKDAY(DATE($B$1,$B$2,J$4))))</f>
        <v/>
      </c>
      <c r="K5" s="9">
        <f>IF(K$4="","",INDEX(코드!$H$2:$H$8,WEEKDAY(DATE($B$1,$B$2,K$4))))</f>
        <v/>
      </c>
      <c r="L5" s="9">
        <f>IF(L$4="","",INDEX(코드!$H$2:$H$8,WEEKDAY(DATE($B$1,$B$2,L$4))))</f>
        <v/>
      </c>
      <c r="M5" s="9">
        <f>IF(M$4="","",INDEX(코드!$H$2:$H$8,WEEKDAY(DATE($B$1,$B$2,M$4))))</f>
        <v/>
      </c>
      <c r="N5" s="9">
        <f>IF(N$4="","",INDEX(코드!$H$2:$H$8,WEEKDAY(DATE($B$1,$B$2,N$4))))</f>
        <v/>
      </c>
      <c r="O5" s="9">
        <f>IF(O$4="","",INDEX(코드!$H$2:$H$8,WEEKDAY(DATE($B$1,$B$2,O$4))))</f>
        <v/>
      </c>
      <c r="P5" s="9">
        <f>IF(P$4="","",INDEX(코드!$H$2:$H$8,WEEKDAY(DATE($B$1,$B$2,P$4))))</f>
        <v/>
      </c>
      <c r="Q5" s="9">
        <f>IF(Q$4="","",INDEX(코드!$H$2:$H$8,WEEKDAY(DATE($B$1,$B$2,Q$4))))</f>
        <v/>
      </c>
      <c r="R5" s="9">
        <f>IF(R$4="","",INDEX(코드!$H$2:$H$8,WEEKDAY(DATE($B$1,$B$2,R$4))))</f>
        <v/>
      </c>
      <c r="S5" s="9">
        <f>IF(S$4="","",INDEX(코드!$H$2:$H$8,WEEKDAY(DATE($B$1,$B$2,S$4))))</f>
        <v/>
      </c>
      <c r="T5" s="9">
        <f>IF(T$4="","",INDEX(코드!$H$2:$H$8,WEEKDAY(DATE($B$1,$B$2,T$4))))</f>
        <v/>
      </c>
      <c r="U5" s="9">
        <f>IF(U$4="","",INDEX(코드!$H$2:$H$8,WEEKDAY(DATE($B$1,$B$2,U$4))))</f>
        <v/>
      </c>
      <c r="V5" s="9">
        <f>IF(V$4="","",INDEX(코드!$H$2:$H$8,WEEKDAY(DATE($B$1,$B$2,V$4))))</f>
        <v/>
      </c>
      <c r="W5" s="9">
        <f>IF(W$4="","",INDEX(코드!$H$2:$H$8,WEEKDAY(DATE($B$1,$B$2,W$4))))</f>
        <v/>
      </c>
      <c r="X5" s="9">
        <f>IF(X$4="","",INDEX(코드!$H$2:$H$8,WEEKDAY(DATE($B$1,$B$2,X$4))))</f>
        <v/>
      </c>
      <c r="Y5" s="9">
        <f>IF(Y$4="","",INDEX(코드!$H$2:$H$8,WEEKDAY(DATE($B$1,$B$2,Y$4))))</f>
        <v/>
      </c>
      <c r="Z5" s="9">
        <f>IF(Z$4="","",INDEX(코드!$H$2:$H$8,WEEKDAY(DATE($B$1,$B$2,Z$4))))</f>
        <v/>
      </c>
      <c r="AA5" s="9">
        <f>IF(AA$4="","",INDEX(코드!$H$2:$H$8,WEEKDAY(DATE($B$1,$B$2,AA$4))))</f>
        <v/>
      </c>
      <c r="AB5" s="9">
        <f>IF(AB$4="","",INDEX(코드!$H$2:$H$8,WEEKDAY(DATE($B$1,$B$2,AB$4))))</f>
        <v/>
      </c>
      <c r="AC5" s="9">
        <f>IF(AC$4="","",INDEX(코드!$H$2:$H$8,WEEKDAY(DATE($B$1,$B$2,AC$4))))</f>
        <v/>
      </c>
      <c r="AD5" s="9">
        <f>IF(AD$4="","",INDEX(코드!$H$2:$H$8,WEEKDAY(DATE($B$1,$B$2,AD$4))))</f>
        <v/>
      </c>
      <c r="AE5" s="9">
        <f>IF(AE$4="","",INDEX(코드!$H$2:$H$8,WEEKDAY(DATE($B$1,$B$2,AE$4))))</f>
        <v/>
      </c>
      <c r="AF5" s="9">
        <f>IF(AF$4="","",INDEX(코드!$H$2:$H$8,WEEKDAY(DATE($B$1,$B$2,AF$4))))</f>
        <v/>
      </c>
      <c r="AG5" s="9">
        <f>IF(AG$4="","",INDEX(코드!$H$2:$H$8,WEEKDAY(DATE($B$1,$B$2,AG$4))))</f>
        <v/>
      </c>
      <c r="AH5" s="9">
        <f>IF(AH$4="","",INDEX(코드!$H$2:$H$8,WEEKDAY(DATE($B$1,$B$2,AH$4))))</f>
        <v/>
      </c>
    </row>
    <row r="6">
      <c r="D6" s="10">
        <f>IF(D$4="","",IF(OR(WEEKDAY(DATE($B$1,$B$2,D$4),2)&gt;5,COUNTIF(공휴일!$A$2:$A$400,DATE($B$1,$B$2,D$4))&gt;0),"휴일",""))</f>
        <v/>
      </c>
      <c r="E6" s="10">
        <f>IF(E$4="","",IF(OR(WEEKDAY(DATE($B$1,$B$2,E$4),2)&gt;5,COUNTIF(공휴일!$A$2:$A$400,DATE($B$1,$B$2,E$4))&gt;0),"휴일",""))</f>
        <v/>
      </c>
      <c r="F6" s="10">
        <f>IF(F$4="","",IF(OR(WEEKDAY(DATE($B$1,$B$2,F$4),2)&gt;5,COUNTIF(공휴일!$A$2:$A$400,DATE($B$1,$B$2,F$4))&gt;0),"휴일",""))</f>
        <v/>
      </c>
      <c r="G6" s="10">
        <f>IF(G$4="","",IF(OR(WEEKDAY(DATE($B$1,$B$2,G$4),2)&gt;5,COUNTIF(공휴일!$A$2:$A$400,DATE($B$1,$B$2,G$4))&gt;0),"휴일",""))</f>
        <v/>
      </c>
      <c r="H6" s="10">
        <f>IF(H$4="","",IF(OR(WEEKDAY(DATE($B$1,$B$2,H$4),2)&gt;5,COUNTIF(공휴일!$A$2:$A$400,DATE($B$1,$B$2,H$4))&gt;0),"휴일",""))</f>
        <v/>
      </c>
      <c r="I6" s="10">
        <f>IF(I$4="","",IF(OR(WEEKDAY(DATE($B$1,$B$2,I$4),2)&gt;5,COUNTIF(공휴일!$A$2:$A$400,DATE($B$1,$B$2,I$4))&gt;0),"휴일",""))</f>
        <v/>
      </c>
      <c r="J6" s="10">
        <f>IF(J$4="","",IF(OR(WEEKDAY(DATE($B$1,$B$2,J$4),2)&gt;5,COUNTIF(공휴일!$A$2:$A$400,DATE($B$1,$B$2,J$4))&gt;0),"휴일",""))</f>
        <v/>
      </c>
      <c r="K6" s="10">
        <f>IF(K$4="","",IF(OR(WEEKDAY(DATE($B$1,$B$2,K$4),2)&gt;5,COUNTIF(공휴일!$A$2:$A$400,DATE($B$1,$B$2,K$4))&gt;0),"휴일",""))</f>
        <v/>
      </c>
      <c r="L6" s="10">
        <f>IF(L$4="","",IF(OR(WEEKDAY(DATE($B$1,$B$2,L$4),2)&gt;5,COUNTIF(공휴일!$A$2:$A$400,DATE($B$1,$B$2,L$4))&gt;0),"휴일",""))</f>
        <v/>
      </c>
      <c r="M6" s="10">
        <f>IF(M$4="","",IF(OR(WEEKDAY(DATE($B$1,$B$2,M$4),2)&gt;5,COUNTIF(공휴일!$A$2:$A$400,DATE($B$1,$B$2,M$4))&gt;0),"휴일",""))</f>
        <v/>
      </c>
      <c r="N6" s="10">
        <f>IF(N$4="","",IF(OR(WEEKDAY(DATE($B$1,$B$2,N$4),2)&gt;5,COUNTIF(공휴일!$A$2:$A$400,DATE($B$1,$B$2,N$4))&gt;0),"휴일",""))</f>
        <v/>
      </c>
      <c r="O6" s="10">
        <f>IF(O$4="","",IF(OR(WEEKDAY(DATE($B$1,$B$2,O$4),2)&gt;5,COUNTIF(공휴일!$A$2:$A$400,DATE($B$1,$B$2,O$4))&gt;0),"휴일",""))</f>
        <v/>
      </c>
      <c r="P6" s="10">
        <f>IF(P$4="","",IF(OR(WEEKDAY(DATE($B$1,$B$2,P$4),2)&gt;5,COUNTIF(공휴일!$A$2:$A$400,DATE($B$1,$B$2,P$4))&gt;0),"휴일",""))</f>
        <v/>
      </c>
      <c r="Q6" s="10">
        <f>IF(Q$4="","",IF(OR(WEEKDAY(DATE($B$1,$B$2,Q$4),2)&gt;5,COUNTIF(공휴일!$A$2:$A$400,DATE($B$1,$B$2,Q$4))&gt;0),"휴일",""))</f>
        <v/>
      </c>
      <c r="R6" s="10">
        <f>IF(R$4="","",IF(OR(WEEKDAY(DATE($B$1,$B$2,R$4),2)&gt;5,COUNTIF(공휴일!$A$2:$A$400,DATE($B$1,$B$2,R$4))&gt;0),"휴일",""))</f>
        <v/>
      </c>
      <c r="S6" s="10">
        <f>IF(S$4="","",IF(OR(WEEKDAY(DATE($B$1,$B$2,S$4),2)&gt;5,COUNTIF(공휴일!$A$2:$A$400,DATE($B$1,$B$2,S$4))&gt;0),"휴일",""))</f>
        <v/>
      </c>
      <c r="T6" s="10">
        <f>IF(T$4="","",IF(OR(WEEKDAY(DATE($B$1,$B$2,T$4),2)&gt;5,COUNTIF(공휴일!$A$2:$A$400,DATE($B$1,$B$2,T$4))&gt;0),"휴일",""))</f>
        <v/>
      </c>
      <c r="U6" s="10">
        <f>IF(U$4="","",IF(OR(WEEKDAY(DATE($B$1,$B$2,U$4),2)&gt;5,COUNTIF(공휴일!$A$2:$A$400,DATE($B$1,$B$2,U$4))&gt;0),"휴일",""))</f>
        <v/>
      </c>
      <c r="V6" s="10">
        <f>IF(V$4="","",IF(OR(WEEKDAY(DATE($B$1,$B$2,V$4),2)&gt;5,COUNTIF(공휴일!$A$2:$A$400,DATE($B$1,$B$2,V$4))&gt;0),"휴일",""))</f>
        <v/>
      </c>
      <c r="W6" s="10">
        <f>IF(W$4="","",IF(OR(WEEKDAY(DATE($B$1,$B$2,W$4),2)&gt;5,COUNTIF(공휴일!$A$2:$A$400,DATE($B$1,$B$2,W$4))&gt;0),"휴일",""))</f>
        <v/>
      </c>
      <c r="X6" s="10">
        <f>IF(X$4="","",IF(OR(WEEKDAY(DATE($B$1,$B$2,X$4),2)&gt;5,COUNTIF(공휴일!$A$2:$A$400,DATE($B$1,$B$2,X$4))&gt;0),"휴일",""))</f>
        <v/>
      </c>
      <c r="Y6" s="10">
        <f>IF(Y$4="","",IF(OR(WEEKDAY(DATE($B$1,$B$2,Y$4),2)&gt;5,COUNTIF(공휴일!$A$2:$A$400,DATE($B$1,$B$2,Y$4))&gt;0),"휴일",""))</f>
        <v/>
      </c>
      <c r="Z6" s="10">
        <f>IF(Z$4="","",IF(OR(WEEKDAY(DATE($B$1,$B$2,Z$4),2)&gt;5,COUNTIF(공휴일!$A$2:$A$400,DATE($B$1,$B$2,Z$4))&gt;0),"휴일",""))</f>
        <v/>
      </c>
      <c r="AA6" s="10">
        <f>IF(AA$4="","",IF(OR(WEEKDAY(DATE($B$1,$B$2,AA$4),2)&gt;5,COUNTIF(공휴일!$A$2:$A$400,DATE($B$1,$B$2,AA$4))&gt;0),"휴일",""))</f>
        <v/>
      </c>
      <c r="AB6" s="10">
        <f>IF(AB$4="","",IF(OR(WEEKDAY(DATE($B$1,$B$2,AB$4),2)&gt;5,COUNTIF(공휴일!$A$2:$A$400,DATE($B$1,$B$2,AB$4))&gt;0),"휴일",""))</f>
        <v/>
      </c>
      <c r="AC6" s="10">
        <f>IF(AC$4="","",IF(OR(WEEKDAY(DATE($B$1,$B$2,AC$4),2)&gt;5,COUNTIF(공휴일!$A$2:$A$400,DATE($B$1,$B$2,AC$4))&gt;0),"휴일",""))</f>
        <v/>
      </c>
      <c r="AD6" s="10">
        <f>IF(AD$4="","",IF(OR(WEEKDAY(DATE($B$1,$B$2,AD$4),2)&gt;5,COUNTIF(공휴일!$A$2:$A$400,DATE($B$1,$B$2,AD$4))&gt;0),"휴일",""))</f>
        <v/>
      </c>
      <c r="AE6" s="10">
        <f>IF(AE$4="","",IF(OR(WEEKDAY(DATE($B$1,$B$2,AE$4),2)&gt;5,COUNTIF(공휴일!$A$2:$A$400,DATE($B$1,$B$2,AE$4))&gt;0),"휴일",""))</f>
        <v/>
      </c>
      <c r="AF6" s="10">
        <f>IF(AF$4="","",IF(OR(WEEKDAY(DATE($B$1,$B$2,AF$4),2)&gt;5,COUNTIF(공휴일!$A$2:$A$400,DATE($B$1,$B$2,AF$4))&gt;0),"휴일",""))</f>
        <v/>
      </c>
      <c r="AG6" s="10">
        <f>IF(AG$4="","",IF(OR(WEEKDAY(DATE($B$1,$B$2,AG$4),2)&gt;5,COUNTIF(공휴일!$A$2:$A$400,DATE($B$1,$B$2,AG$4))&gt;0),"휴일",""))</f>
        <v/>
      </c>
      <c r="AH6" s="10">
        <f>IF(AH$4="","",IF(OR(WEEKDAY(DATE($B$1,$B$2,AH$4),2)&gt;5,COUNTIF(공휴일!$A$2:$A$400,DATE($B$1,$B$2,AH$4))&gt;0),"휴일",""))</f>
        <v/>
      </c>
    </row>
    <row r="7">
      <c r="A7" s="8" t="inlineStr">
        <is>
          <t>이름</t>
        </is>
      </c>
      <c r="B7" s="8" t="inlineStr">
        <is>
          <t>파트</t>
        </is>
      </c>
      <c r="C7" s="8" t="inlineStr">
        <is>
          <t>그룹</t>
        </is>
      </c>
      <c r="AI7" s="8" t="inlineStr">
        <is>
          <t>월 합계</t>
        </is>
      </c>
      <c r="AJ7" s="8" t="inlineStr">
        <is>
          <t>기본 가능시간</t>
        </is>
      </c>
      <c r="AK7" s="8" t="inlineStr">
        <is>
          <t>휴가 가산</t>
        </is>
      </c>
      <c r="AL7" s="8" t="inlineStr">
        <is>
          <t>잔여</t>
        </is>
      </c>
    </row>
    <row r="8">
      <c r="A8" s="11">
        <f>IF(명부!A2="","",명부!A2)</f>
        <v/>
      </c>
      <c r="B8" s="12">
        <f>IF(명부!C2="","",명부!C2)</f>
        <v/>
      </c>
      <c r="C8" s="13">
        <f>IF(명부!E2="","",명부!E2)</f>
        <v/>
      </c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9">
        <f>SUM(D8:AH8)</f>
        <v/>
      </c>
      <c r="AJ8" s="20" t="n"/>
      <c r="AK8" s="21">
        <f>COUNTIF(근태!D8:AH8,"연차")*8+(COUNTIF(근태!D8:AH8,"오전반차")+COUNTIF(근태!D8:AH8,"오후반차")+COUNTIF(근태!D8:AH8,"건강검진"))*4+(COUNTIF(근태!D8:AH8,"오전반반차")+COUNTIF(근태!D8:AH8,"오후반반차"))*2</f>
        <v/>
      </c>
      <c r="AL8" s="22">
        <f>AJ8+AK8-AI8</f>
        <v/>
      </c>
    </row>
    <row r="9">
      <c r="A9" s="11">
        <f>IF(명부!A3="","",명부!A3)</f>
        <v/>
      </c>
      <c r="B9" s="12">
        <f>IF(명부!C3="","",명부!C3)</f>
        <v/>
      </c>
      <c r="C9" s="13">
        <f>IF(명부!E3="","",명부!E3)</f>
        <v/>
      </c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9">
        <f>SUM(D9:AH9)</f>
        <v/>
      </c>
      <c r="AJ9" s="20" t="n"/>
      <c r="AK9" s="21">
        <f>COUNTIF(근태!D9:AH9,"연차")*8+(COUNTIF(근태!D9:AH9,"오전반차")+COUNTIF(근태!D9:AH9,"오후반차")+COUNTIF(근태!D9:AH9,"건강검진"))*4+(COUNTIF(근태!D9:AH9,"오전반반차")+COUNTIF(근태!D9:AH9,"오후반반차"))*2</f>
        <v/>
      </c>
      <c r="AL9" s="22">
        <f>AJ9+AK9-AI9</f>
        <v/>
      </c>
    </row>
    <row r="10">
      <c r="A10" s="11">
        <f>IF(명부!A4="","",명부!A4)</f>
        <v/>
      </c>
      <c r="B10" s="12">
        <f>IF(명부!C4="","",명부!C4)</f>
        <v/>
      </c>
      <c r="C10" s="13">
        <f>IF(명부!E4="","",명부!E4)</f>
        <v/>
      </c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9">
        <f>SUM(D10:AH10)</f>
        <v/>
      </c>
      <c r="AJ10" s="20" t="n"/>
      <c r="AK10" s="21">
        <f>COUNTIF(근태!D10:AH10,"연차")*8+(COUNTIF(근태!D10:AH10,"오전반차")+COUNTIF(근태!D10:AH10,"오후반차")+COUNTIF(근태!D10:AH10,"건강검진"))*4+(COUNTIF(근태!D10:AH10,"오전반반차")+COUNTIF(근태!D10:AH10,"오후반반차"))*2</f>
        <v/>
      </c>
      <c r="AL10" s="22">
        <f>AJ10+AK10-AI10</f>
        <v/>
      </c>
    </row>
    <row r="11">
      <c r="A11" s="11">
        <f>IF(명부!A5="","",명부!A5)</f>
        <v/>
      </c>
      <c r="B11" s="12">
        <f>IF(명부!C5="","",명부!C5)</f>
        <v/>
      </c>
      <c r="C11" s="13">
        <f>IF(명부!E5="","",명부!E5)</f>
        <v/>
      </c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9">
        <f>SUM(D11:AH11)</f>
        <v/>
      </c>
      <c r="AJ11" s="20" t="n"/>
      <c r="AK11" s="21">
        <f>COUNTIF(근태!D11:AH11,"연차")*8+(COUNTIF(근태!D11:AH11,"오전반차")+COUNTIF(근태!D11:AH11,"오후반차")+COUNTIF(근태!D11:AH11,"건강검진"))*4+(COUNTIF(근태!D11:AH11,"오전반반차")+COUNTIF(근태!D11:AH11,"오후반반차"))*2</f>
        <v/>
      </c>
      <c r="AL11" s="22">
        <f>AJ11+AK11-AI11</f>
        <v/>
      </c>
    </row>
    <row r="12">
      <c r="A12" s="11">
        <f>IF(명부!A6="","",명부!A6)</f>
        <v/>
      </c>
      <c r="B12" s="12">
        <f>IF(명부!C6="","",명부!C6)</f>
        <v/>
      </c>
      <c r="C12" s="13">
        <f>IF(명부!E6="","",명부!E6)</f>
        <v/>
      </c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9">
        <f>SUM(D12:AH12)</f>
        <v/>
      </c>
      <c r="AJ12" s="20" t="n"/>
      <c r="AK12" s="21">
        <f>COUNTIF(근태!D12:AH12,"연차")*8+(COUNTIF(근태!D12:AH12,"오전반차")+COUNTIF(근태!D12:AH12,"오후반차")+COUNTIF(근태!D12:AH12,"건강검진"))*4+(COUNTIF(근태!D12:AH12,"오전반반차")+COUNTIF(근태!D12:AH12,"오후반반차"))*2</f>
        <v/>
      </c>
      <c r="AL12" s="22">
        <f>AJ12+AK12-AI12</f>
        <v/>
      </c>
    </row>
    <row r="13">
      <c r="A13" s="11">
        <f>IF(명부!A7="","",명부!A7)</f>
        <v/>
      </c>
      <c r="B13" s="12">
        <f>IF(명부!C7="","",명부!C7)</f>
        <v/>
      </c>
      <c r="C13" s="13">
        <f>IF(명부!E7="","",명부!E7)</f>
        <v/>
      </c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9">
        <f>SUM(D13:AH13)</f>
        <v/>
      </c>
      <c r="AJ13" s="20" t="n"/>
      <c r="AK13" s="21">
        <f>COUNTIF(근태!D13:AH13,"연차")*8+(COUNTIF(근태!D13:AH13,"오전반차")+COUNTIF(근태!D13:AH13,"오후반차")+COUNTIF(근태!D13:AH13,"건강검진"))*4+(COUNTIF(근태!D13:AH13,"오전반반차")+COUNTIF(근태!D13:AH13,"오후반반차"))*2</f>
        <v/>
      </c>
      <c r="AL13" s="22">
        <f>AJ13+AK13-AI13</f>
        <v/>
      </c>
    </row>
    <row r="14">
      <c r="A14" s="11">
        <f>IF(명부!A8="","",명부!A8)</f>
        <v/>
      </c>
      <c r="B14" s="12">
        <f>IF(명부!C8="","",명부!C8)</f>
        <v/>
      </c>
      <c r="C14" s="13">
        <f>IF(명부!E8="","",명부!E8)</f>
        <v/>
      </c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9">
        <f>SUM(D14:AH14)</f>
        <v/>
      </c>
      <c r="AJ14" s="20" t="n"/>
      <c r="AK14" s="21">
        <f>COUNTIF(근태!D14:AH14,"연차")*8+(COUNTIF(근태!D14:AH14,"오전반차")+COUNTIF(근태!D14:AH14,"오후반차")+COUNTIF(근태!D14:AH14,"건강검진"))*4+(COUNTIF(근태!D14:AH14,"오전반반차")+COUNTIF(근태!D14:AH14,"오후반반차"))*2</f>
        <v/>
      </c>
      <c r="AL14" s="22">
        <f>AJ14+AK14-AI14</f>
        <v/>
      </c>
    </row>
    <row r="15">
      <c r="A15" s="11">
        <f>IF(명부!A9="","",명부!A9)</f>
        <v/>
      </c>
      <c r="B15" s="12">
        <f>IF(명부!C9="","",명부!C9)</f>
        <v/>
      </c>
      <c r="C15" s="13">
        <f>IF(명부!E9="","",명부!E9)</f>
        <v/>
      </c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9">
        <f>SUM(D15:AH15)</f>
        <v/>
      </c>
      <c r="AJ15" s="20" t="n"/>
      <c r="AK15" s="21">
        <f>COUNTIF(근태!D15:AH15,"연차")*8+(COUNTIF(근태!D15:AH15,"오전반차")+COUNTIF(근태!D15:AH15,"오후반차")+COUNTIF(근태!D15:AH15,"건강검진"))*4+(COUNTIF(근태!D15:AH15,"오전반반차")+COUNTIF(근태!D15:AH15,"오후반반차"))*2</f>
        <v/>
      </c>
      <c r="AL15" s="22">
        <f>AJ15+AK15-AI15</f>
        <v/>
      </c>
    </row>
    <row r="16">
      <c r="A16" s="11">
        <f>IF(명부!A10="","",명부!A10)</f>
        <v/>
      </c>
      <c r="B16" s="12">
        <f>IF(명부!C10="","",명부!C10)</f>
        <v/>
      </c>
      <c r="C16" s="13">
        <f>IF(명부!E10="","",명부!E10)</f>
        <v/>
      </c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9">
        <f>SUM(D16:AH16)</f>
        <v/>
      </c>
      <c r="AJ16" s="20" t="n"/>
      <c r="AK16" s="21">
        <f>COUNTIF(근태!D16:AH16,"연차")*8+(COUNTIF(근태!D16:AH16,"오전반차")+COUNTIF(근태!D16:AH16,"오후반차")+COUNTIF(근태!D16:AH16,"건강검진"))*4+(COUNTIF(근태!D16:AH16,"오전반반차")+COUNTIF(근태!D16:AH16,"오후반반차"))*2</f>
        <v/>
      </c>
      <c r="AL16" s="22">
        <f>AJ16+AK16-AI16</f>
        <v/>
      </c>
    </row>
    <row r="17">
      <c r="A17" s="11">
        <f>IF(명부!A11="","",명부!A11)</f>
        <v/>
      </c>
      <c r="B17" s="12">
        <f>IF(명부!C11="","",명부!C11)</f>
        <v/>
      </c>
      <c r="C17" s="13">
        <f>IF(명부!E11="","",명부!E11)</f>
        <v/>
      </c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9">
        <f>SUM(D17:AH17)</f>
        <v/>
      </c>
      <c r="AJ17" s="20" t="n"/>
      <c r="AK17" s="21">
        <f>COUNTIF(근태!D17:AH17,"연차")*8+(COUNTIF(근태!D17:AH17,"오전반차")+COUNTIF(근태!D17:AH17,"오후반차")+COUNTIF(근태!D17:AH17,"건강검진"))*4+(COUNTIF(근태!D17:AH17,"오전반반차")+COUNTIF(근태!D17:AH17,"오후반반차"))*2</f>
        <v/>
      </c>
      <c r="AL17" s="22">
        <f>AJ17+AK17-AI17</f>
        <v/>
      </c>
    </row>
    <row r="18">
      <c r="A18" s="11">
        <f>IF(명부!A12="","",명부!A12)</f>
        <v/>
      </c>
      <c r="B18" s="12">
        <f>IF(명부!C12="","",명부!C12)</f>
        <v/>
      </c>
      <c r="C18" s="13">
        <f>IF(명부!E12="","",명부!E12)</f>
        <v/>
      </c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9">
        <f>SUM(D18:AH18)</f>
        <v/>
      </c>
      <c r="AJ18" s="20" t="n"/>
      <c r="AK18" s="21">
        <f>COUNTIF(근태!D18:AH18,"연차")*8+(COUNTIF(근태!D18:AH18,"오전반차")+COUNTIF(근태!D18:AH18,"오후반차")+COUNTIF(근태!D18:AH18,"건강검진"))*4+(COUNTIF(근태!D18:AH18,"오전반반차")+COUNTIF(근태!D18:AH18,"오후반반차"))*2</f>
        <v/>
      </c>
      <c r="AL18" s="22">
        <f>AJ18+AK18-AI18</f>
        <v/>
      </c>
    </row>
    <row r="19">
      <c r="A19" s="11">
        <f>IF(명부!A13="","",명부!A13)</f>
        <v/>
      </c>
      <c r="B19" s="12">
        <f>IF(명부!C13="","",명부!C13)</f>
        <v/>
      </c>
      <c r="C19" s="13">
        <f>IF(명부!E13="","",명부!E13)</f>
        <v/>
      </c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9">
        <f>SUM(D19:AH19)</f>
        <v/>
      </c>
      <c r="AJ19" s="20" t="n"/>
      <c r="AK19" s="21">
        <f>COUNTIF(근태!D19:AH19,"연차")*8+(COUNTIF(근태!D19:AH19,"오전반차")+COUNTIF(근태!D19:AH19,"오후반차")+COUNTIF(근태!D19:AH19,"건강검진"))*4+(COUNTIF(근태!D19:AH19,"오전반반차")+COUNTIF(근태!D19:AH19,"오후반반차"))*2</f>
        <v/>
      </c>
      <c r="AL19" s="22">
        <f>AJ19+AK19-AI19</f>
        <v/>
      </c>
    </row>
    <row r="20">
      <c r="A20" s="11">
        <f>IF(명부!A14="","",명부!A14)</f>
        <v/>
      </c>
      <c r="B20" s="12">
        <f>IF(명부!C14="","",명부!C14)</f>
        <v/>
      </c>
      <c r="C20" s="13">
        <f>IF(명부!E14="","",명부!E14)</f>
        <v/>
      </c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9">
        <f>SUM(D20:AH20)</f>
        <v/>
      </c>
      <c r="AJ20" s="20" t="n"/>
      <c r="AK20" s="21">
        <f>COUNTIF(근태!D20:AH20,"연차")*8+(COUNTIF(근태!D20:AH20,"오전반차")+COUNTIF(근태!D20:AH20,"오후반차")+COUNTIF(근태!D20:AH20,"건강검진"))*4+(COUNTIF(근태!D20:AH20,"오전반반차")+COUNTIF(근태!D20:AH20,"오후반반차"))*2</f>
        <v/>
      </c>
      <c r="AL20" s="22">
        <f>AJ20+AK20-AI20</f>
        <v/>
      </c>
    </row>
    <row r="21">
      <c r="A21" s="11">
        <f>IF(명부!A15="","",명부!A15)</f>
        <v/>
      </c>
      <c r="B21" s="12">
        <f>IF(명부!C15="","",명부!C15)</f>
        <v/>
      </c>
      <c r="C21" s="13">
        <f>IF(명부!E15="","",명부!E15)</f>
        <v/>
      </c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9">
        <f>SUM(D21:AH21)</f>
        <v/>
      </c>
      <c r="AJ21" s="20" t="n"/>
      <c r="AK21" s="21">
        <f>COUNTIF(근태!D21:AH21,"연차")*8+(COUNTIF(근태!D21:AH21,"오전반차")+COUNTIF(근태!D21:AH21,"오후반차")+COUNTIF(근태!D21:AH21,"건강검진"))*4+(COUNTIF(근태!D21:AH21,"오전반반차")+COUNTIF(근태!D21:AH21,"오후반반차"))*2</f>
        <v/>
      </c>
      <c r="AL21" s="22">
        <f>AJ21+AK21-AI21</f>
        <v/>
      </c>
    </row>
    <row r="22">
      <c r="A22" s="11">
        <f>IF(명부!A16="","",명부!A16)</f>
        <v/>
      </c>
      <c r="B22" s="12">
        <f>IF(명부!C16="","",명부!C16)</f>
        <v/>
      </c>
      <c r="C22" s="13">
        <f>IF(명부!E16="","",명부!E16)</f>
        <v/>
      </c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9">
        <f>SUM(D22:AH22)</f>
        <v/>
      </c>
      <c r="AJ22" s="20" t="n"/>
      <c r="AK22" s="21">
        <f>COUNTIF(근태!D22:AH22,"연차")*8+(COUNTIF(근태!D22:AH22,"오전반차")+COUNTIF(근태!D22:AH22,"오후반차")+COUNTIF(근태!D22:AH22,"건강검진"))*4+(COUNTIF(근태!D22:AH22,"오전반반차")+COUNTIF(근태!D22:AH22,"오후반반차"))*2</f>
        <v/>
      </c>
      <c r="AL22" s="22">
        <f>AJ22+AK22-AI22</f>
        <v/>
      </c>
    </row>
    <row r="23">
      <c r="A23" s="11">
        <f>IF(명부!A17="","",명부!A17)</f>
        <v/>
      </c>
      <c r="B23" s="12">
        <f>IF(명부!C17="","",명부!C17)</f>
        <v/>
      </c>
      <c r="C23" s="13">
        <f>IF(명부!E17="","",명부!E17)</f>
        <v/>
      </c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9">
        <f>SUM(D23:AH23)</f>
        <v/>
      </c>
      <c r="AJ23" s="20" t="n"/>
      <c r="AK23" s="21">
        <f>COUNTIF(근태!D23:AH23,"연차")*8+(COUNTIF(근태!D23:AH23,"오전반차")+COUNTIF(근태!D23:AH23,"오후반차")+COUNTIF(근태!D23:AH23,"건강검진"))*4+(COUNTIF(근태!D23:AH23,"오전반반차")+COUNTIF(근태!D23:AH23,"오후반반차"))*2</f>
        <v/>
      </c>
      <c r="AL23" s="22">
        <f>AJ23+AK23-AI23</f>
        <v/>
      </c>
    </row>
    <row r="24">
      <c r="A24" s="11">
        <f>IF(명부!A18="","",명부!A18)</f>
        <v/>
      </c>
      <c r="B24" s="12">
        <f>IF(명부!C18="","",명부!C18)</f>
        <v/>
      </c>
      <c r="C24" s="13">
        <f>IF(명부!E18="","",명부!E18)</f>
        <v/>
      </c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9">
        <f>SUM(D24:AH24)</f>
        <v/>
      </c>
      <c r="AJ24" s="20" t="n"/>
      <c r="AK24" s="21">
        <f>COUNTIF(근태!D24:AH24,"연차")*8+(COUNTIF(근태!D24:AH24,"오전반차")+COUNTIF(근태!D24:AH24,"오후반차")+COUNTIF(근태!D24:AH24,"건강검진"))*4+(COUNTIF(근태!D24:AH24,"오전반반차")+COUNTIF(근태!D24:AH24,"오후반반차"))*2</f>
        <v/>
      </c>
      <c r="AL24" s="22">
        <f>AJ24+AK24-AI24</f>
        <v/>
      </c>
    </row>
    <row r="25">
      <c r="A25" s="11">
        <f>IF(명부!A19="","",명부!A19)</f>
        <v/>
      </c>
      <c r="B25" s="12">
        <f>IF(명부!C19="","",명부!C19)</f>
        <v/>
      </c>
      <c r="C25" s="13">
        <f>IF(명부!E19="","",명부!E19)</f>
        <v/>
      </c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9">
        <f>SUM(D25:AH25)</f>
        <v/>
      </c>
      <c r="AJ25" s="20" t="n"/>
      <c r="AK25" s="21">
        <f>COUNTIF(근태!D25:AH25,"연차")*8+(COUNTIF(근태!D25:AH25,"오전반차")+COUNTIF(근태!D25:AH25,"오후반차")+COUNTIF(근태!D25:AH25,"건강검진"))*4+(COUNTIF(근태!D25:AH25,"오전반반차")+COUNTIF(근태!D25:AH25,"오후반반차"))*2</f>
        <v/>
      </c>
      <c r="AL25" s="22">
        <f>AJ25+AK25-AI25</f>
        <v/>
      </c>
    </row>
    <row r="26">
      <c r="A26" s="11">
        <f>IF(명부!A20="","",명부!A20)</f>
        <v/>
      </c>
      <c r="B26" s="12">
        <f>IF(명부!C20="","",명부!C20)</f>
        <v/>
      </c>
      <c r="C26" s="13">
        <f>IF(명부!E20="","",명부!E20)</f>
        <v/>
      </c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9">
        <f>SUM(D26:AH26)</f>
        <v/>
      </c>
      <c r="AJ26" s="20" t="n"/>
      <c r="AK26" s="21">
        <f>COUNTIF(근태!D26:AH26,"연차")*8+(COUNTIF(근태!D26:AH26,"오전반차")+COUNTIF(근태!D26:AH26,"오후반차")+COUNTIF(근태!D26:AH26,"건강검진"))*4+(COUNTIF(근태!D26:AH26,"오전반반차")+COUNTIF(근태!D26:AH26,"오후반반차"))*2</f>
        <v/>
      </c>
      <c r="AL26" s="22">
        <f>AJ26+AK26-AI26</f>
        <v/>
      </c>
    </row>
    <row r="27">
      <c r="A27" s="11">
        <f>IF(명부!A21="","",명부!A21)</f>
        <v/>
      </c>
      <c r="B27" s="12">
        <f>IF(명부!C21="","",명부!C21)</f>
        <v/>
      </c>
      <c r="C27" s="13">
        <f>IF(명부!E21="","",명부!E21)</f>
        <v/>
      </c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9">
        <f>SUM(D27:AH27)</f>
        <v/>
      </c>
      <c r="AJ27" s="20" t="n"/>
      <c r="AK27" s="21">
        <f>COUNTIF(근태!D27:AH27,"연차")*8+(COUNTIF(근태!D27:AH27,"오전반차")+COUNTIF(근태!D27:AH27,"오후반차")+COUNTIF(근태!D27:AH27,"건강검진"))*4+(COUNTIF(근태!D27:AH27,"오전반반차")+COUNTIF(근태!D27:AH27,"오후반반차"))*2</f>
        <v/>
      </c>
      <c r="AL27" s="22">
        <f>AJ27+AK27-AI27</f>
        <v/>
      </c>
    </row>
    <row r="28">
      <c r="A28" s="11">
        <f>IF(명부!A22="","",명부!A22)</f>
        <v/>
      </c>
      <c r="B28" s="12">
        <f>IF(명부!C22="","",명부!C22)</f>
        <v/>
      </c>
      <c r="C28" s="13">
        <f>IF(명부!E22="","",명부!E22)</f>
        <v/>
      </c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9">
        <f>SUM(D28:AH28)</f>
        <v/>
      </c>
      <c r="AJ28" s="20" t="n"/>
      <c r="AK28" s="21">
        <f>COUNTIF(근태!D28:AH28,"연차")*8+(COUNTIF(근태!D28:AH28,"오전반차")+COUNTIF(근태!D28:AH28,"오후반차")+COUNTIF(근태!D28:AH28,"건강검진"))*4+(COUNTIF(근태!D28:AH28,"오전반반차")+COUNTIF(근태!D28:AH28,"오후반반차"))*2</f>
        <v/>
      </c>
      <c r="AL28" s="22">
        <f>AJ28+AK28-AI28</f>
        <v/>
      </c>
    </row>
    <row r="29">
      <c r="A29" s="11">
        <f>IF(명부!A23="","",명부!A23)</f>
        <v/>
      </c>
      <c r="B29" s="12">
        <f>IF(명부!C23="","",명부!C23)</f>
        <v/>
      </c>
      <c r="C29" s="13">
        <f>IF(명부!E23="","",명부!E23)</f>
        <v/>
      </c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9">
        <f>SUM(D29:AH29)</f>
        <v/>
      </c>
      <c r="AJ29" s="20" t="n"/>
      <c r="AK29" s="21">
        <f>COUNTIF(근태!D29:AH29,"연차")*8+(COUNTIF(근태!D29:AH29,"오전반차")+COUNTIF(근태!D29:AH29,"오후반차")+COUNTIF(근태!D29:AH29,"건강검진"))*4+(COUNTIF(근태!D29:AH29,"오전반반차")+COUNTIF(근태!D29:AH29,"오후반반차"))*2</f>
        <v/>
      </c>
      <c r="AL29" s="22">
        <f>AJ29+AK29-AI29</f>
        <v/>
      </c>
    </row>
    <row r="30">
      <c r="A30" s="11">
        <f>IF(명부!A24="","",명부!A24)</f>
        <v/>
      </c>
      <c r="B30" s="12">
        <f>IF(명부!C24="","",명부!C24)</f>
        <v/>
      </c>
      <c r="C30" s="13">
        <f>IF(명부!E24="","",명부!E24)</f>
        <v/>
      </c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9">
        <f>SUM(D30:AH30)</f>
        <v/>
      </c>
      <c r="AJ30" s="20" t="n"/>
      <c r="AK30" s="21">
        <f>COUNTIF(근태!D30:AH30,"연차")*8+(COUNTIF(근태!D30:AH30,"오전반차")+COUNTIF(근태!D30:AH30,"오후반차")+COUNTIF(근태!D30:AH30,"건강검진"))*4+(COUNTIF(근태!D30:AH30,"오전반반차")+COUNTIF(근태!D30:AH30,"오후반반차"))*2</f>
        <v/>
      </c>
      <c r="AL30" s="22">
        <f>AJ30+AK30-AI30</f>
        <v/>
      </c>
    </row>
    <row r="31">
      <c r="A31" s="11">
        <f>IF(명부!A25="","",명부!A25)</f>
        <v/>
      </c>
      <c r="B31" s="12">
        <f>IF(명부!C25="","",명부!C25)</f>
        <v/>
      </c>
      <c r="C31" s="13">
        <f>IF(명부!E25="","",명부!E25)</f>
        <v/>
      </c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9">
        <f>SUM(D31:AH31)</f>
        <v/>
      </c>
      <c r="AJ31" s="20" t="n"/>
      <c r="AK31" s="21">
        <f>COUNTIF(근태!D31:AH31,"연차")*8+(COUNTIF(근태!D31:AH31,"오전반차")+COUNTIF(근태!D31:AH31,"오후반차")+COUNTIF(근태!D31:AH31,"건강검진"))*4+(COUNTIF(근태!D31:AH31,"오전반반차")+COUNTIF(근태!D31:AH31,"오후반반차"))*2</f>
        <v/>
      </c>
      <c r="AL31" s="22">
        <f>AJ31+AK31-AI31</f>
        <v/>
      </c>
    </row>
    <row r="34">
      <c r="A34" s="7" t="inlineStr">
        <is>
          <t>노란 칸(기본 가능시간)에 사내 HR 시스템의 그 달 OT 가능 시간을 넣으세요. 휴가를 쓰면 그 시간만큼 가능시간이 자동으로 늘어납니다. OT 는 분 단위로 신청하므로 1시간 45분은 1.75 로 넣습니다.</t>
        </is>
      </c>
    </row>
  </sheetData>
  <conditionalFormatting sqref="AL8:AL31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1" customWidth="1" min="3" max="3"/>
    <col width="62" customWidth="1" min="4" max="4"/>
    <col width="3" customWidth="1" min="5" max="5"/>
    <col width="15" customWidth="1" min="6" max="6"/>
    <col width="3" customWidth="1" min="7" max="7"/>
    <col width="6" customWidth="1" min="8" max="8"/>
  </cols>
  <sheetData>
    <row r="1">
      <c r="A1" s="8" t="inlineStr">
        <is>
          <t>근무 유형</t>
        </is>
      </c>
      <c r="B1" s="8" t="inlineStr">
        <is>
          <t>30% 충족</t>
        </is>
      </c>
      <c r="C1" s="8" t="inlineStr">
        <is>
          <t>휴가 인정(h)</t>
        </is>
      </c>
      <c r="D1" s="8" t="inlineStr">
        <is>
          <t>설명</t>
        </is>
      </c>
      <c r="F1" s="8" t="inlineStr">
        <is>
          <t>30% 미충족 코드</t>
        </is>
      </c>
      <c r="H1" s="8" t="inlineStr">
        <is>
          <t>요일</t>
        </is>
      </c>
    </row>
    <row r="2">
      <c r="A2" s="23" t="inlineStr">
        <is>
          <t>8시간</t>
        </is>
      </c>
      <c r="B2" s="24" t="n">
        <v>1</v>
      </c>
      <c r="C2" s="24" t="n">
        <v>0</v>
      </c>
      <c r="D2" s="12" t="inlineStr">
        <is>
          <t>07:30~16:30 · 08:00~17:00 · 08:30~17:30 중 하나 — 30% 인원에 포함</t>
        </is>
      </c>
      <c r="F2" s="23" t="inlineStr">
        <is>
          <t>선택근로</t>
        </is>
      </c>
      <c r="H2" s="24" t="inlineStr">
        <is>
          <t>일</t>
        </is>
      </c>
    </row>
    <row r="3">
      <c r="A3" s="23" t="inlineStr">
        <is>
          <t>선택근로</t>
        </is>
      </c>
      <c r="B3" s="24" t="n">
        <v>0</v>
      </c>
      <c r="C3" s="24" t="n">
        <v>0</v>
      </c>
      <c r="D3" s="12" t="inlineStr">
        <is>
          <t>8시간 미만이거나 8시간을 넘는 선택적 근로 — 30% 미충족</t>
        </is>
      </c>
      <c r="F3" s="23" t="inlineStr">
        <is>
          <t>오전반차</t>
        </is>
      </c>
      <c r="H3" s="24" t="inlineStr">
        <is>
          <t>월</t>
        </is>
      </c>
    </row>
    <row r="4">
      <c r="A4" s="23" t="inlineStr">
        <is>
          <t>오전반차</t>
        </is>
      </c>
      <c r="B4" s="24" t="n">
        <v>0</v>
      </c>
      <c r="C4" s="24" t="n">
        <v>4</v>
      </c>
      <c r="D4" s="12" t="inlineStr">
        <is>
          <t>08:00~13:00 또는 08:30~13:30 휴가 후 13:00 / 13:30 출근</t>
        </is>
      </c>
      <c r="F4" s="23" t="inlineStr">
        <is>
          <t>오후반차</t>
        </is>
      </c>
      <c r="H4" s="24" t="inlineStr">
        <is>
          <t>화</t>
        </is>
      </c>
    </row>
    <row r="5">
      <c r="A5" s="23" t="inlineStr">
        <is>
          <t>오후반차</t>
        </is>
      </c>
      <c r="B5" s="24" t="n">
        <v>0</v>
      </c>
      <c r="C5" s="24" t="n">
        <v>4</v>
      </c>
      <c r="D5" s="12" t="inlineStr">
        <is>
          <t>오전 근무 후 점심 이후부터 휴가</t>
        </is>
      </c>
      <c r="F5" s="23" t="inlineStr">
        <is>
          <t>오전반반차</t>
        </is>
      </c>
      <c r="H5" s="24" t="inlineStr">
        <is>
          <t>수</t>
        </is>
      </c>
    </row>
    <row r="6">
      <c r="A6" s="23" t="inlineStr">
        <is>
          <t>오전반반차</t>
        </is>
      </c>
      <c r="B6" s="24" t="n">
        <v>0</v>
      </c>
      <c r="C6" s="24" t="n">
        <v>2</v>
      </c>
      <c r="D6" s="12" t="inlineStr">
        <is>
          <t>08:30~10:30 휴가 후 10:30 출근</t>
        </is>
      </c>
      <c r="F6" s="23" t="inlineStr">
        <is>
          <t>오후반반차</t>
        </is>
      </c>
      <c r="H6" s="24" t="inlineStr">
        <is>
          <t>목</t>
        </is>
      </c>
    </row>
    <row r="7">
      <c r="A7" s="23" t="inlineStr">
        <is>
          <t>오후반반차</t>
        </is>
      </c>
      <c r="B7" s="24" t="n">
        <v>0</v>
      </c>
      <c r="C7" s="24" t="n">
        <v>2</v>
      </c>
      <c r="D7" s="12" t="inlineStr">
        <is>
          <t>15:30까지 근무 후 15:30~17:30 휴가</t>
        </is>
      </c>
      <c r="F7" s="23" t="inlineStr">
        <is>
          <t>연차</t>
        </is>
      </c>
      <c r="H7" s="24" t="inlineStr">
        <is>
          <t>금</t>
        </is>
      </c>
    </row>
    <row r="8">
      <c r="A8" s="23" t="inlineStr">
        <is>
          <t>연차</t>
        </is>
      </c>
      <c r="B8" s="24" t="n">
        <v>0</v>
      </c>
      <c r="C8" s="24" t="n">
        <v>8</v>
      </c>
      <c r="D8" s="12" t="inlineStr">
        <is>
          <t>종일 휴가</t>
        </is>
      </c>
      <c r="F8" s="23" t="inlineStr">
        <is>
          <t>출장</t>
        </is>
      </c>
      <c r="H8" s="24" t="inlineStr">
        <is>
          <t>토</t>
        </is>
      </c>
    </row>
    <row r="9">
      <c r="A9" s="23" t="inlineStr">
        <is>
          <t>출장</t>
        </is>
      </c>
      <c r="B9" s="24" t="n">
        <v>0</v>
      </c>
      <c r="C9" s="24" t="n">
        <v>0</v>
      </c>
      <c r="D9" s="12" t="inlineStr">
        <is>
          <t>사외 활동 — 8시간이어도 30% 미충족</t>
        </is>
      </c>
      <c r="F9" s="23" t="inlineStr">
        <is>
          <t>교육</t>
        </is>
      </c>
    </row>
    <row r="10">
      <c r="A10" s="23" t="inlineStr">
        <is>
          <t>교육</t>
        </is>
      </c>
      <c r="B10" s="24" t="n">
        <v>0</v>
      </c>
      <c r="C10" s="24" t="n">
        <v>0</v>
      </c>
      <c r="D10" s="12" t="inlineStr">
        <is>
          <t>사외 활동 — 30% 미충족</t>
        </is>
      </c>
      <c r="F10" s="23" t="inlineStr">
        <is>
          <t>건강검진</t>
        </is>
      </c>
    </row>
    <row r="11">
      <c r="A11" s="23" t="inlineStr">
        <is>
          <t>건강검진</t>
        </is>
      </c>
      <c r="B11" s="24" t="n">
        <v>0</v>
      </c>
      <c r="C11" s="24" t="n">
        <v>4</v>
      </c>
      <c r="D11" s="12" t="inlineStr">
        <is>
          <t>반차 4시간으로 인정</t>
        </is>
      </c>
      <c r="F11" s="23" t="inlineStr">
        <is>
          <t>기타</t>
        </is>
      </c>
    </row>
    <row r="12">
      <c r="A12" s="23" t="inlineStr">
        <is>
          <t>기타</t>
        </is>
      </c>
      <c r="B12" s="24" t="n">
        <v>0</v>
      </c>
      <c r="C12" s="24" t="n">
        <v>0</v>
      </c>
      <c r="D12" s="12" t="inlineStr">
        <is>
          <t>그 밖의 사유 — 메모에 사유를 적으세요</t>
        </is>
      </c>
    </row>
    <row r="13">
      <c r="A13" s="23" t="inlineStr">
        <is>
          <t>휴직</t>
        </is>
      </c>
      <c r="B13" s="24" t="n">
        <v>0</v>
      </c>
      <c r="C13" s="24" t="n">
        <v>0</v>
      </c>
      <c r="D13" s="12" t="inlineStr">
        <is>
          <t>30% 모수에서 제외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8" customWidth="1" min="4" max="4"/>
    <col width="6" customWidth="1" min="5" max="5"/>
    <col width="6" customWidth="1" min="6" max="6"/>
  </cols>
  <sheetData>
    <row r="1">
      <c r="A1" s="8" t="inlineStr">
        <is>
          <t>이름</t>
        </is>
      </c>
      <c r="B1" s="8" t="inlineStr">
        <is>
          <t>팀</t>
        </is>
      </c>
      <c r="C1" s="8" t="inlineStr">
        <is>
          <t>파트</t>
        </is>
      </c>
      <c r="D1" s="8" t="inlineStr">
        <is>
          <t>직책</t>
        </is>
      </c>
      <c r="E1" s="8" t="inlineStr">
        <is>
          <t>그룹</t>
        </is>
      </c>
      <c r="F1" s="8" t="inlineStr">
        <is>
          <t>휴직</t>
        </is>
      </c>
    </row>
    <row r="2">
      <c r="A2" s="23" t="inlineStr">
        <is>
          <t>김동환</t>
        </is>
      </c>
      <c r="B2" s="23" t="inlineStr">
        <is>
          <t>발전운영팀</t>
        </is>
      </c>
      <c r="C2" s="23" t="inlineStr">
        <is>
          <t>발전팀장</t>
        </is>
      </c>
      <c r="D2" s="23" t="inlineStr">
        <is>
          <t>팀장</t>
        </is>
      </c>
      <c r="E2" s="24" t="inlineStr">
        <is>
          <t>A</t>
        </is>
      </c>
      <c r="F2" s="24" t="inlineStr"/>
    </row>
    <row r="3">
      <c r="A3" s="23" t="inlineStr">
        <is>
          <t>고재민</t>
        </is>
      </c>
      <c r="B3" s="23" t="inlineStr">
        <is>
          <t>정비기술팀</t>
        </is>
      </c>
      <c r="C3" s="23" t="inlineStr">
        <is>
          <t>정비팀장</t>
        </is>
      </c>
      <c r="D3" s="23" t="inlineStr">
        <is>
          <t>팀장</t>
        </is>
      </c>
      <c r="E3" s="24" t="inlineStr">
        <is>
          <t>A</t>
        </is>
      </c>
      <c r="F3" s="24" t="inlineStr"/>
    </row>
    <row r="4">
      <c r="A4" s="23" t="inlineStr">
        <is>
          <t>임태균</t>
        </is>
      </c>
      <c r="B4" s="23" t="inlineStr">
        <is>
          <t>발전운영팀</t>
        </is>
      </c>
      <c r="C4" s="23" t="inlineStr">
        <is>
          <t>발전지원</t>
        </is>
      </c>
      <c r="D4" s="23" t="inlineStr">
        <is>
          <t>파트장</t>
        </is>
      </c>
      <c r="E4" s="24" t="inlineStr">
        <is>
          <t>A</t>
        </is>
      </c>
      <c r="F4" s="24" t="inlineStr"/>
    </row>
    <row r="5">
      <c r="A5" s="23" t="inlineStr">
        <is>
          <t>정병철</t>
        </is>
      </c>
      <c r="B5" s="23" t="inlineStr">
        <is>
          <t>정비기술팀</t>
        </is>
      </c>
      <c r="C5" s="23" t="inlineStr">
        <is>
          <t>기계</t>
        </is>
      </c>
      <c r="D5" s="23" t="inlineStr">
        <is>
          <t>파트장</t>
        </is>
      </c>
      <c r="E5" s="24" t="inlineStr">
        <is>
          <t>A</t>
        </is>
      </c>
      <c r="F5" s="24" t="inlineStr"/>
    </row>
    <row r="6">
      <c r="A6" s="23" t="inlineStr">
        <is>
          <t>민준홍</t>
        </is>
      </c>
      <c r="B6" s="23" t="inlineStr">
        <is>
          <t>정비기술팀</t>
        </is>
      </c>
      <c r="C6" s="23" t="inlineStr">
        <is>
          <t>전기</t>
        </is>
      </c>
      <c r="D6" s="23" t="inlineStr">
        <is>
          <t>파트장</t>
        </is>
      </c>
      <c r="E6" s="24" t="inlineStr">
        <is>
          <t>A</t>
        </is>
      </c>
      <c r="F6" s="24" t="inlineStr"/>
    </row>
    <row r="7">
      <c r="A7" s="23" t="inlineStr">
        <is>
          <t>한승백</t>
        </is>
      </c>
      <c r="B7" s="23" t="inlineStr">
        <is>
          <t>정비기술팀</t>
        </is>
      </c>
      <c r="C7" s="23" t="inlineStr">
        <is>
          <t>제어</t>
        </is>
      </c>
      <c r="D7" s="23" t="inlineStr">
        <is>
          <t>파트장</t>
        </is>
      </c>
      <c r="E7" s="24" t="inlineStr">
        <is>
          <t>A</t>
        </is>
      </c>
      <c r="F7" s="24" t="inlineStr"/>
    </row>
    <row r="8">
      <c r="A8" s="23" t="inlineStr">
        <is>
          <t>박상호</t>
        </is>
      </c>
      <c r="B8" s="23" t="inlineStr">
        <is>
          <t>정비기술팀</t>
        </is>
      </c>
      <c r="C8" s="23" t="inlineStr">
        <is>
          <t>기계</t>
        </is>
      </c>
      <c r="D8" s="23" t="inlineStr">
        <is>
          <t>구성원</t>
        </is>
      </c>
      <c r="E8" s="24" t="inlineStr">
        <is>
          <t>B</t>
        </is>
      </c>
      <c r="F8" s="24" t="inlineStr"/>
    </row>
    <row r="9">
      <c r="A9" s="23" t="inlineStr">
        <is>
          <t>최규석</t>
        </is>
      </c>
      <c r="B9" s="23" t="inlineStr">
        <is>
          <t>정비기술팀</t>
        </is>
      </c>
      <c r="C9" s="23" t="inlineStr">
        <is>
          <t>기계</t>
        </is>
      </c>
      <c r="D9" s="23" t="inlineStr">
        <is>
          <t>구성원</t>
        </is>
      </c>
      <c r="E9" s="24" t="inlineStr">
        <is>
          <t>B</t>
        </is>
      </c>
      <c r="F9" s="24" t="inlineStr"/>
    </row>
    <row r="10">
      <c r="A10" s="23" t="inlineStr">
        <is>
          <t>김성진</t>
        </is>
      </c>
      <c r="B10" s="23" t="inlineStr">
        <is>
          <t>정비기술팀</t>
        </is>
      </c>
      <c r="C10" s="23" t="inlineStr">
        <is>
          <t>기계</t>
        </is>
      </c>
      <c r="D10" s="23" t="inlineStr">
        <is>
          <t>구성원</t>
        </is>
      </c>
      <c r="E10" s="24" t="inlineStr">
        <is>
          <t>B</t>
        </is>
      </c>
      <c r="F10" s="24" t="inlineStr"/>
    </row>
    <row r="11">
      <c r="A11" s="23" t="inlineStr">
        <is>
          <t>윤병권</t>
        </is>
      </c>
      <c r="B11" s="23" t="inlineStr">
        <is>
          <t>정비기술팀</t>
        </is>
      </c>
      <c r="C11" s="23" t="inlineStr">
        <is>
          <t>기계</t>
        </is>
      </c>
      <c r="D11" s="23" t="inlineStr">
        <is>
          <t>구성원</t>
        </is>
      </c>
      <c r="E11" s="24" t="inlineStr">
        <is>
          <t>B</t>
        </is>
      </c>
      <c r="F11" s="24" t="inlineStr"/>
    </row>
    <row r="12">
      <c r="A12" s="23" t="inlineStr">
        <is>
          <t>정상우</t>
        </is>
      </c>
      <c r="B12" s="23" t="inlineStr">
        <is>
          <t>정비기술팀</t>
        </is>
      </c>
      <c r="C12" s="23" t="inlineStr">
        <is>
          <t>기계</t>
        </is>
      </c>
      <c r="D12" s="23" t="inlineStr">
        <is>
          <t>구성원</t>
        </is>
      </c>
      <c r="E12" s="24" t="inlineStr">
        <is>
          <t>B</t>
        </is>
      </c>
      <c r="F12" s="24" t="inlineStr"/>
    </row>
    <row r="13">
      <c r="A13" s="23" t="inlineStr">
        <is>
          <t>김형준</t>
        </is>
      </c>
      <c r="B13" s="23" t="inlineStr">
        <is>
          <t>정비기술팀</t>
        </is>
      </c>
      <c r="C13" s="23" t="inlineStr">
        <is>
          <t>전기</t>
        </is>
      </c>
      <c r="D13" s="23" t="inlineStr">
        <is>
          <t>구성원</t>
        </is>
      </c>
      <c r="E13" s="24" t="inlineStr">
        <is>
          <t>B</t>
        </is>
      </c>
      <c r="F13" s="24" t="inlineStr"/>
    </row>
    <row r="14">
      <c r="A14" s="23" t="inlineStr">
        <is>
          <t>손현덕</t>
        </is>
      </c>
      <c r="B14" s="23" t="inlineStr">
        <is>
          <t>정비기술팀</t>
        </is>
      </c>
      <c r="C14" s="23" t="inlineStr">
        <is>
          <t>전기</t>
        </is>
      </c>
      <c r="D14" s="23" t="inlineStr">
        <is>
          <t>구성원</t>
        </is>
      </c>
      <c r="E14" s="24" t="inlineStr">
        <is>
          <t>B</t>
        </is>
      </c>
      <c r="F14" s="24" t="inlineStr"/>
    </row>
    <row r="15">
      <c r="A15" s="23" t="inlineStr">
        <is>
          <t>오승원</t>
        </is>
      </c>
      <c r="B15" s="23" t="inlineStr">
        <is>
          <t>정비기술팀</t>
        </is>
      </c>
      <c r="C15" s="23" t="inlineStr">
        <is>
          <t>전기</t>
        </is>
      </c>
      <c r="D15" s="23" t="inlineStr">
        <is>
          <t>구성원</t>
        </is>
      </c>
      <c r="E15" s="24" t="inlineStr">
        <is>
          <t>B</t>
        </is>
      </c>
      <c r="F15" s="24" t="inlineStr"/>
    </row>
    <row r="16">
      <c r="A16" s="23" t="inlineStr">
        <is>
          <t>주현</t>
        </is>
      </c>
      <c r="B16" s="23" t="inlineStr">
        <is>
          <t>정비기술팀</t>
        </is>
      </c>
      <c r="C16" s="23" t="inlineStr">
        <is>
          <t>제어</t>
        </is>
      </c>
      <c r="D16" s="23" t="inlineStr">
        <is>
          <t>구성원</t>
        </is>
      </c>
      <c r="E16" s="24" t="inlineStr">
        <is>
          <t>B</t>
        </is>
      </c>
      <c r="F16" s="24" t="inlineStr"/>
    </row>
    <row r="17">
      <c r="A17" s="23" t="inlineStr">
        <is>
          <t>조주형</t>
        </is>
      </c>
      <c r="B17" s="23" t="inlineStr">
        <is>
          <t>정비기술팀</t>
        </is>
      </c>
      <c r="C17" s="23" t="inlineStr">
        <is>
          <t>제어</t>
        </is>
      </c>
      <c r="D17" s="23" t="inlineStr">
        <is>
          <t>구성원</t>
        </is>
      </c>
      <c r="E17" s="24" t="inlineStr">
        <is>
          <t>B</t>
        </is>
      </c>
      <c r="F17" s="24" t="inlineStr"/>
    </row>
    <row r="18">
      <c r="A18" s="23" t="inlineStr">
        <is>
          <t>양종수</t>
        </is>
      </c>
      <c r="B18" s="23" t="inlineStr">
        <is>
          <t>정비기술팀</t>
        </is>
      </c>
      <c r="C18" s="23" t="inlineStr">
        <is>
          <t>정비지원</t>
        </is>
      </c>
      <c r="D18" s="23" t="inlineStr">
        <is>
          <t>구성원</t>
        </is>
      </c>
      <c r="E18" s="24" t="inlineStr">
        <is>
          <t>B</t>
        </is>
      </c>
      <c r="F18" s="24" t="inlineStr"/>
    </row>
    <row r="19">
      <c r="A19" s="23" t="inlineStr">
        <is>
          <t>강인성</t>
        </is>
      </c>
      <c r="B19" s="23" t="inlineStr">
        <is>
          <t>정비기술팀</t>
        </is>
      </c>
      <c r="C19" s="23" t="inlineStr">
        <is>
          <t>정비지원</t>
        </is>
      </c>
      <c r="D19" s="23" t="inlineStr">
        <is>
          <t>구성원</t>
        </is>
      </c>
      <c r="E19" s="24" t="inlineStr">
        <is>
          <t>B</t>
        </is>
      </c>
      <c r="F19" s="24" t="inlineStr"/>
    </row>
    <row r="20">
      <c r="A20" s="23" t="inlineStr">
        <is>
          <t>권오선</t>
        </is>
      </c>
      <c r="B20" s="23" t="inlineStr">
        <is>
          <t>정비기술팀</t>
        </is>
      </c>
      <c r="C20" s="23" t="inlineStr">
        <is>
          <t>정비지원</t>
        </is>
      </c>
      <c r="D20" s="23" t="inlineStr">
        <is>
          <t>구성원</t>
        </is>
      </c>
      <c r="E20" s="24" t="inlineStr">
        <is>
          <t>B</t>
        </is>
      </c>
      <c r="F20" s="24" t="inlineStr"/>
    </row>
    <row r="21">
      <c r="A21" s="23" t="inlineStr">
        <is>
          <t>정소망</t>
        </is>
      </c>
      <c r="B21" s="23" t="inlineStr">
        <is>
          <t>정비기술팀</t>
        </is>
      </c>
      <c r="C21" s="23" t="inlineStr">
        <is>
          <t>정비지원</t>
        </is>
      </c>
      <c r="D21" s="23" t="inlineStr">
        <is>
          <t>구성원</t>
        </is>
      </c>
      <c r="E21" s="24" t="inlineStr">
        <is>
          <t>B</t>
        </is>
      </c>
      <c r="F21" s="24" t="inlineStr"/>
    </row>
    <row r="22">
      <c r="A22" s="23" t="inlineStr">
        <is>
          <t>윤승현</t>
        </is>
      </c>
      <c r="B22" s="23" t="inlineStr">
        <is>
          <t>정비기술팀</t>
        </is>
      </c>
      <c r="C22" s="23" t="inlineStr">
        <is>
          <t>정비지원</t>
        </is>
      </c>
      <c r="D22" s="23" t="inlineStr">
        <is>
          <t>구성원</t>
        </is>
      </c>
      <c r="E22" s="24" t="inlineStr">
        <is>
          <t>B</t>
        </is>
      </c>
      <c r="F22" s="24" t="inlineStr">
        <is>
          <t>Y</t>
        </is>
      </c>
    </row>
    <row r="23">
      <c r="A23" s="23" t="inlineStr">
        <is>
          <t>양시웅</t>
        </is>
      </c>
      <c r="B23" s="23" t="inlineStr">
        <is>
          <t>발전운영팀</t>
        </is>
      </c>
      <c r="C23" s="23" t="inlineStr">
        <is>
          <t>발전지원</t>
        </is>
      </c>
      <c r="D23" s="23" t="inlineStr">
        <is>
          <t>구성원</t>
        </is>
      </c>
      <c r="E23" s="24" t="inlineStr">
        <is>
          <t>C</t>
        </is>
      </c>
      <c r="F23" s="24" t="inlineStr"/>
    </row>
    <row r="24">
      <c r="A24" s="23" t="inlineStr">
        <is>
          <t>한준우</t>
        </is>
      </c>
      <c r="B24" s="23" t="inlineStr">
        <is>
          <t>발전운영팀</t>
        </is>
      </c>
      <c r="C24" s="23" t="inlineStr">
        <is>
          <t>발전지원</t>
        </is>
      </c>
      <c r="D24" s="23" t="inlineStr">
        <is>
          <t>구성원</t>
        </is>
      </c>
      <c r="E24" s="24" t="inlineStr">
        <is>
          <t>C</t>
        </is>
      </c>
      <c r="F24" s="24" t="inlineStr"/>
    </row>
    <row r="25">
      <c r="A25" s="23" t="inlineStr">
        <is>
          <t>권민중</t>
        </is>
      </c>
      <c r="B25" s="23" t="inlineStr">
        <is>
          <t>발전운영팀</t>
        </is>
      </c>
      <c r="C25" s="23" t="inlineStr">
        <is>
          <t>발전지원</t>
        </is>
      </c>
      <c r="D25" s="23" t="inlineStr">
        <is>
          <t>구성원</t>
        </is>
      </c>
      <c r="E25" s="24" t="inlineStr">
        <is>
          <t>C</t>
        </is>
      </c>
      <c r="F25" s="24" t="inlineStr"/>
    </row>
    <row r="27">
      <c r="A27" s="25" t="inlineStr">
        <is>
          <t>활성 인원</t>
        </is>
      </c>
      <c r="B27" s="26">
        <f>COUNTA(A2:A25)-COUNTIF(F2:F25,"Y")</f>
        <v/>
      </c>
    </row>
    <row r="28">
      <c r="A28" s="25" t="inlineStr">
        <is>
          <t>30% 필요 인원</t>
        </is>
      </c>
      <c r="B28" s="26">
        <f>ROUNDUP(B27*0.3,0)</f>
        <v/>
      </c>
    </row>
    <row r="30">
      <c r="A30" s="7" t="inlineStr">
        <is>
          <t>휴직 열에 Y 를 넣으면 30% 모수에서 빠집니다. 순서를 바꾸면 「근태」·「OT」 시트의 이름도 함께 바뀝니다.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</cols>
  <sheetData>
    <row r="1">
      <c r="A1" s="8" t="inlineStr">
        <is>
          <t>날짜</t>
        </is>
      </c>
      <c r="B1" s="8" t="inlineStr">
        <is>
          <t>명칭</t>
        </is>
      </c>
    </row>
    <row r="2">
      <c r="A2" s="27" t="inlineStr">
        <is>
          <t>2026-01-01</t>
        </is>
      </c>
      <c r="B2" s="23" t="inlineStr">
        <is>
          <t>신정</t>
        </is>
      </c>
    </row>
    <row r="3">
      <c r="A3" s="27" t="inlineStr">
        <is>
          <t>2026-02-16</t>
        </is>
      </c>
      <c r="B3" s="23" t="inlineStr">
        <is>
          <t>설날 연휴</t>
        </is>
      </c>
    </row>
    <row r="4">
      <c r="A4" s="27" t="inlineStr">
        <is>
          <t>2026-02-17</t>
        </is>
      </c>
      <c r="B4" s="23" t="inlineStr">
        <is>
          <t>설날</t>
        </is>
      </c>
    </row>
    <row r="5">
      <c r="A5" s="27" t="inlineStr">
        <is>
          <t>2026-02-18</t>
        </is>
      </c>
      <c r="B5" s="23" t="inlineStr">
        <is>
          <t>설날 연휴</t>
        </is>
      </c>
    </row>
    <row r="6">
      <c r="A6" s="27" t="inlineStr">
        <is>
          <t>2026-03-01</t>
        </is>
      </c>
      <c r="B6" s="23" t="inlineStr">
        <is>
          <t>삼일절</t>
        </is>
      </c>
    </row>
    <row r="7">
      <c r="A7" s="27" t="inlineStr">
        <is>
          <t>2026-03-02</t>
        </is>
      </c>
      <c r="B7" s="23" t="inlineStr">
        <is>
          <t>삼일절 대체공휴일</t>
        </is>
      </c>
    </row>
    <row r="8">
      <c r="A8" s="27" t="inlineStr">
        <is>
          <t>2026-05-01</t>
        </is>
      </c>
      <c r="B8" s="23" t="inlineStr">
        <is>
          <t>근로자의 날</t>
        </is>
      </c>
    </row>
    <row r="9">
      <c r="A9" s="27" t="inlineStr">
        <is>
          <t>2026-05-05</t>
        </is>
      </c>
      <c r="B9" s="23" t="inlineStr">
        <is>
          <t>어린이날</t>
        </is>
      </c>
    </row>
    <row r="10">
      <c r="A10" s="27" t="inlineStr">
        <is>
          <t>2026-05-24</t>
        </is>
      </c>
      <c r="B10" s="23" t="inlineStr">
        <is>
          <t>부처님오신날</t>
        </is>
      </c>
    </row>
    <row r="11">
      <c r="A11" s="27" t="inlineStr">
        <is>
          <t>2026-05-25</t>
        </is>
      </c>
      <c r="B11" s="23" t="inlineStr">
        <is>
          <t>부처님오신날 대체공휴일</t>
        </is>
      </c>
    </row>
    <row r="12">
      <c r="A12" s="27" t="inlineStr">
        <is>
          <t>2026-06-06</t>
        </is>
      </c>
      <c r="B12" s="23" t="inlineStr">
        <is>
          <t>현충일</t>
        </is>
      </c>
    </row>
    <row r="13">
      <c r="A13" s="27" t="inlineStr">
        <is>
          <t>2026-08-15</t>
        </is>
      </c>
      <c r="B13" s="23" t="inlineStr">
        <is>
          <t>광복절</t>
        </is>
      </c>
    </row>
    <row r="14">
      <c r="A14" s="27" t="inlineStr">
        <is>
          <t>2026-08-17</t>
        </is>
      </c>
      <c r="B14" s="23" t="inlineStr">
        <is>
          <t>광복절 대체공휴일</t>
        </is>
      </c>
    </row>
    <row r="15">
      <c r="A15" s="27" t="inlineStr">
        <is>
          <t>2026-09-24</t>
        </is>
      </c>
      <c r="B15" s="23" t="inlineStr">
        <is>
          <t>추석 연휴</t>
        </is>
      </c>
    </row>
    <row r="16">
      <c r="A16" s="27" t="inlineStr">
        <is>
          <t>2026-09-25</t>
        </is>
      </c>
      <c r="B16" s="23" t="inlineStr">
        <is>
          <t>추석</t>
        </is>
      </c>
    </row>
    <row r="17">
      <c r="A17" s="27" t="inlineStr">
        <is>
          <t>2026-09-26</t>
        </is>
      </c>
      <c r="B17" s="23" t="inlineStr">
        <is>
          <t>추석 연휴</t>
        </is>
      </c>
    </row>
    <row r="18">
      <c r="A18" s="27" t="inlineStr">
        <is>
          <t>2026-10-03</t>
        </is>
      </c>
      <c r="B18" s="23" t="inlineStr">
        <is>
          <t>개천절</t>
        </is>
      </c>
    </row>
    <row r="19">
      <c r="A19" s="27" t="inlineStr">
        <is>
          <t>2026-10-05</t>
        </is>
      </c>
      <c r="B19" s="23" t="inlineStr">
        <is>
          <t>개천절 대체공휴일</t>
        </is>
      </c>
    </row>
    <row r="20">
      <c r="A20" s="27" t="inlineStr">
        <is>
          <t>2026-10-09</t>
        </is>
      </c>
      <c r="B20" s="23" t="inlineStr">
        <is>
          <t>한글날</t>
        </is>
      </c>
    </row>
    <row r="21">
      <c r="A21" s="27" t="inlineStr">
        <is>
          <t>2026-10-13</t>
        </is>
      </c>
      <c r="B21" s="23" t="inlineStr">
        <is>
          <t>회사 창립기념일</t>
        </is>
      </c>
    </row>
    <row r="22">
      <c r="A22" s="27" t="inlineStr">
        <is>
          <t>2026-12-25</t>
        </is>
      </c>
      <c r="B22" s="23" t="inlineStr">
        <is>
          <t>성탄절</t>
        </is>
      </c>
    </row>
    <row r="24">
      <c r="A24" s="7" t="inlineStr">
        <is>
          <t>날짜는 반드시 날짜 형식(2027-01-01)으로 넣으세요. 설날·추석·부처님오신날은 음력이라 매년 확인이 필요합니다.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2026-09-09T02:51:56Z</dcterms:created>
  <dcterms:modified xsi:type="dcterms:W3CDTF">2026-09-09T02:51:57Z</dcterms:modified>
</cp:coreProperties>
</file>