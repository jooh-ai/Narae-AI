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안내" sheetId="1" state="visible" r:id="rId1"/>
    <sheet name="근태" sheetId="2" state="visible" r:id="rId2"/>
    <sheet name="OT" sheetId="3" state="visible" r:id="rId3"/>
    <sheet name="개인요약" sheetId="4" state="visible" r:id="rId4"/>
    <sheet name="명부" sheetId="5" state="visible" r:id="rId5"/>
    <sheet name="공휴일" sheetId="6" state="visible" r:id="rId6"/>
    <sheet name="코드" sheetId="7" state="hidden" r:id="rId7"/>
    <sheet name="시간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##"/>
    <numFmt numFmtId="165" formatCode="0.##;;"/>
    <numFmt numFmtId="166" formatCode="+0.##;-0.##;0"/>
    <numFmt numFmtId="167" formatCode="yyyy-mm-dd"/>
  </numFmts>
  <fonts count="14">
    <font>
      <name val="Calibri"/>
      <family val="2"/>
      <color theme="1"/>
      <sz val="11"/>
      <scheme val="minor"/>
    </font>
    <font>
      <name val="맑은 고딕"/>
      <b val="1"/>
      <color rgb="0016181D"/>
      <sz val="9"/>
    </font>
    <font>
      <name val="맑은 고딕"/>
      <color rgb="0016181D"/>
      <sz val="9"/>
    </font>
    <font>
      <name val="맑은 고딕"/>
      <color rgb="006B7280"/>
      <sz val="9"/>
    </font>
    <font>
      <name val="맑은 고딕"/>
      <b val="1"/>
      <color rgb="0016181D"/>
      <sz val="10"/>
    </font>
    <font>
      <name val="맑은 고딕"/>
      <b val="1"/>
      <color rgb="001C4E80"/>
      <sz val="13"/>
    </font>
    <font>
      <name val="맑은 고딕"/>
      <color rgb="006B7280"/>
      <sz val="8"/>
    </font>
    <font>
      <name val="맑은 고딕"/>
      <color rgb="0016181D"/>
      <sz val="10"/>
    </font>
    <font>
      <name val="맑은 고딕"/>
      <b val="1"/>
      <color rgb="006B7280"/>
      <sz val="8"/>
    </font>
    <font>
      <name val="맑은 고딕"/>
      <b val="1"/>
      <color rgb="0016181D"/>
      <sz val="9.5"/>
    </font>
    <font>
      <name val="맑은 고딕"/>
      <color rgb="0016181D"/>
      <sz val="8"/>
    </font>
    <font>
      <name val="맑은 고딕"/>
      <b val="1"/>
      <color rgb="001C4E80"/>
      <sz val="14"/>
    </font>
    <font>
      <name val="맑은 고딕"/>
      <b val="1"/>
      <color rgb="00B3261E"/>
      <sz val="11"/>
    </font>
    <font>
      <name val="맑은 고딕"/>
      <b val="1"/>
      <color rgb="001C4E80"/>
      <sz val="11"/>
    </font>
  </fonts>
  <fills count="5">
    <fill>
      <patternFill/>
    </fill>
    <fill>
      <patternFill patternType="gray125"/>
    </fill>
    <fill>
      <patternFill patternType="solid">
        <fgColor rgb="00EEF1F5"/>
      </patternFill>
    </fill>
    <fill>
      <patternFill patternType="solid">
        <fgColor rgb="00FFFF00"/>
      </patternFill>
    </fill>
    <fill>
      <patternFill patternType="solid">
        <fgColor rgb="00E6F4EC"/>
      </patternFill>
    </fill>
  </fills>
  <borders count="6">
    <border>
      <left/>
      <right/>
      <top/>
      <bottom/>
      <diagonal/>
    </border>
    <border>
      <left style="thin">
        <color rgb="00D8DCE1"/>
      </left>
      <right style="thin">
        <color rgb="00D8DCE1"/>
      </right>
      <top style="thin">
        <color rgb="00D8DCE1"/>
      </top>
      <bottom style="thin">
        <color rgb="00D8DCE1"/>
      </bottom>
    </border>
    <border>
      <left/>
      <right/>
      <top style="thin">
        <color rgb="00D8DCE1"/>
      </top>
      <bottom/>
      <diagonal/>
    </border>
    <border>
      <left/>
      <right style="thin">
        <color rgb="00D8DCE1"/>
      </right>
      <top style="thin">
        <color rgb="00D8DCE1"/>
      </top>
      <bottom/>
      <diagonal/>
    </border>
    <border>
      <left/>
      <right/>
      <top style="thin">
        <color rgb="00D8DCE1"/>
      </top>
      <bottom style="thin">
        <color rgb="00D8DCE1"/>
      </bottom>
      <diagonal/>
    </border>
    <border>
      <left/>
      <right style="thin">
        <color rgb="00D8DCE1"/>
      </right>
      <top style="thin">
        <color rgb="00D8DCE1"/>
      </top>
      <bottom style="thin">
        <color rgb="00D8DCE1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1" fillId="0" borderId="0" pivotButton="0" quotePrefix="0" xfId="0"/>
    <xf numFmtId="0" fontId="7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applyProtection="1" pivotButton="0" quotePrefix="0" xfId="0">
      <alignment horizontal="center" vertical="center"/>
      <protection locked="0" hidden="0"/>
    </xf>
    <xf numFmtId="164" fontId="2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4" fontId="2" fillId="3" borderId="1" applyAlignment="1" applyProtection="1" pivotButton="0" quotePrefix="0" xfId="0">
      <alignment horizontal="center" vertical="center"/>
      <protection locked="0" hidden="0"/>
    </xf>
    <xf numFmtId="164" fontId="3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7" fillId="0" borderId="1" applyAlignment="1" applyProtection="1" pivotButton="0" quotePrefix="0" xfId="0">
      <alignment horizontal="left" vertical="center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7" fontId="7" fillId="0" borderId="1" applyAlignment="1" applyProtection="1" pivotButton="0" quotePrefix="0" xfId="0">
      <alignment horizontal="center" vertical="center"/>
      <protection locked="0" hidden="0"/>
    </xf>
    <xf numFmtId="0" fontId="2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164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6">
    <dxf>
      <font>
        <name val="맑은 고딕"/>
        <b val="1"/>
        <color rgb="008A5A00"/>
        <sz val="9"/>
      </font>
      <fill>
        <patternFill patternType="solid">
          <fgColor rgb="00FFF3B0"/>
        </patternFill>
      </fill>
    </dxf>
    <dxf>
      <fill>
        <patternFill patternType="solid">
          <fgColor rgb="00F0F1F3"/>
        </patternFill>
      </fill>
    </dxf>
    <dxf>
      <font>
        <name val="맑은 고딕"/>
        <b val="1"/>
        <color rgb="00B3261E"/>
        <sz val="9"/>
      </font>
      <fill>
        <patternFill patternType="solid">
          <fgColor rgb="00FBEAE9"/>
        </patternFill>
      </fill>
    </dxf>
    <dxf>
      <fill>
        <patternFill patternType="solid">
          <fgColor rgb="00FFFDE7"/>
        </patternFill>
      </fill>
    </dxf>
    <dxf>
      <font>
        <name val="맑은 고딕"/>
        <b val="1"/>
        <color rgb="000F7B4F"/>
        <sz val="9"/>
      </font>
      <fill>
        <patternFill patternType="solid">
          <fgColor rgb="00E6F4EC"/>
        </patternFill>
      </fill>
    </dxf>
    <dxf>
      <fill>
        <patternFill patternType="solid">
          <fgColor rgb="00FDF3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위례 근태 관리 — Teams · OneDrive 공동 편집용</t>
        </is>
      </c>
    </row>
    <row r="2">
      <c r="A2" s="2" t="inlineStr"/>
    </row>
    <row r="3">
      <c r="A3" s="2" t="inlineStr">
        <is>
          <t>이 파일은 Teams 또는 OneDrive 공유 폴더에 두고 모든 구성원이 동시에 편집합니다. 각자 자기 행만 고치면 되고, 30% 판정·월 총량·OT 잔여는 전부 자동으로 계산됩니다.</t>
        </is>
      </c>
    </row>
    <row r="4">
      <c r="A4" s="2" t="inlineStr"/>
    </row>
    <row r="5">
      <c r="A5" s="3" t="inlineStr">
        <is>
          <t>■ 반드시 지켜주세요 — 동시 편집이 되려면</t>
        </is>
      </c>
    </row>
    <row r="6">
      <c r="A6" s="2" t="inlineStr">
        <is>
          <t xml:space="preserve">   · Excel Online(브라우저)으로 열거나, Excel 데스크톱에서 자동 저장(AutoSave)을 켜고 여세요.</t>
        </is>
      </c>
    </row>
    <row r="7">
      <c r="A7" s="2" t="inlineStr">
        <is>
          <t xml:space="preserve">   · 파일을 자기 PC로 복사해서 열면 별개 파일이 되어 다른 사람 입력이 반영되지 않습니다.</t>
        </is>
      </c>
    </row>
    <row r="8">
      <c r="A8" s="2" t="inlineStr"/>
    </row>
    <row r="9">
      <c r="A9" s="4" t="inlineStr">
        <is>
          <t>■ 근태 시트 — 자기 이름 행에서 날짜 칸을 고릅니다</t>
        </is>
      </c>
    </row>
    <row r="10">
      <c r="A10" s="2" t="inlineStr">
        <is>
          <t xml:space="preserve">   · 빈칸이 8시간 근무입니다. 8시간을 채우는 날은 아무것도 넣지 마세요.</t>
        </is>
      </c>
    </row>
    <row r="11">
      <c r="A11" s="2" t="inlineStr">
        <is>
          <t xml:space="preserve">   · 유형 11가지 · 출근 6가지 · 퇴근 18가지를 각각 고르면 됩니다. 연차·출장·교육·기타·휴직은 유형만 고르고 시각은 비워 둡니다.</t>
        </is>
      </c>
    </row>
    <row r="12">
      <c r="A12" s="2" t="inlineStr">
        <is>
          <t xml:space="preserve">   · 규칙에 없는 조합(예: 오전반 + 08:30 출근)은 빨갛게 표시됩니다 — 유형·출근·퇴근을 다시 고르세요.</t>
        </is>
      </c>
    </row>
    <row r="13">
      <c r="A13" s="2" t="inlineStr">
        <is>
          <t xml:space="preserve">   · 맨 아래 판정 행이 빨갛게 되면 그날 30%가 미달입니다. 노랗게 강조된 칸이 조율 후보 — 그 사람이 8시간으로 바꾸면 충족됩니다.</t>
        </is>
      </c>
    </row>
    <row r="14">
      <c r="A14" s="2" t="inlineStr">
        <is>
          <t xml:space="preserve">   · 노란 칸(B1·B2)에 연·월을 넣으면 날짜와 요일이 자동으로 바뀝니다.</t>
        </is>
      </c>
    </row>
    <row r="15">
      <c r="A15" s="2" t="inlineStr"/>
    </row>
    <row r="16">
      <c r="A16" s="4" t="inlineStr">
        <is>
          <t>■ OT 시트 — 날짜별 초과근로 시간</t>
        </is>
      </c>
    </row>
    <row r="17">
      <c r="A17" s="2" t="inlineStr">
        <is>
          <t xml:space="preserve">   · 1시간 45분은 1.75 로 넣습니다 (OT 는 분 단위로 신청).</t>
        </is>
      </c>
    </row>
    <row r="18">
      <c r="A18" s="2" t="inlineStr">
        <is>
          <t xml:space="preserve">   · 자정을 넘긴 OT 도 시간만 합쳐서 넣으면 됩니다.</t>
        </is>
      </c>
    </row>
    <row r="19">
      <c r="A19" s="2" t="inlineStr"/>
    </row>
    <row r="20">
      <c r="A20" s="4" t="inlineStr">
        <is>
          <t>■ 개인요약 시트 — 월 총량과 OT 잔여</t>
        </is>
      </c>
    </row>
    <row r="21">
      <c r="A21" s="2" t="inlineStr">
        <is>
          <t xml:space="preserve">   · 휴가를 쓰면 월 총량이 그만큼 줄고(160h − 연차 8h = 152h), OT 가능시간은 그만큼 늘어납니다.</t>
        </is>
      </c>
    </row>
    <row r="22">
      <c r="A22" s="2" t="inlineStr">
        <is>
          <t xml:space="preserve">   · 노란 칸(OT 기본 가능시간)에 사내 HR 시스템의 그 달 값을 넣으세요.</t>
        </is>
      </c>
    </row>
    <row r="23">
      <c r="A23" s="2" t="inlineStr">
        <is>
          <t xml:space="preserve">   · 주별 근로시간(정규+OT)이 64시간을 넘으면 빨갛게 표시됩니다.</t>
        </is>
      </c>
    </row>
    <row r="24">
      <c r="A24" s="2" t="inlineStr"/>
    </row>
    <row r="25">
      <c r="A25" s="4" t="inlineStr">
        <is>
          <t>■ 명부 · 공휴일 — 인원 변동과 휴일이 바뀔 때만</t>
        </is>
      </c>
    </row>
    <row r="26">
      <c r="A26" s="2" t="inlineStr">
        <is>
          <t xml:space="preserve">   · 명부 휴직 열에 Y 를 넣으면 30% 모수에서 빠집니다.</t>
        </is>
      </c>
    </row>
    <row r="27">
      <c r="A27" s="2" t="inlineStr">
        <is>
          <t xml:space="preserve">   · 공휴일에 사내 휴무일·창립기념일도 추가하세요.</t>
        </is>
      </c>
    </row>
    <row r="28">
      <c r="A28" s="2" t="inlineStr"/>
    </row>
    <row r="29">
      <c r="A29" s="4" t="inlineStr">
        <is>
          <t>■ 이 파일이 하지 않는 것 — index.html 도구에서 확인하세요</t>
        </is>
      </c>
    </row>
    <row r="30">
      <c r="A30" s="2" t="inlineStr">
        <is>
          <t xml:space="preserve">   · 탄력근무 3개월 평균 52시간 판정 (달을 넘기는 계산)</t>
        </is>
      </c>
    </row>
    <row r="31">
      <c r="A31" s="2" t="inlineStr">
        <is>
          <t xml:space="preserve">   · 목록에 없는 조합이 왜 안 되는지 이유 설명 (규칙 검증기)</t>
        </is>
      </c>
    </row>
    <row r="32">
      <c r="A32" s="2" t="inlineStr"/>
    </row>
    <row r="33">
      <c r="A33" s="5" t="inlineStr">
        <is>
          <t>시트 보호가 걸려 있지만 암호는 없습니다. 수식을 고쳐야 하면 [검토] → [시트 보호 해제] 를 누르세요.</t>
        </is>
      </c>
    </row>
    <row r="34">
      <c r="A34" s="5" t="inlineStr">
        <is>
          <t>근무 조합 106가지는 index.html 의 규칙 엔진에서 직접 뽑았습니다 (규칙 엔진에서 새로 생성). 규칙이 바뀌면 python worktime/build_xlsx.py 로 다시 만드세요.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38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6" customWidth="1" min="3" max="3"/>
    <col width="8" customWidth="1" min="4" max="4"/>
    <col width="6.5" customWidth="1" min="5" max="5"/>
    <col width="6.5" customWidth="1" min="6" max="6"/>
    <col width="8" customWidth="1" min="7" max="7"/>
    <col width="6.5" customWidth="1" min="8" max="8"/>
    <col width="6.5" customWidth="1" min="9" max="9"/>
    <col width="8" customWidth="1" min="10" max="10"/>
    <col width="6.5" customWidth="1" min="11" max="11"/>
    <col width="6.5" customWidth="1" min="12" max="12"/>
    <col width="8" customWidth="1" min="13" max="13"/>
    <col width="6.5" customWidth="1" min="14" max="14"/>
    <col width="6.5" customWidth="1" min="15" max="15"/>
    <col width="8" customWidth="1" min="16" max="16"/>
    <col width="6.5" customWidth="1" min="17" max="17"/>
    <col width="6.5" customWidth="1" min="18" max="18"/>
    <col width="8" customWidth="1" min="19" max="19"/>
    <col width="6.5" customWidth="1" min="20" max="20"/>
    <col width="6.5" customWidth="1" min="21" max="21"/>
    <col width="8" customWidth="1" min="22" max="22"/>
    <col width="6.5" customWidth="1" min="23" max="23"/>
    <col width="6.5" customWidth="1" min="24" max="24"/>
    <col width="8" customWidth="1" min="25" max="25"/>
    <col width="6.5" customWidth="1" min="26" max="26"/>
    <col width="6.5" customWidth="1" min="27" max="27"/>
    <col width="8" customWidth="1" min="28" max="28"/>
    <col width="6.5" customWidth="1" min="29" max="29"/>
    <col width="6.5" customWidth="1" min="30" max="30"/>
    <col width="8" customWidth="1" min="31" max="31"/>
    <col width="6.5" customWidth="1" min="32" max="32"/>
    <col width="6.5" customWidth="1" min="33" max="33"/>
    <col width="8" customWidth="1" min="34" max="34"/>
    <col width="6.5" customWidth="1" min="35" max="35"/>
    <col width="6.5" customWidth="1" min="36" max="36"/>
    <col width="8" customWidth="1" min="37" max="37"/>
    <col width="6.5" customWidth="1" min="38" max="38"/>
    <col width="6.5" customWidth="1" min="39" max="39"/>
    <col width="8" customWidth="1" min="40" max="40"/>
    <col width="6.5" customWidth="1" min="41" max="41"/>
    <col width="6.5" customWidth="1" min="42" max="42"/>
    <col width="8" customWidth="1" min="43" max="43"/>
    <col width="6.5" customWidth="1" min="44" max="44"/>
    <col width="6.5" customWidth="1" min="45" max="45"/>
    <col width="8" customWidth="1" min="46" max="46"/>
    <col width="6.5" customWidth="1" min="47" max="47"/>
    <col width="6.5" customWidth="1" min="48" max="48"/>
    <col width="8" customWidth="1" min="49" max="49"/>
    <col width="6.5" customWidth="1" min="50" max="50"/>
    <col width="6.5" customWidth="1" min="51" max="51"/>
    <col width="8" customWidth="1" min="52" max="52"/>
    <col width="6.5" customWidth="1" min="53" max="53"/>
    <col width="6.5" customWidth="1" min="54" max="54"/>
    <col width="8" customWidth="1" min="55" max="55"/>
    <col width="6.5" customWidth="1" min="56" max="56"/>
    <col width="6.5" customWidth="1" min="57" max="57"/>
    <col width="8" customWidth="1" min="58" max="58"/>
    <col width="6.5" customWidth="1" min="59" max="59"/>
    <col width="6.5" customWidth="1" min="60" max="60"/>
    <col width="8" customWidth="1" min="61" max="61"/>
    <col width="6.5" customWidth="1" min="62" max="62"/>
    <col width="6.5" customWidth="1" min="63" max="63"/>
    <col width="8" customWidth="1" min="64" max="64"/>
    <col width="6.5" customWidth="1" min="65" max="65"/>
    <col width="6.5" customWidth="1" min="66" max="66"/>
    <col width="8" customWidth="1" min="67" max="67"/>
    <col width="6.5" customWidth="1" min="68" max="68"/>
    <col width="6.5" customWidth="1" min="69" max="69"/>
    <col width="8" customWidth="1" min="70" max="70"/>
    <col width="6.5" customWidth="1" min="71" max="71"/>
    <col width="6.5" customWidth="1" min="72" max="72"/>
    <col width="8" customWidth="1" min="73" max="73"/>
    <col width="6.5" customWidth="1" min="74" max="74"/>
    <col width="6.5" customWidth="1" min="75" max="75"/>
    <col width="8" customWidth="1" min="76" max="76"/>
    <col width="6.5" customWidth="1" min="77" max="77"/>
    <col width="6.5" customWidth="1" min="78" max="78"/>
    <col width="8" customWidth="1" min="79" max="79"/>
    <col width="6.5" customWidth="1" min="80" max="80"/>
    <col width="6.5" customWidth="1" min="81" max="81"/>
    <col width="8" customWidth="1" min="82" max="82"/>
    <col width="6.5" customWidth="1" min="83" max="83"/>
    <col width="6.5" customWidth="1" min="84" max="84"/>
    <col width="8" customWidth="1" min="85" max="85"/>
    <col width="6.5" customWidth="1" min="86" max="86"/>
    <col width="6.5" customWidth="1" min="87" max="87"/>
    <col width="8" customWidth="1" min="88" max="88"/>
    <col width="6.5" customWidth="1" min="89" max="89"/>
    <col width="6.5" customWidth="1" min="90" max="90"/>
    <col width="8" customWidth="1" min="91" max="91"/>
    <col width="6.5" customWidth="1" min="92" max="92"/>
    <col width="6.5" customWidth="1" min="93" max="93"/>
    <col width="8" customWidth="1" min="94" max="94"/>
    <col width="6.5" customWidth="1" min="95" max="95"/>
    <col width="6.5" customWidth="1" min="96" max="96"/>
  </cols>
  <sheetData>
    <row r="1">
      <c r="A1" s="6" t="inlineStr">
        <is>
          <t>연</t>
        </is>
      </c>
      <c r="B1" s="7" t="n">
        <v>2026</v>
      </c>
      <c r="D1" s="8" t="inlineStr">
        <is>
          <t>근태 — 빈칸이 8시간 근무입니다. 못 채우는 날만 채우세요</t>
        </is>
      </c>
    </row>
    <row r="2">
      <c r="A2" s="6" t="inlineStr">
        <is>
          <t>월</t>
        </is>
      </c>
      <c r="B2" s="7" t="n">
        <v>9</v>
      </c>
      <c r="D2" s="5" t="inlineStr">
        <is>
          <t>유형 · 출근 · 퇴근을 각각 고릅니다 (연차 · 출장 · 교육 · 휴직은 유형만) · 노란 칸에 연·월을 넣으면 날짜와 요일이 바뀝니다</t>
        </is>
      </c>
    </row>
    <row r="3">
      <c r="A3" s="9" t="inlineStr">
        <is>
          <t>주</t>
        </is>
      </c>
      <c r="B3" s="9" t="inlineStr"/>
      <c r="C3" s="9" t="inlineStr"/>
      <c r="D3" s="9">
        <f>IF(D4="","",INT((D4-1+MOD(WEEKDAY(DATE($B$1,$B$2,1))+5,7))/7)+1)</f>
        <v/>
      </c>
      <c r="E3" s="10" t="n"/>
      <c r="F3" s="11" t="n"/>
      <c r="G3" s="9">
        <f>IF(G4="","",INT((G4-1+MOD(WEEKDAY(DATE($B$1,$B$2,1))+5,7))/7)+1)</f>
        <v/>
      </c>
      <c r="H3" s="10" t="n"/>
      <c r="I3" s="11" t="n"/>
      <c r="J3" s="9">
        <f>IF(J4="","",INT((J4-1+MOD(WEEKDAY(DATE($B$1,$B$2,1))+5,7))/7)+1)</f>
        <v/>
      </c>
      <c r="K3" s="10" t="n"/>
      <c r="L3" s="11" t="n"/>
      <c r="M3" s="9">
        <f>IF(M4="","",INT((M4-1+MOD(WEEKDAY(DATE($B$1,$B$2,1))+5,7))/7)+1)</f>
        <v/>
      </c>
      <c r="N3" s="10" t="n"/>
      <c r="O3" s="11" t="n"/>
      <c r="P3" s="9">
        <f>IF(P4="","",INT((P4-1+MOD(WEEKDAY(DATE($B$1,$B$2,1))+5,7))/7)+1)</f>
        <v/>
      </c>
      <c r="Q3" s="10" t="n"/>
      <c r="R3" s="11" t="n"/>
      <c r="S3" s="9">
        <f>IF(S4="","",INT((S4-1+MOD(WEEKDAY(DATE($B$1,$B$2,1))+5,7))/7)+1)</f>
        <v/>
      </c>
      <c r="T3" s="10" t="n"/>
      <c r="U3" s="11" t="n"/>
      <c r="V3" s="9">
        <f>IF(V4="","",INT((V4-1+MOD(WEEKDAY(DATE($B$1,$B$2,1))+5,7))/7)+1)</f>
        <v/>
      </c>
      <c r="W3" s="10" t="n"/>
      <c r="X3" s="11" t="n"/>
      <c r="Y3" s="9">
        <f>IF(Y4="","",INT((Y4-1+MOD(WEEKDAY(DATE($B$1,$B$2,1))+5,7))/7)+1)</f>
        <v/>
      </c>
      <c r="Z3" s="10" t="n"/>
      <c r="AA3" s="11" t="n"/>
      <c r="AB3" s="9">
        <f>IF(AB4="","",INT((AB4-1+MOD(WEEKDAY(DATE($B$1,$B$2,1))+5,7))/7)+1)</f>
        <v/>
      </c>
      <c r="AC3" s="10" t="n"/>
      <c r="AD3" s="11" t="n"/>
      <c r="AE3" s="9">
        <f>IF(AE4="","",INT((AE4-1+MOD(WEEKDAY(DATE($B$1,$B$2,1))+5,7))/7)+1)</f>
        <v/>
      </c>
      <c r="AF3" s="10" t="n"/>
      <c r="AG3" s="11" t="n"/>
      <c r="AH3" s="9">
        <f>IF(AH4="","",INT((AH4-1+MOD(WEEKDAY(DATE($B$1,$B$2,1))+5,7))/7)+1)</f>
        <v/>
      </c>
      <c r="AI3" s="10" t="n"/>
      <c r="AJ3" s="11" t="n"/>
      <c r="AK3" s="9">
        <f>IF(AK4="","",INT((AK4-1+MOD(WEEKDAY(DATE($B$1,$B$2,1))+5,7))/7)+1)</f>
        <v/>
      </c>
      <c r="AL3" s="10" t="n"/>
      <c r="AM3" s="11" t="n"/>
      <c r="AN3" s="9">
        <f>IF(AN4="","",INT((AN4-1+MOD(WEEKDAY(DATE($B$1,$B$2,1))+5,7))/7)+1)</f>
        <v/>
      </c>
      <c r="AO3" s="10" t="n"/>
      <c r="AP3" s="11" t="n"/>
      <c r="AQ3" s="9">
        <f>IF(AQ4="","",INT((AQ4-1+MOD(WEEKDAY(DATE($B$1,$B$2,1))+5,7))/7)+1)</f>
        <v/>
      </c>
      <c r="AR3" s="10" t="n"/>
      <c r="AS3" s="11" t="n"/>
      <c r="AT3" s="9">
        <f>IF(AT4="","",INT((AT4-1+MOD(WEEKDAY(DATE($B$1,$B$2,1))+5,7))/7)+1)</f>
        <v/>
      </c>
      <c r="AU3" s="10" t="n"/>
      <c r="AV3" s="11" t="n"/>
      <c r="AW3" s="9">
        <f>IF(AW4="","",INT((AW4-1+MOD(WEEKDAY(DATE($B$1,$B$2,1))+5,7))/7)+1)</f>
        <v/>
      </c>
      <c r="AX3" s="10" t="n"/>
      <c r="AY3" s="11" t="n"/>
      <c r="AZ3" s="9">
        <f>IF(AZ4="","",INT((AZ4-1+MOD(WEEKDAY(DATE($B$1,$B$2,1))+5,7))/7)+1)</f>
        <v/>
      </c>
      <c r="BA3" s="10" t="n"/>
      <c r="BB3" s="11" t="n"/>
      <c r="BC3" s="9">
        <f>IF(BC4="","",INT((BC4-1+MOD(WEEKDAY(DATE($B$1,$B$2,1))+5,7))/7)+1)</f>
        <v/>
      </c>
      <c r="BD3" s="10" t="n"/>
      <c r="BE3" s="11" t="n"/>
      <c r="BF3" s="9">
        <f>IF(BF4="","",INT((BF4-1+MOD(WEEKDAY(DATE($B$1,$B$2,1))+5,7))/7)+1)</f>
        <v/>
      </c>
      <c r="BG3" s="10" t="n"/>
      <c r="BH3" s="11" t="n"/>
      <c r="BI3" s="9">
        <f>IF(BI4="","",INT((BI4-1+MOD(WEEKDAY(DATE($B$1,$B$2,1))+5,7))/7)+1)</f>
        <v/>
      </c>
      <c r="BJ3" s="10" t="n"/>
      <c r="BK3" s="11" t="n"/>
      <c r="BL3" s="9">
        <f>IF(BL4="","",INT((BL4-1+MOD(WEEKDAY(DATE($B$1,$B$2,1))+5,7))/7)+1)</f>
        <v/>
      </c>
      <c r="BM3" s="10" t="n"/>
      <c r="BN3" s="11" t="n"/>
      <c r="BO3" s="9">
        <f>IF(BO4="","",INT((BO4-1+MOD(WEEKDAY(DATE($B$1,$B$2,1))+5,7))/7)+1)</f>
        <v/>
      </c>
      <c r="BP3" s="10" t="n"/>
      <c r="BQ3" s="11" t="n"/>
      <c r="BR3" s="9">
        <f>IF(BR4="","",INT((BR4-1+MOD(WEEKDAY(DATE($B$1,$B$2,1))+5,7))/7)+1)</f>
        <v/>
      </c>
      <c r="BS3" s="10" t="n"/>
      <c r="BT3" s="11" t="n"/>
      <c r="BU3" s="9">
        <f>IF(BU4="","",INT((BU4-1+MOD(WEEKDAY(DATE($B$1,$B$2,1))+5,7))/7)+1)</f>
        <v/>
      </c>
      <c r="BV3" s="10" t="n"/>
      <c r="BW3" s="11" t="n"/>
      <c r="BX3" s="9">
        <f>IF(BX4="","",INT((BX4-1+MOD(WEEKDAY(DATE($B$1,$B$2,1))+5,7))/7)+1)</f>
        <v/>
      </c>
      <c r="BY3" s="10" t="n"/>
      <c r="BZ3" s="11" t="n"/>
      <c r="CA3" s="9">
        <f>IF(CA4="","",INT((CA4-1+MOD(WEEKDAY(DATE($B$1,$B$2,1))+5,7))/7)+1)</f>
        <v/>
      </c>
      <c r="CB3" s="10" t="n"/>
      <c r="CC3" s="11" t="n"/>
      <c r="CD3" s="9">
        <f>IF(CD4="","",INT((CD4-1+MOD(WEEKDAY(DATE($B$1,$B$2,1))+5,7))/7)+1)</f>
        <v/>
      </c>
      <c r="CE3" s="10" t="n"/>
      <c r="CF3" s="11" t="n"/>
      <c r="CG3" s="9">
        <f>IF(CG4="","",INT((CG4-1+MOD(WEEKDAY(DATE($B$1,$B$2,1))+5,7))/7)+1)</f>
        <v/>
      </c>
      <c r="CH3" s="10" t="n"/>
      <c r="CI3" s="11" t="n"/>
      <c r="CJ3" s="9">
        <f>IF(CJ4="","",INT((CJ4-1+MOD(WEEKDAY(DATE($B$1,$B$2,1))+5,7))/7)+1)</f>
        <v/>
      </c>
      <c r="CK3" s="10" t="n"/>
      <c r="CL3" s="11" t="n"/>
      <c r="CM3" s="9">
        <f>IF(CM4="","",INT((CM4-1+MOD(WEEKDAY(DATE($B$1,$B$2,1))+5,7))/7)+1)</f>
        <v/>
      </c>
      <c r="CN3" s="10" t="n"/>
      <c r="CO3" s="11" t="n"/>
      <c r="CP3" s="9">
        <f>IF(CP4="","",INT((CP4-1+MOD(WEEKDAY(DATE($B$1,$B$2,1))+5,7))/7)+1)</f>
        <v/>
      </c>
      <c r="CQ3" s="10" t="n"/>
      <c r="CR3" s="11" t="n"/>
    </row>
    <row r="4">
      <c r="D4" s="12">
        <f>IF(MONTH(DATE($B$1,$B$2,1))&lt;&gt;$B$2,"",1)</f>
        <v/>
      </c>
      <c r="E4" s="10" t="n"/>
      <c r="F4" s="11" t="n"/>
      <c r="G4" s="12">
        <f>IF(MONTH(DATE($B$1,$B$2,2))&lt;&gt;$B$2,"",2)</f>
        <v/>
      </c>
      <c r="H4" s="10" t="n"/>
      <c r="I4" s="11" t="n"/>
      <c r="J4" s="12">
        <f>IF(MONTH(DATE($B$1,$B$2,3))&lt;&gt;$B$2,"",3)</f>
        <v/>
      </c>
      <c r="K4" s="10" t="n"/>
      <c r="L4" s="11" t="n"/>
      <c r="M4" s="12">
        <f>IF(MONTH(DATE($B$1,$B$2,4))&lt;&gt;$B$2,"",4)</f>
        <v/>
      </c>
      <c r="N4" s="10" t="n"/>
      <c r="O4" s="11" t="n"/>
      <c r="P4" s="12">
        <f>IF(MONTH(DATE($B$1,$B$2,5))&lt;&gt;$B$2,"",5)</f>
        <v/>
      </c>
      <c r="Q4" s="10" t="n"/>
      <c r="R4" s="11" t="n"/>
      <c r="S4" s="12">
        <f>IF(MONTH(DATE($B$1,$B$2,6))&lt;&gt;$B$2,"",6)</f>
        <v/>
      </c>
      <c r="T4" s="10" t="n"/>
      <c r="U4" s="11" t="n"/>
      <c r="V4" s="12">
        <f>IF(MONTH(DATE($B$1,$B$2,7))&lt;&gt;$B$2,"",7)</f>
        <v/>
      </c>
      <c r="W4" s="10" t="n"/>
      <c r="X4" s="11" t="n"/>
      <c r="Y4" s="12">
        <f>IF(MONTH(DATE($B$1,$B$2,8))&lt;&gt;$B$2,"",8)</f>
        <v/>
      </c>
      <c r="Z4" s="10" t="n"/>
      <c r="AA4" s="11" t="n"/>
      <c r="AB4" s="12">
        <f>IF(MONTH(DATE($B$1,$B$2,9))&lt;&gt;$B$2,"",9)</f>
        <v/>
      </c>
      <c r="AC4" s="10" t="n"/>
      <c r="AD4" s="11" t="n"/>
      <c r="AE4" s="12">
        <f>IF(MONTH(DATE($B$1,$B$2,10))&lt;&gt;$B$2,"",10)</f>
        <v/>
      </c>
      <c r="AF4" s="10" t="n"/>
      <c r="AG4" s="11" t="n"/>
      <c r="AH4" s="12">
        <f>IF(MONTH(DATE($B$1,$B$2,11))&lt;&gt;$B$2,"",11)</f>
        <v/>
      </c>
      <c r="AI4" s="10" t="n"/>
      <c r="AJ4" s="11" t="n"/>
      <c r="AK4" s="12">
        <f>IF(MONTH(DATE($B$1,$B$2,12))&lt;&gt;$B$2,"",12)</f>
        <v/>
      </c>
      <c r="AL4" s="10" t="n"/>
      <c r="AM4" s="11" t="n"/>
      <c r="AN4" s="12">
        <f>IF(MONTH(DATE($B$1,$B$2,13))&lt;&gt;$B$2,"",13)</f>
        <v/>
      </c>
      <c r="AO4" s="10" t="n"/>
      <c r="AP4" s="11" t="n"/>
      <c r="AQ4" s="12">
        <f>IF(MONTH(DATE($B$1,$B$2,14))&lt;&gt;$B$2,"",14)</f>
        <v/>
      </c>
      <c r="AR4" s="10" t="n"/>
      <c r="AS4" s="11" t="n"/>
      <c r="AT4" s="12">
        <f>IF(MONTH(DATE($B$1,$B$2,15))&lt;&gt;$B$2,"",15)</f>
        <v/>
      </c>
      <c r="AU4" s="10" t="n"/>
      <c r="AV4" s="11" t="n"/>
      <c r="AW4" s="12">
        <f>IF(MONTH(DATE($B$1,$B$2,16))&lt;&gt;$B$2,"",16)</f>
        <v/>
      </c>
      <c r="AX4" s="10" t="n"/>
      <c r="AY4" s="11" t="n"/>
      <c r="AZ4" s="12">
        <f>IF(MONTH(DATE($B$1,$B$2,17))&lt;&gt;$B$2,"",17)</f>
        <v/>
      </c>
      <c r="BA4" s="10" t="n"/>
      <c r="BB4" s="11" t="n"/>
      <c r="BC4" s="12">
        <f>IF(MONTH(DATE($B$1,$B$2,18))&lt;&gt;$B$2,"",18)</f>
        <v/>
      </c>
      <c r="BD4" s="10" t="n"/>
      <c r="BE4" s="11" t="n"/>
      <c r="BF4" s="12">
        <f>IF(MONTH(DATE($B$1,$B$2,19))&lt;&gt;$B$2,"",19)</f>
        <v/>
      </c>
      <c r="BG4" s="10" t="n"/>
      <c r="BH4" s="11" t="n"/>
      <c r="BI4" s="12">
        <f>IF(MONTH(DATE($B$1,$B$2,20))&lt;&gt;$B$2,"",20)</f>
        <v/>
      </c>
      <c r="BJ4" s="10" t="n"/>
      <c r="BK4" s="11" t="n"/>
      <c r="BL4" s="12">
        <f>IF(MONTH(DATE($B$1,$B$2,21))&lt;&gt;$B$2,"",21)</f>
        <v/>
      </c>
      <c r="BM4" s="10" t="n"/>
      <c r="BN4" s="11" t="n"/>
      <c r="BO4" s="12">
        <f>IF(MONTH(DATE($B$1,$B$2,22))&lt;&gt;$B$2,"",22)</f>
        <v/>
      </c>
      <c r="BP4" s="10" t="n"/>
      <c r="BQ4" s="11" t="n"/>
      <c r="BR4" s="12">
        <f>IF(MONTH(DATE($B$1,$B$2,23))&lt;&gt;$B$2,"",23)</f>
        <v/>
      </c>
      <c r="BS4" s="10" t="n"/>
      <c r="BT4" s="11" t="n"/>
      <c r="BU4" s="12">
        <f>IF(MONTH(DATE($B$1,$B$2,24))&lt;&gt;$B$2,"",24)</f>
        <v/>
      </c>
      <c r="BV4" s="10" t="n"/>
      <c r="BW4" s="11" t="n"/>
      <c r="BX4" s="12">
        <f>IF(MONTH(DATE($B$1,$B$2,25))&lt;&gt;$B$2,"",25)</f>
        <v/>
      </c>
      <c r="BY4" s="10" t="n"/>
      <c r="BZ4" s="11" t="n"/>
      <c r="CA4" s="12">
        <f>IF(MONTH(DATE($B$1,$B$2,26))&lt;&gt;$B$2,"",26)</f>
        <v/>
      </c>
      <c r="CB4" s="10" t="n"/>
      <c r="CC4" s="11" t="n"/>
      <c r="CD4" s="12">
        <f>IF(MONTH(DATE($B$1,$B$2,27))&lt;&gt;$B$2,"",27)</f>
        <v/>
      </c>
      <c r="CE4" s="10" t="n"/>
      <c r="CF4" s="11" t="n"/>
      <c r="CG4" s="12">
        <f>IF(MONTH(DATE($B$1,$B$2,28))&lt;&gt;$B$2,"",28)</f>
        <v/>
      </c>
      <c r="CH4" s="10" t="n"/>
      <c r="CI4" s="11" t="n"/>
      <c r="CJ4" s="12">
        <f>IF(MONTH(DATE($B$1,$B$2,29))&lt;&gt;$B$2,"",29)</f>
        <v/>
      </c>
      <c r="CK4" s="10" t="n"/>
      <c r="CL4" s="11" t="n"/>
      <c r="CM4" s="12">
        <f>IF(MONTH(DATE($B$1,$B$2,30))&lt;&gt;$B$2,"",30)</f>
        <v/>
      </c>
      <c r="CN4" s="10" t="n"/>
      <c r="CO4" s="11" t="n"/>
      <c r="CP4" s="12">
        <f>IF(MONTH(DATE($B$1,$B$2,31))&lt;&gt;$B$2,"",31)</f>
        <v/>
      </c>
      <c r="CQ4" s="10" t="n"/>
      <c r="CR4" s="11" t="n"/>
    </row>
    <row r="5">
      <c r="D5" s="13">
        <f>IF(D$4="","",INDEX(코드!$M$2:$M$8,WEEKDAY(DATE($B$1,$B$2,D$4))))</f>
        <v/>
      </c>
      <c r="E5" s="10" t="n"/>
      <c r="F5" s="11" t="n"/>
      <c r="G5" s="13">
        <f>IF(G$4="","",INDEX(코드!$M$2:$M$8,WEEKDAY(DATE($B$1,$B$2,G$4))))</f>
        <v/>
      </c>
      <c r="H5" s="10" t="n"/>
      <c r="I5" s="11" t="n"/>
      <c r="J5" s="13">
        <f>IF(J$4="","",INDEX(코드!$M$2:$M$8,WEEKDAY(DATE($B$1,$B$2,J$4))))</f>
        <v/>
      </c>
      <c r="K5" s="10" t="n"/>
      <c r="L5" s="11" t="n"/>
      <c r="M5" s="13">
        <f>IF(M$4="","",INDEX(코드!$M$2:$M$8,WEEKDAY(DATE($B$1,$B$2,M$4))))</f>
        <v/>
      </c>
      <c r="N5" s="10" t="n"/>
      <c r="O5" s="11" t="n"/>
      <c r="P5" s="13">
        <f>IF(P$4="","",INDEX(코드!$M$2:$M$8,WEEKDAY(DATE($B$1,$B$2,P$4))))</f>
        <v/>
      </c>
      <c r="Q5" s="10" t="n"/>
      <c r="R5" s="11" t="n"/>
      <c r="S5" s="13">
        <f>IF(S$4="","",INDEX(코드!$M$2:$M$8,WEEKDAY(DATE($B$1,$B$2,S$4))))</f>
        <v/>
      </c>
      <c r="T5" s="10" t="n"/>
      <c r="U5" s="11" t="n"/>
      <c r="V5" s="13">
        <f>IF(V$4="","",INDEX(코드!$M$2:$M$8,WEEKDAY(DATE($B$1,$B$2,V$4))))</f>
        <v/>
      </c>
      <c r="W5" s="10" t="n"/>
      <c r="X5" s="11" t="n"/>
      <c r="Y5" s="13">
        <f>IF(Y$4="","",INDEX(코드!$M$2:$M$8,WEEKDAY(DATE($B$1,$B$2,Y$4))))</f>
        <v/>
      </c>
      <c r="Z5" s="10" t="n"/>
      <c r="AA5" s="11" t="n"/>
      <c r="AB5" s="13">
        <f>IF(AB$4="","",INDEX(코드!$M$2:$M$8,WEEKDAY(DATE($B$1,$B$2,AB$4))))</f>
        <v/>
      </c>
      <c r="AC5" s="10" t="n"/>
      <c r="AD5" s="11" t="n"/>
      <c r="AE5" s="13">
        <f>IF(AE$4="","",INDEX(코드!$M$2:$M$8,WEEKDAY(DATE($B$1,$B$2,AE$4))))</f>
        <v/>
      </c>
      <c r="AF5" s="10" t="n"/>
      <c r="AG5" s="11" t="n"/>
      <c r="AH5" s="13">
        <f>IF(AH$4="","",INDEX(코드!$M$2:$M$8,WEEKDAY(DATE($B$1,$B$2,AH$4))))</f>
        <v/>
      </c>
      <c r="AI5" s="10" t="n"/>
      <c r="AJ5" s="11" t="n"/>
      <c r="AK5" s="13">
        <f>IF(AK$4="","",INDEX(코드!$M$2:$M$8,WEEKDAY(DATE($B$1,$B$2,AK$4))))</f>
        <v/>
      </c>
      <c r="AL5" s="10" t="n"/>
      <c r="AM5" s="11" t="n"/>
      <c r="AN5" s="13">
        <f>IF(AN$4="","",INDEX(코드!$M$2:$M$8,WEEKDAY(DATE($B$1,$B$2,AN$4))))</f>
        <v/>
      </c>
      <c r="AO5" s="10" t="n"/>
      <c r="AP5" s="11" t="n"/>
      <c r="AQ5" s="13">
        <f>IF(AQ$4="","",INDEX(코드!$M$2:$M$8,WEEKDAY(DATE($B$1,$B$2,AQ$4))))</f>
        <v/>
      </c>
      <c r="AR5" s="10" t="n"/>
      <c r="AS5" s="11" t="n"/>
      <c r="AT5" s="13">
        <f>IF(AT$4="","",INDEX(코드!$M$2:$M$8,WEEKDAY(DATE($B$1,$B$2,AT$4))))</f>
        <v/>
      </c>
      <c r="AU5" s="10" t="n"/>
      <c r="AV5" s="11" t="n"/>
      <c r="AW5" s="13">
        <f>IF(AW$4="","",INDEX(코드!$M$2:$M$8,WEEKDAY(DATE($B$1,$B$2,AW$4))))</f>
        <v/>
      </c>
      <c r="AX5" s="10" t="n"/>
      <c r="AY5" s="11" t="n"/>
      <c r="AZ5" s="13">
        <f>IF(AZ$4="","",INDEX(코드!$M$2:$M$8,WEEKDAY(DATE($B$1,$B$2,AZ$4))))</f>
        <v/>
      </c>
      <c r="BA5" s="10" t="n"/>
      <c r="BB5" s="11" t="n"/>
      <c r="BC5" s="13">
        <f>IF(BC$4="","",INDEX(코드!$M$2:$M$8,WEEKDAY(DATE($B$1,$B$2,BC$4))))</f>
        <v/>
      </c>
      <c r="BD5" s="10" t="n"/>
      <c r="BE5" s="11" t="n"/>
      <c r="BF5" s="13">
        <f>IF(BF$4="","",INDEX(코드!$M$2:$M$8,WEEKDAY(DATE($B$1,$B$2,BF$4))))</f>
        <v/>
      </c>
      <c r="BG5" s="10" t="n"/>
      <c r="BH5" s="11" t="n"/>
      <c r="BI5" s="13">
        <f>IF(BI$4="","",INDEX(코드!$M$2:$M$8,WEEKDAY(DATE($B$1,$B$2,BI$4))))</f>
        <v/>
      </c>
      <c r="BJ5" s="10" t="n"/>
      <c r="BK5" s="11" t="n"/>
      <c r="BL5" s="13">
        <f>IF(BL$4="","",INDEX(코드!$M$2:$M$8,WEEKDAY(DATE($B$1,$B$2,BL$4))))</f>
        <v/>
      </c>
      <c r="BM5" s="10" t="n"/>
      <c r="BN5" s="11" t="n"/>
      <c r="BO5" s="13">
        <f>IF(BO$4="","",INDEX(코드!$M$2:$M$8,WEEKDAY(DATE($B$1,$B$2,BO$4))))</f>
        <v/>
      </c>
      <c r="BP5" s="10" t="n"/>
      <c r="BQ5" s="11" t="n"/>
      <c r="BR5" s="13">
        <f>IF(BR$4="","",INDEX(코드!$M$2:$M$8,WEEKDAY(DATE($B$1,$B$2,BR$4))))</f>
        <v/>
      </c>
      <c r="BS5" s="10" t="n"/>
      <c r="BT5" s="11" t="n"/>
      <c r="BU5" s="13">
        <f>IF(BU$4="","",INDEX(코드!$M$2:$M$8,WEEKDAY(DATE($B$1,$B$2,BU$4))))</f>
        <v/>
      </c>
      <c r="BV5" s="10" t="n"/>
      <c r="BW5" s="11" t="n"/>
      <c r="BX5" s="13">
        <f>IF(BX$4="","",INDEX(코드!$M$2:$M$8,WEEKDAY(DATE($B$1,$B$2,BX$4))))</f>
        <v/>
      </c>
      <c r="BY5" s="10" t="n"/>
      <c r="BZ5" s="11" t="n"/>
      <c r="CA5" s="13">
        <f>IF(CA$4="","",INDEX(코드!$M$2:$M$8,WEEKDAY(DATE($B$1,$B$2,CA$4))))</f>
        <v/>
      </c>
      <c r="CB5" s="10" t="n"/>
      <c r="CC5" s="11" t="n"/>
      <c r="CD5" s="13">
        <f>IF(CD$4="","",INDEX(코드!$M$2:$M$8,WEEKDAY(DATE($B$1,$B$2,CD$4))))</f>
        <v/>
      </c>
      <c r="CE5" s="10" t="n"/>
      <c r="CF5" s="11" t="n"/>
      <c r="CG5" s="13">
        <f>IF(CG$4="","",INDEX(코드!$M$2:$M$8,WEEKDAY(DATE($B$1,$B$2,CG$4))))</f>
        <v/>
      </c>
      <c r="CH5" s="10" t="n"/>
      <c r="CI5" s="11" t="n"/>
      <c r="CJ5" s="13">
        <f>IF(CJ$4="","",INDEX(코드!$M$2:$M$8,WEEKDAY(DATE($B$1,$B$2,CJ$4))))</f>
        <v/>
      </c>
      <c r="CK5" s="10" t="n"/>
      <c r="CL5" s="11" t="n"/>
      <c r="CM5" s="13">
        <f>IF(CM$4="","",INDEX(코드!$M$2:$M$8,WEEKDAY(DATE($B$1,$B$2,CM$4))))</f>
        <v/>
      </c>
      <c r="CN5" s="10" t="n"/>
      <c r="CO5" s="11" t="n"/>
      <c r="CP5" s="13">
        <f>IF(CP$4="","",INDEX(코드!$M$2:$M$8,WEEKDAY(DATE($B$1,$B$2,CP$4))))</f>
        <v/>
      </c>
      <c r="CQ5" s="10" t="n"/>
      <c r="CR5" s="11" t="n"/>
    </row>
    <row r="6">
      <c r="D6" s="9">
        <f>IF(D$4="","",IF(OR(WEEKDAY(DATE($B$1,$B$2,D$4),2)&gt;5,COUNTIF(공휴일!$A$2:$A$400,DATE($B$1,$B$2,D$4))&gt;0),"휴일",""))</f>
        <v/>
      </c>
      <c r="E6" s="10" t="n"/>
      <c r="F6" s="11" t="n"/>
      <c r="G6" s="9">
        <f>IF(G$4="","",IF(OR(WEEKDAY(DATE($B$1,$B$2,G$4),2)&gt;5,COUNTIF(공휴일!$A$2:$A$400,DATE($B$1,$B$2,G$4))&gt;0),"휴일",""))</f>
        <v/>
      </c>
      <c r="H6" s="10" t="n"/>
      <c r="I6" s="11" t="n"/>
      <c r="J6" s="9">
        <f>IF(J$4="","",IF(OR(WEEKDAY(DATE($B$1,$B$2,J$4),2)&gt;5,COUNTIF(공휴일!$A$2:$A$400,DATE($B$1,$B$2,J$4))&gt;0),"휴일",""))</f>
        <v/>
      </c>
      <c r="K6" s="10" t="n"/>
      <c r="L6" s="11" t="n"/>
      <c r="M6" s="9">
        <f>IF(M$4="","",IF(OR(WEEKDAY(DATE($B$1,$B$2,M$4),2)&gt;5,COUNTIF(공휴일!$A$2:$A$400,DATE($B$1,$B$2,M$4))&gt;0),"휴일",""))</f>
        <v/>
      </c>
      <c r="N6" s="10" t="n"/>
      <c r="O6" s="11" t="n"/>
      <c r="P6" s="9">
        <f>IF(P$4="","",IF(OR(WEEKDAY(DATE($B$1,$B$2,P$4),2)&gt;5,COUNTIF(공휴일!$A$2:$A$400,DATE($B$1,$B$2,P$4))&gt;0),"휴일",""))</f>
        <v/>
      </c>
      <c r="Q6" s="10" t="n"/>
      <c r="R6" s="11" t="n"/>
      <c r="S6" s="9">
        <f>IF(S$4="","",IF(OR(WEEKDAY(DATE($B$1,$B$2,S$4),2)&gt;5,COUNTIF(공휴일!$A$2:$A$400,DATE($B$1,$B$2,S$4))&gt;0),"휴일",""))</f>
        <v/>
      </c>
      <c r="T6" s="10" t="n"/>
      <c r="U6" s="11" t="n"/>
      <c r="V6" s="9">
        <f>IF(V$4="","",IF(OR(WEEKDAY(DATE($B$1,$B$2,V$4),2)&gt;5,COUNTIF(공휴일!$A$2:$A$400,DATE($B$1,$B$2,V$4))&gt;0),"휴일",""))</f>
        <v/>
      </c>
      <c r="W6" s="10" t="n"/>
      <c r="X6" s="11" t="n"/>
      <c r="Y6" s="9">
        <f>IF(Y$4="","",IF(OR(WEEKDAY(DATE($B$1,$B$2,Y$4),2)&gt;5,COUNTIF(공휴일!$A$2:$A$400,DATE($B$1,$B$2,Y$4))&gt;0),"휴일",""))</f>
        <v/>
      </c>
      <c r="Z6" s="10" t="n"/>
      <c r="AA6" s="11" t="n"/>
      <c r="AB6" s="9">
        <f>IF(AB$4="","",IF(OR(WEEKDAY(DATE($B$1,$B$2,AB$4),2)&gt;5,COUNTIF(공휴일!$A$2:$A$400,DATE($B$1,$B$2,AB$4))&gt;0),"휴일",""))</f>
        <v/>
      </c>
      <c r="AC6" s="10" t="n"/>
      <c r="AD6" s="11" t="n"/>
      <c r="AE6" s="9">
        <f>IF(AE$4="","",IF(OR(WEEKDAY(DATE($B$1,$B$2,AE$4),2)&gt;5,COUNTIF(공휴일!$A$2:$A$400,DATE($B$1,$B$2,AE$4))&gt;0),"휴일",""))</f>
        <v/>
      </c>
      <c r="AF6" s="10" t="n"/>
      <c r="AG6" s="11" t="n"/>
      <c r="AH6" s="9">
        <f>IF(AH$4="","",IF(OR(WEEKDAY(DATE($B$1,$B$2,AH$4),2)&gt;5,COUNTIF(공휴일!$A$2:$A$400,DATE($B$1,$B$2,AH$4))&gt;0),"휴일",""))</f>
        <v/>
      </c>
      <c r="AI6" s="10" t="n"/>
      <c r="AJ6" s="11" t="n"/>
      <c r="AK6" s="9">
        <f>IF(AK$4="","",IF(OR(WEEKDAY(DATE($B$1,$B$2,AK$4),2)&gt;5,COUNTIF(공휴일!$A$2:$A$400,DATE($B$1,$B$2,AK$4))&gt;0),"휴일",""))</f>
        <v/>
      </c>
      <c r="AL6" s="10" t="n"/>
      <c r="AM6" s="11" t="n"/>
      <c r="AN6" s="9">
        <f>IF(AN$4="","",IF(OR(WEEKDAY(DATE($B$1,$B$2,AN$4),2)&gt;5,COUNTIF(공휴일!$A$2:$A$400,DATE($B$1,$B$2,AN$4))&gt;0),"휴일",""))</f>
        <v/>
      </c>
      <c r="AO6" s="10" t="n"/>
      <c r="AP6" s="11" t="n"/>
      <c r="AQ6" s="9">
        <f>IF(AQ$4="","",IF(OR(WEEKDAY(DATE($B$1,$B$2,AQ$4),2)&gt;5,COUNTIF(공휴일!$A$2:$A$400,DATE($B$1,$B$2,AQ$4))&gt;0),"휴일",""))</f>
        <v/>
      </c>
      <c r="AR6" s="10" t="n"/>
      <c r="AS6" s="11" t="n"/>
      <c r="AT6" s="9">
        <f>IF(AT$4="","",IF(OR(WEEKDAY(DATE($B$1,$B$2,AT$4),2)&gt;5,COUNTIF(공휴일!$A$2:$A$400,DATE($B$1,$B$2,AT$4))&gt;0),"휴일",""))</f>
        <v/>
      </c>
      <c r="AU6" s="10" t="n"/>
      <c r="AV6" s="11" t="n"/>
      <c r="AW6" s="9">
        <f>IF(AW$4="","",IF(OR(WEEKDAY(DATE($B$1,$B$2,AW$4),2)&gt;5,COUNTIF(공휴일!$A$2:$A$400,DATE($B$1,$B$2,AW$4))&gt;0),"휴일",""))</f>
        <v/>
      </c>
      <c r="AX6" s="10" t="n"/>
      <c r="AY6" s="11" t="n"/>
      <c r="AZ6" s="9">
        <f>IF(AZ$4="","",IF(OR(WEEKDAY(DATE($B$1,$B$2,AZ$4),2)&gt;5,COUNTIF(공휴일!$A$2:$A$400,DATE($B$1,$B$2,AZ$4))&gt;0),"휴일",""))</f>
        <v/>
      </c>
      <c r="BA6" s="10" t="n"/>
      <c r="BB6" s="11" t="n"/>
      <c r="BC6" s="9">
        <f>IF(BC$4="","",IF(OR(WEEKDAY(DATE($B$1,$B$2,BC$4),2)&gt;5,COUNTIF(공휴일!$A$2:$A$400,DATE($B$1,$B$2,BC$4))&gt;0),"휴일",""))</f>
        <v/>
      </c>
      <c r="BD6" s="10" t="n"/>
      <c r="BE6" s="11" t="n"/>
      <c r="BF6" s="9">
        <f>IF(BF$4="","",IF(OR(WEEKDAY(DATE($B$1,$B$2,BF$4),2)&gt;5,COUNTIF(공휴일!$A$2:$A$400,DATE($B$1,$B$2,BF$4))&gt;0),"휴일",""))</f>
        <v/>
      </c>
      <c r="BG6" s="10" t="n"/>
      <c r="BH6" s="11" t="n"/>
      <c r="BI6" s="9">
        <f>IF(BI$4="","",IF(OR(WEEKDAY(DATE($B$1,$B$2,BI$4),2)&gt;5,COUNTIF(공휴일!$A$2:$A$400,DATE($B$1,$B$2,BI$4))&gt;0),"휴일",""))</f>
        <v/>
      </c>
      <c r="BJ6" s="10" t="n"/>
      <c r="BK6" s="11" t="n"/>
      <c r="BL6" s="9">
        <f>IF(BL$4="","",IF(OR(WEEKDAY(DATE($B$1,$B$2,BL$4),2)&gt;5,COUNTIF(공휴일!$A$2:$A$400,DATE($B$1,$B$2,BL$4))&gt;0),"휴일",""))</f>
        <v/>
      </c>
      <c r="BM6" s="10" t="n"/>
      <c r="BN6" s="11" t="n"/>
      <c r="BO6" s="9">
        <f>IF(BO$4="","",IF(OR(WEEKDAY(DATE($B$1,$B$2,BO$4),2)&gt;5,COUNTIF(공휴일!$A$2:$A$400,DATE($B$1,$B$2,BO$4))&gt;0),"휴일",""))</f>
        <v/>
      </c>
      <c r="BP6" s="10" t="n"/>
      <c r="BQ6" s="11" t="n"/>
      <c r="BR6" s="9">
        <f>IF(BR$4="","",IF(OR(WEEKDAY(DATE($B$1,$B$2,BR$4),2)&gt;5,COUNTIF(공휴일!$A$2:$A$400,DATE($B$1,$B$2,BR$4))&gt;0),"휴일",""))</f>
        <v/>
      </c>
      <c r="BS6" s="10" t="n"/>
      <c r="BT6" s="11" t="n"/>
      <c r="BU6" s="9">
        <f>IF(BU$4="","",IF(OR(WEEKDAY(DATE($B$1,$B$2,BU$4),2)&gt;5,COUNTIF(공휴일!$A$2:$A$400,DATE($B$1,$B$2,BU$4))&gt;0),"휴일",""))</f>
        <v/>
      </c>
      <c r="BV6" s="10" t="n"/>
      <c r="BW6" s="11" t="n"/>
      <c r="BX6" s="9">
        <f>IF(BX$4="","",IF(OR(WEEKDAY(DATE($B$1,$B$2,BX$4),2)&gt;5,COUNTIF(공휴일!$A$2:$A$400,DATE($B$1,$B$2,BX$4))&gt;0),"휴일",""))</f>
        <v/>
      </c>
      <c r="BY6" s="10" t="n"/>
      <c r="BZ6" s="11" t="n"/>
      <c r="CA6" s="9">
        <f>IF(CA$4="","",IF(OR(WEEKDAY(DATE($B$1,$B$2,CA$4),2)&gt;5,COUNTIF(공휴일!$A$2:$A$400,DATE($B$1,$B$2,CA$4))&gt;0),"휴일",""))</f>
        <v/>
      </c>
      <c r="CB6" s="10" t="n"/>
      <c r="CC6" s="11" t="n"/>
      <c r="CD6" s="9">
        <f>IF(CD$4="","",IF(OR(WEEKDAY(DATE($B$1,$B$2,CD$4),2)&gt;5,COUNTIF(공휴일!$A$2:$A$400,DATE($B$1,$B$2,CD$4))&gt;0),"휴일",""))</f>
        <v/>
      </c>
      <c r="CE6" s="10" t="n"/>
      <c r="CF6" s="11" t="n"/>
      <c r="CG6" s="9">
        <f>IF(CG$4="","",IF(OR(WEEKDAY(DATE($B$1,$B$2,CG$4),2)&gt;5,COUNTIF(공휴일!$A$2:$A$400,DATE($B$1,$B$2,CG$4))&gt;0),"휴일",""))</f>
        <v/>
      </c>
      <c r="CH6" s="10" t="n"/>
      <c r="CI6" s="11" t="n"/>
      <c r="CJ6" s="9">
        <f>IF(CJ$4="","",IF(OR(WEEKDAY(DATE($B$1,$B$2,CJ$4),2)&gt;5,COUNTIF(공휴일!$A$2:$A$400,DATE($B$1,$B$2,CJ$4))&gt;0),"휴일",""))</f>
        <v/>
      </c>
      <c r="CK6" s="10" t="n"/>
      <c r="CL6" s="11" t="n"/>
      <c r="CM6" s="9">
        <f>IF(CM$4="","",IF(OR(WEEKDAY(DATE($B$1,$B$2,CM$4),2)&gt;5,COUNTIF(공휴일!$A$2:$A$400,DATE($B$1,$B$2,CM$4))&gt;0),"휴일",""))</f>
        <v/>
      </c>
      <c r="CN6" s="10" t="n"/>
      <c r="CO6" s="11" t="n"/>
      <c r="CP6" s="9">
        <f>IF(CP$4="","",IF(OR(WEEKDAY(DATE($B$1,$B$2,CP$4),2)&gt;5,COUNTIF(공휴일!$A$2:$A$400,DATE($B$1,$B$2,CP$4))&gt;0),"휴일",""))</f>
        <v/>
      </c>
      <c r="CQ6" s="10" t="n"/>
      <c r="CR6" s="11" t="n"/>
    </row>
    <row r="7">
      <c r="A7" s="12" t="inlineStr">
        <is>
          <t>이름</t>
        </is>
      </c>
      <c r="B7" s="12" t="inlineStr">
        <is>
          <t>파트</t>
        </is>
      </c>
      <c r="C7" s="12" t="inlineStr">
        <is>
          <t>그룹</t>
        </is>
      </c>
      <c r="D7" s="14" t="inlineStr">
        <is>
          <t>유형</t>
        </is>
      </c>
      <c r="E7" s="14" t="inlineStr">
        <is>
          <t>출근</t>
        </is>
      </c>
      <c r="F7" s="14" t="inlineStr">
        <is>
          <t>퇴근</t>
        </is>
      </c>
      <c r="G7" s="14" t="inlineStr">
        <is>
          <t>유형</t>
        </is>
      </c>
      <c r="H7" s="14" t="inlineStr">
        <is>
          <t>출근</t>
        </is>
      </c>
      <c r="I7" s="14" t="inlineStr">
        <is>
          <t>퇴근</t>
        </is>
      </c>
      <c r="J7" s="14" t="inlineStr">
        <is>
          <t>유형</t>
        </is>
      </c>
      <c r="K7" s="14" t="inlineStr">
        <is>
          <t>출근</t>
        </is>
      </c>
      <c r="L7" s="14" t="inlineStr">
        <is>
          <t>퇴근</t>
        </is>
      </c>
      <c r="M7" s="14" t="inlineStr">
        <is>
          <t>유형</t>
        </is>
      </c>
      <c r="N7" s="14" t="inlineStr">
        <is>
          <t>출근</t>
        </is>
      </c>
      <c r="O7" s="14" t="inlineStr">
        <is>
          <t>퇴근</t>
        </is>
      </c>
      <c r="P7" s="14" t="inlineStr">
        <is>
          <t>유형</t>
        </is>
      </c>
      <c r="Q7" s="14" t="inlineStr">
        <is>
          <t>출근</t>
        </is>
      </c>
      <c r="R7" s="14" t="inlineStr">
        <is>
          <t>퇴근</t>
        </is>
      </c>
      <c r="S7" s="14" t="inlineStr">
        <is>
          <t>유형</t>
        </is>
      </c>
      <c r="T7" s="14" t="inlineStr">
        <is>
          <t>출근</t>
        </is>
      </c>
      <c r="U7" s="14" t="inlineStr">
        <is>
          <t>퇴근</t>
        </is>
      </c>
      <c r="V7" s="14" t="inlineStr">
        <is>
          <t>유형</t>
        </is>
      </c>
      <c r="W7" s="14" t="inlineStr">
        <is>
          <t>출근</t>
        </is>
      </c>
      <c r="X7" s="14" t="inlineStr">
        <is>
          <t>퇴근</t>
        </is>
      </c>
      <c r="Y7" s="14" t="inlineStr">
        <is>
          <t>유형</t>
        </is>
      </c>
      <c r="Z7" s="14" t="inlineStr">
        <is>
          <t>출근</t>
        </is>
      </c>
      <c r="AA7" s="14" t="inlineStr">
        <is>
          <t>퇴근</t>
        </is>
      </c>
      <c r="AB7" s="14" t="inlineStr">
        <is>
          <t>유형</t>
        </is>
      </c>
      <c r="AC7" s="14" t="inlineStr">
        <is>
          <t>출근</t>
        </is>
      </c>
      <c r="AD7" s="14" t="inlineStr">
        <is>
          <t>퇴근</t>
        </is>
      </c>
      <c r="AE7" s="14" t="inlineStr">
        <is>
          <t>유형</t>
        </is>
      </c>
      <c r="AF7" s="14" t="inlineStr">
        <is>
          <t>출근</t>
        </is>
      </c>
      <c r="AG7" s="14" t="inlineStr">
        <is>
          <t>퇴근</t>
        </is>
      </c>
      <c r="AH7" s="14" t="inlineStr">
        <is>
          <t>유형</t>
        </is>
      </c>
      <c r="AI7" s="14" t="inlineStr">
        <is>
          <t>출근</t>
        </is>
      </c>
      <c r="AJ7" s="14" t="inlineStr">
        <is>
          <t>퇴근</t>
        </is>
      </c>
      <c r="AK7" s="14" t="inlineStr">
        <is>
          <t>유형</t>
        </is>
      </c>
      <c r="AL7" s="14" t="inlineStr">
        <is>
          <t>출근</t>
        </is>
      </c>
      <c r="AM7" s="14" t="inlineStr">
        <is>
          <t>퇴근</t>
        </is>
      </c>
      <c r="AN7" s="14" t="inlineStr">
        <is>
          <t>유형</t>
        </is>
      </c>
      <c r="AO7" s="14" t="inlineStr">
        <is>
          <t>출근</t>
        </is>
      </c>
      <c r="AP7" s="14" t="inlineStr">
        <is>
          <t>퇴근</t>
        </is>
      </c>
      <c r="AQ7" s="14" t="inlineStr">
        <is>
          <t>유형</t>
        </is>
      </c>
      <c r="AR7" s="14" t="inlineStr">
        <is>
          <t>출근</t>
        </is>
      </c>
      <c r="AS7" s="14" t="inlineStr">
        <is>
          <t>퇴근</t>
        </is>
      </c>
      <c r="AT7" s="14" t="inlineStr">
        <is>
          <t>유형</t>
        </is>
      </c>
      <c r="AU7" s="14" t="inlineStr">
        <is>
          <t>출근</t>
        </is>
      </c>
      <c r="AV7" s="14" t="inlineStr">
        <is>
          <t>퇴근</t>
        </is>
      </c>
      <c r="AW7" s="14" t="inlineStr">
        <is>
          <t>유형</t>
        </is>
      </c>
      <c r="AX7" s="14" t="inlineStr">
        <is>
          <t>출근</t>
        </is>
      </c>
      <c r="AY7" s="14" t="inlineStr">
        <is>
          <t>퇴근</t>
        </is>
      </c>
      <c r="AZ7" s="14" t="inlineStr">
        <is>
          <t>유형</t>
        </is>
      </c>
      <c r="BA7" s="14" t="inlineStr">
        <is>
          <t>출근</t>
        </is>
      </c>
      <c r="BB7" s="14" t="inlineStr">
        <is>
          <t>퇴근</t>
        </is>
      </c>
      <c r="BC7" s="14" t="inlineStr">
        <is>
          <t>유형</t>
        </is>
      </c>
      <c r="BD7" s="14" t="inlineStr">
        <is>
          <t>출근</t>
        </is>
      </c>
      <c r="BE7" s="14" t="inlineStr">
        <is>
          <t>퇴근</t>
        </is>
      </c>
      <c r="BF7" s="14" t="inlineStr">
        <is>
          <t>유형</t>
        </is>
      </c>
      <c r="BG7" s="14" t="inlineStr">
        <is>
          <t>출근</t>
        </is>
      </c>
      <c r="BH7" s="14" t="inlineStr">
        <is>
          <t>퇴근</t>
        </is>
      </c>
      <c r="BI7" s="14" t="inlineStr">
        <is>
          <t>유형</t>
        </is>
      </c>
      <c r="BJ7" s="14" t="inlineStr">
        <is>
          <t>출근</t>
        </is>
      </c>
      <c r="BK7" s="14" t="inlineStr">
        <is>
          <t>퇴근</t>
        </is>
      </c>
      <c r="BL7" s="14" t="inlineStr">
        <is>
          <t>유형</t>
        </is>
      </c>
      <c r="BM7" s="14" t="inlineStr">
        <is>
          <t>출근</t>
        </is>
      </c>
      <c r="BN7" s="14" t="inlineStr">
        <is>
          <t>퇴근</t>
        </is>
      </c>
      <c r="BO7" s="14" t="inlineStr">
        <is>
          <t>유형</t>
        </is>
      </c>
      <c r="BP7" s="14" t="inlineStr">
        <is>
          <t>출근</t>
        </is>
      </c>
      <c r="BQ7" s="14" t="inlineStr">
        <is>
          <t>퇴근</t>
        </is>
      </c>
      <c r="BR7" s="14" t="inlineStr">
        <is>
          <t>유형</t>
        </is>
      </c>
      <c r="BS7" s="14" t="inlineStr">
        <is>
          <t>출근</t>
        </is>
      </c>
      <c r="BT7" s="14" t="inlineStr">
        <is>
          <t>퇴근</t>
        </is>
      </c>
      <c r="BU7" s="14" t="inlineStr">
        <is>
          <t>유형</t>
        </is>
      </c>
      <c r="BV7" s="14" t="inlineStr">
        <is>
          <t>출근</t>
        </is>
      </c>
      <c r="BW7" s="14" t="inlineStr">
        <is>
          <t>퇴근</t>
        </is>
      </c>
      <c r="BX7" s="14" t="inlineStr">
        <is>
          <t>유형</t>
        </is>
      </c>
      <c r="BY7" s="14" t="inlineStr">
        <is>
          <t>출근</t>
        </is>
      </c>
      <c r="BZ7" s="14" t="inlineStr">
        <is>
          <t>퇴근</t>
        </is>
      </c>
      <c r="CA7" s="14" t="inlineStr">
        <is>
          <t>유형</t>
        </is>
      </c>
      <c r="CB7" s="14" t="inlineStr">
        <is>
          <t>출근</t>
        </is>
      </c>
      <c r="CC7" s="14" t="inlineStr">
        <is>
          <t>퇴근</t>
        </is>
      </c>
      <c r="CD7" s="14" t="inlineStr">
        <is>
          <t>유형</t>
        </is>
      </c>
      <c r="CE7" s="14" t="inlineStr">
        <is>
          <t>출근</t>
        </is>
      </c>
      <c r="CF7" s="14" t="inlineStr">
        <is>
          <t>퇴근</t>
        </is>
      </c>
      <c r="CG7" s="14" t="inlineStr">
        <is>
          <t>유형</t>
        </is>
      </c>
      <c r="CH7" s="14" t="inlineStr">
        <is>
          <t>출근</t>
        </is>
      </c>
      <c r="CI7" s="14" t="inlineStr">
        <is>
          <t>퇴근</t>
        </is>
      </c>
      <c r="CJ7" s="14" t="inlineStr">
        <is>
          <t>유형</t>
        </is>
      </c>
      <c r="CK7" s="14" t="inlineStr">
        <is>
          <t>출근</t>
        </is>
      </c>
      <c r="CL7" s="14" t="inlineStr">
        <is>
          <t>퇴근</t>
        </is>
      </c>
      <c r="CM7" s="14" t="inlineStr">
        <is>
          <t>유형</t>
        </is>
      </c>
      <c r="CN7" s="14" t="inlineStr">
        <is>
          <t>출근</t>
        </is>
      </c>
      <c r="CO7" s="14" t="inlineStr">
        <is>
          <t>퇴근</t>
        </is>
      </c>
      <c r="CP7" s="14" t="inlineStr">
        <is>
          <t>유형</t>
        </is>
      </c>
      <c r="CQ7" s="14" t="inlineStr">
        <is>
          <t>출근</t>
        </is>
      </c>
      <c r="CR7" s="14" t="inlineStr">
        <is>
          <t>퇴근</t>
        </is>
      </c>
    </row>
    <row r="8">
      <c r="A8" s="15">
        <f>IF(명부!A2="","",명부!A2)</f>
        <v/>
      </c>
      <c r="B8" s="16">
        <f>IF(명부!C2="","",명부!C2)</f>
        <v/>
      </c>
      <c r="C8" s="17">
        <f>IF(명부!E2="","",명부!E2)</f>
        <v/>
      </c>
      <c r="D8" s="18" t="n"/>
      <c r="E8" s="19" t="n"/>
      <c r="F8" s="19" t="n"/>
      <c r="G8" s="18" t="n"/>
      <c r="H8" s="19" t="n"/>
      <c r="I8" s="19" t="n"/>
      <c r="J8" s="18" t="n"/>
      <c r="K8" s="19" t="n"/>
      <c r="L8" s="19" t="n"/>
      <c r="M8" s="18" t="n"/>
      <c r="N8" s="19" t="n"/>
      <c r="O8" s="19" t="n"/>
      <c r="P8" s="18" t="n"/>
      <c r="Q8" s="19" t="n"/>
      <c r="R8" s="19" t="n"/>
      <c r="S8" s="18" t="n"/>
      <c r="T8" s="19" t="n"/>
      <c r="U8" s="19" t="n"/>
      <c r="V8" s="18" t="n"/>
      <c r="W8" s="19" t="n"/>
      <c r="X8" s="19" t="n"/>
      <c r="Y8" s="18" t="n"/>
      <c r="Z8" s="19" t="n"/>
      <c r="AA8" s="19" t="n"/>
      <c r="AB8" s="18" t="n"/>
      <c r="AC8" s="19" t="n"/>
      <c r="AD8" s="19" t="n"/>
      <c r="AE8" s="18" t="n"/>
      <c r="AF8" s="19" t="n"/>
      <c r="AG8" s="19" t="n"/>
      <c r="AH8" s="18" t="n"/>
      <c r="AI8" s="19" t="n"/>
      <c r="AJ8" s="19" t="n"/>
      <c r="AK8" s="18" t="n"/>
      <c r="AL8" s="19" t="n"/>
      <c r="AM8" s="19" t="n"/>
      <c r="AN8" s="18" t="n"/>
      <c r="AO8" s="19" t="n"/>
      <c r="AP8" s="19" t="n"/>
      <c r="AQ8" s="18" t="n"/>
      <c r="AR8" s="19" t="n"/>
      <c r="AS8" s="19" t="n"/>
      <c r="AT8" s="18" t="n"/>
      <c r="AU8" s="19" t="n"/>
      <c r="AV8" s="19" t="n"/>
      <c r="AW8" s="18" t="n"/>
      <c r="AX8" s="19" t="n"/>
      <c r="AY8" s="19" t="n"/>
      <c r="AZ8" s="18" t="n"/>
      <c r="BA8" s="19" t="n"/>
      <c r="BB8" s="19" t="n"/>
      <c r="BC8" s="18" t="n"/>
      <c r="BD8" s="19" t="n"/>
      <c r="BE8" s="19" t="n"/>
      <c r="BF8" s="18" t="n"/>
      <c r="BG8" s="19" t="n"/>
      <c r="BH8" s="19" t="n"/>
      <c r="BI8" s="18" t="n"/>
      <c r="BJ8" s="19" t="n"/>
      <c r="BK8" s="19" t="n"/>
      <c r="BL8" s="18" t="n"/>
      <c r="BM8" s="19" t="n"/>
      <c r="BN8" s="19" t="n"/>
      <c r="BO8" s="18" t="n"/>
      <c r="BP8" s="19" t="n"/>
      <c r="BQ8" s="19" t="n"/>
      <c r="BR8" s="18" t="n"/>
      <c r="BS8" s="19" t="n"/>
      <c r="BT8" s="19" t="n"/>
      <c r="BU8" s="18" t="n"/>
      <c r="BV8" s="19" t="n"/>
      <c r="BW8" s="19" t="n"/>
      <c r="BX8" s="18" t="n"/>
      <c r="BY8" s="19" t="n"/>
      <c r="BZ8" s="19" t="n"/>
      <c r="CA8" s="18" t="n"/>
      <c r="CB8" s="19" t="n"/>
      <c r="CC8" s="19" t="n"/>
      <c r="CD8" s="18" t="n"/>
      <c r="CE8" s="19" t="n"/>
      <c r="CF8" s="19" t="n"/>
      <c r="CG8" s="18" t="n"/>
      <c r="CH8" s="19" t="n"/>
      <c r="CI8" s="19" t="n"/>
      <c r="CJ8" s="18" t="n"/>
      <c r="CK8" s="19" t="n"/>
      <c r="CL8" s="19" t="n"/>
      <c r="CM8" s="18" t="n"/>
      <c r="CN8" s="19" t="n"/>
      <c r="CO8" s="19" t="n"/>
      <c r="CP8" s="18" t="n"/>
      <c r="CQ8" s="19" t="n"/>
      <c r="CR8" s="19" t="n"/>
    </row>
    <row r="9">
      <c r="A9" s="15">
        <f>IF(명부!A3="","",명부!A3)</f>
        <v/>
      </c>
      <c r="B9" s="16">
        <f>IF(명부!C3="","",명부!C3)</f>
        <v/>
      </c>
      <c r="C9" s="17">
        <f>IF(명부!E3="","",명부!E3)</f>
        <v/>
      </c>
      <c r="D9" s="18" t="n"/>
      <c r="E9" s="19" t="n"/>
      <c r="F9" s="19" t="n"/>
      <c r="G9" s="18" t="n"/>
      <c r="H9" s="19" t="n"/>
      <c r="I9" s="19" t="n"/>
      <c r="J9" s="18" t="n"/>
      <c r="K9" s="19" t="n"/>
      <c r="L9" s="19" t="n"/>
      <c r="M9" s="18" t="n"/>
      <c r="N9" s="19" t="n"/>
      <c r="O9" s="19" t="n"/>
      <c r="P9" s="18" t="n"/>
      <c r="Q9" s="19" t="n"/>
      <c r="R9" s="19" t="n"/>
      <c r="S9" s="18" t="n"/>
      <c r="T9" s="19" t="n"/>
      <c r="U9" s="19" t="n"/>
      <c r="V9" s="18" t="n"/>
      <c r="W9" s="19" t="n"/>
      <c r="X9" s="19" t="n"/>
      <c r="Y9" s="18" t="n"/>
      <c r="Z9" s="19" t="n"/>
      <c r="AA9" s="19" t="n"/>
      <c r="AB9" s="18" t="n"/>
      <c r="AC9" s="19" t="n"/>
      <c r="AD9" s="19" t="n"/>
      <c r="AE9" s="18" t="n"/>
      <c r="AF9" s="19" t="n"/>
      <c r="AG9" s="19" t="n"/>
      <c r="AH9" s="18" t="n"/>
      <c r="AI9" s="19" t="n"/>
      <c r="AJ9" s="19" t="n"/>
      <c r="AK9" s="18" t="n"/>
      <c r="AL9" s="19" t="n"/>
      <c r="AM9" s="19" t="n"/>
      <c r="AN9" s="18" t="n"/>
      <c r="AO9" s="19" t="n"/>
      <c r="AP9" s="19" t="n"/>
      <c r="AQ9" s="18" t="n"/>
      <c r="AR9" s="19" t="n"/>
      <c r="AS9" s="19" t="n"/>
      <c r="AT9" s="18" t="n"/>
      <c r="AU9" s="19" t="n"/>
      <c r="AV9" s="19" t="n"/>
      <c r="AW9" s="18" t="n"/>
      <c r="AX9" s="19" t="n"/>
      <c r="AY9" s="19" t="n"/>
      <c r="AZ9" s="18" t="n"/>
      <c r="BA9" s="19" t="n"/>
      <c r="BB9" s="19" t="n"/>
      <c r="BC9" s="18" t="n"/>
      <c r="BD9" s="19" t="n"/>
      <c r="BE9" s="19" t="n"/>
      <c r="BF9" s="18" t="n"/>
      <c r="BG9" s="19" t="n"/>
      <c r="BH9" s="19" t="n"/>
      <c r="BI9" s="18" t="n"/>
      <c r="BJ9" s="19" t="n"/>
      <c r="BK9" s="19" t="n"/>
      <c r="BL9" s="18" t="n"/>
      <c r="BM9" s="19" t="n"/>
      <c r="BN9" s="19" t="n"/>
      <c r="BO9" s="18" t="n"/>
      <c r="BP9" s="19" t="n"/>
      <c r="BQ9" s="19" t="n"/>
      <c r="BR9" s="18" t="n"/>
      <c r="BS9" s="19" t="n"/>
      <c r="BT9" s="19" t="n"/>
      <c r="BU9" s="18" t="n"/>
      <c r="BV9" s="19" t="n"/>
      <c r="BW9" s="19" t="n"/>
      <c r="BX9" s="18" t="n"/>
      <c r="BY9" s="19" t="n"/>
      <c r="BZ9" s="19" t="n"/>
      <c r="CA9" s="18" t="n"/>
      <c r="CB9" s="19" t="n"/>
      <c r="CC9" s="19" t="n"/>
      <c r="CD9" s="18" t="n"/>
      <c r="CE9" s="19" t="n"/>
      <c r="CF9" s="19" t="n"/>
      <c r="CG9" s="18" t="n"/>
      <c r="CH9" s="19" t="n"/>
      <c r="CI9" s="19" t="n"/>
      <c r="CJ9" s="18" t="n"/>
      <c r="CK9" s="19" t="n"/>
      <c r="CL9" s="19" t="n"/>
      <c r="CM9" s="18" t="n"/>
      <c r="CN9" s="19" t="n"/>
      <c r="CO9" s="19" t="n"/>
      <c r="CP9" s="18" t="n"/>
      <c r="CQ9" s="19" t="n"/>
      <c r="CR9" s="19" t="n"/>
    </row>
    <row r="10">
      <c r="A10" s="15">
        <f>IF(명부!A4="","",명부!A4)</f>
        <v/>
      </c>
      <c r="B10" s="16">
        <f>IF(명부!C4="","",명부!C4)</f>
        <v/>
      </c>
      <c r="C10" s="17">
        <f>IF(명부!E4="","",명부!E4)</f>
        <v/>
      </c>
      <c r="D10" s="18" t="n"/>
      <c r="E10" s="19" t="n"/>
      <c r="F10" s="19" t="n"/>
      <c r="G10" s="18" t="n"/>
      <c r="H10" s="19" t="n"/>
      <c r="I10" s="19" t="n"/>
      <c r="J10" s="18" t="n"/>
      <c r="K10" s="19" t="n"/>
      <c r="L10" s="19" t="n"/>
      <c r="M10" s="18" t="n"/>
      <c r="N10" s="19" t="n"/>
      <c r="O10" s="19" t="n"/>
      <c r="P10" s="18" t="n"/>
      <c r="Q10" s="19" t="n"/>
      <c r="R10" s="19" t="n"/>
      <c r="S10" s="18" t="n"/>
      <c r="T10" s="19" t="n"/>
      <c r="U10" s="19" t="n"/>
      <c r="V10" s="18" t="n"/>
      <c r="W10" s="19" t="n"/>
      <c r="X10" s="19" t="n"/>
      <c r="Y10" s="18" t="n"/>
      <c r="Z10" s="19" t="n"/>
      <c r="AA10" s="19" t="n"/>
      <c r="AB10" s="18" t="n"/>
      <c r="AC10" s="19" t="n"/>
      <c r="AD10" s="19" t="n"/>
      <c r="AE10" s="18" t="n"/>
      <c r="AF10" s="19" t="n"/>
      <c r="AG10" s="19" t="n"/>
      <c r="AH10" s="18" t="n"/>
      <c r="AI10" s="19" t="n"/>
      <c r="AJ10" s="19" t="n"/>
      <c r="AK10" s="18" t="n"/>
      <c r="AL10" s="19" t="n"/>
      <c r="AM10" s="19" t="n"/>
      <c r="AN10" s="18" t="n"/>
      <c r="AO10" s="19" t="n"/>
      <c r="AP10" s="19" t="n"/>
      <c r="AQ10" s="18" t="n"/>
      <c r="AR10" s="19" t="n"/>
      <c r="AS10" s="19" t="n"/>
      <c r="AT10" s="18" t="n"/>
      <c r="AU10" s="19" t="n"/>
      <c r="AV10" s="19" t="n"/>
      <c r="AW10" s="18" t="n"/>
      <c r="AX10" s="19" t="n"/>
      <c r="AY10" s="19" t="n"/>
      <c r="AZ10" s="18" t="n"/>
      <c r="BA10" s="19" t="n"/>
      <c r="BB10" s="19" t="n"/>
      <c r="BC10" s="18" t="n"/>
      <c r="BD10" s="19" t="n"/>
      <c r="BE10" s="19" t="n"/>
      <c r="BF10" s="18" t="n"/>
      <c r="BG10" s="19" t="n"/>
      <c r="BH10" s="19" t="n"/>
      <c r="BI10" s="18" t="n"/>
      <c r="BJ10" s="19" t="n"/>
      <c r="BK10" s="19" t="n"/>
      <c r="BL10" s="18" t="n"/>
      <c r="BM10" s="19" t="n"/>
      <c r="BN10" s="19" t="n"/>
      <c r="BO10" s="18" t="n"/>
      <c r="BP10" s="19" t="n"/>
      <c r="BQ10" s="19" t="n"/>
      <c r="BR10" s="18" t="n"/>
      <c r="BS10" s="19" t="n"/>
      <c r="BT10" s="19" t="n"/>
      <c r="BU10" s="18" t="n"/>
      <c r="BV10" s="19" t="n"/>
      <c r="BW10" s="19" t="n"/>
      <c r="BX10" s="18" t="n"/>
      <c r="BY10" s="19" t="n"/>
      <c r="BZ10" s="19" t="n"/>
      <c r="CA10" s="18" t="n"/>
      <c r="CB10" s="19" t="n"/>
      <c r="CC10" s="19" t="n"/>
      <c r="CD10" s="18" t="n"/>
      <c r="CE10" s="19" t="n"/>
      <c r="CF10" s="19" t="n"/>
      <c r="CG10" s="18" t="n"/>
      <c r="CH10" s="19" t="n"/>
      <c r="CI10" s="19" t="n"/>
      <c r="CJ10" s="18" t="n"/>
      <c r="CK10" s="19" t="n"/>
      <c r="CL10" s="19" t="n"/>
      <c r="CM10" s="18" t="n"/>
      <c r="CN10" s="19" t="n"/>
      <c r="CO10" s="19" t="n"/>
      <c r="CP10" s="18" t="n"/>
      <c r="CQ10" s="19" t="n"/>
      <c r="CR10" s="19" t="n"/>
    </row>
    <row r="11">
      <c r="A11" s="15">
        <f>IF(명부!A5="","",명부!A5)</f>
        <v/>
      </c>
      <c r="B11" s="16">
        <f>IF(명부!C5="","",명부!C5)</f>
        <v/>
      </c>
      <c r="C11" s="17">
        <f>IF(명부!E5="","",명부!E5)</f>
        <v/>
      </c>
      <c r="D11" s="18" t="n"/>
      <c r="E11" s="19" t="n"/>
      <c r="F11" s="19" t="n"/>
      <c r="G11" s="18" t="n"/>
      <c r="H11" s="19" t="n"/>
      <c r="I11" s="19" t="n"/>
      <c r="J11" s="18" t="n"/>
      <c r="K11" s="19" t="n"/>
      <c r="L11" s="19" t="n"/>
      <c r="M11" s="18" t="n"/>
      <c r="N11" s="19" t="n"/>
      <c r="O11" s="19" t="n"/>
      <c r="P11" s="18" t="n"/>
      <c r="Q11" s="19" t="n"/>
      <c r="R11" s="19" t="n"/>
      <c r="S11" s="18" t="n"/>
      <c r="T11" s="19" t="n"/>
      <c r="U11" s="19" t="n"/>
      <c r="V11" s="18" t="n"/>
      <c r="W11" s="19" t="n"/>
      <c r="X11" s="19" t="n"/>
      <c r="Y11" s="18" t="n"/>
      <c r="Z11" s="19" t="n"/>
      <c r="AA11" s="19" t="n"/>
      <c r="AB11" s="18" t="n"/>
      <c r="AC11" s="19" t="n"/>
      <c r="AD11" s="19" t="n"/>
      <c r="AE11" s="18" t="n"/>
      <c r="AF11" s="19" t="n"/>
      <c r="AG11" s="19" t="n"/>
      <c r="AH11" s="18" t="n"/>
      <c r="AI11" s="19" t="n"/>
      <c r="AJ11" s="19" t="n"/>
      <c r="AK11" s="18" t="n"/>
      <c r="AL11" s="19" t="n"/>
      <c r="AM11" s="19" t="n"/>
      <c r="AN11" s="18" t="n"/>
      <c r="AO11" s="19" t="n"/>
      <c r="AP11" s="19" t="n"/>
      <c r="AQ11" s="18" t="n"/>
      <c r="AR11" s="19" t="n"/>
      <c r="AS11" s="19" t="n"/>
      <c r="AT11" s="18" t="n"/>
      <c r="AU11" s="19" t="n"/>
      <c r="AV11" s="19" t="n"/>
      <c r="AW11" s="18" t="n"/>
      <c r="AX11" s="19" t="n"/>
      <c r="AY11" s="19" t="n"/>
      <c r="AZ11" s="18" t="n"/>
      <c r="BA11" s="19" t="n"/>
      <c r="BB11" s="19" t="n"/>
      <c r="BC11" s="18" t="n"/>
      <c r="BD11" s="19" t="n"/>
      <c r="BE11" s="19" t="n"/>
      <c r="BF11" s="18" t="n"/>
      <c r="BG11" s="19" t="n"/>
      <c r="BH11" s="19" t="n"/>
      <c r="BI11" s="18" t="n"/>
      <c r="BJ11" s="19" t="n"/>
      <c r="BK11" s="19" t="n"/>
      <c r="BL11" s="18" t="n"/>
      <c r="BM11" s="19" t="n"/>
      <c r="BN11" s="19" t="n"/>
      <c r="BO11" s="18" t="n"/>
      <c r="BP11" s="19" t="n"/>
      <c r="BQ11" s="19" t="n"/>
      <c r="BR11" s="18" t="n"/>
      <c r="BS11" s="19" t="n"/>
      <c r="BT11" s="19" t="n"/>
      <c r="BU11" s="18" t="n"/>
      <c r="BV11" s="19" t="n"/>
      <c r="BW11" s="19" t="n"/>
      <c r="BX11" s="18" t="n"/>
      <c r="BY11" s="19" t="n"/>
      <c r="BZ11" s="19" t="n"/>
      <c r="CA11" s="18" t="n"/>
      <c r="CB11" s="19" t="n"/>
      <c r="CC11" s="19" t="n"/>
      <c r="CD11" s="18" t="n"/>
      <c r="CE11" s="19" t="n"/>
      <c r="CF11" s="19" t="n"/>
      <c r="CG11" s="18" t="n"/>
      <c r="CH11" s="19" t="n"/>
      <c r="CI11" s="19" t="n"/>
      <c r="CJ11" s="18" t="n"/>
      <c r="CK11" s="19" t="n"/>
      <c r="CL11" s="19" t="n"/>
      <c r="CM11" s="18" t="n"/>
      <c r="CN11" s="19" t="n"/>
      <c r="CO11" s="19" t="n"/>
      <c r="CP11" s="18" t="n"/>
      <c r="CQ11" s="19" t="n"/>
      <c r="CR11" s="19" t="n"/>
    </row>
    <row r="12">
      <c r="A12" s="15">
        <f>IF(명부!A6="","",명부!A6)</f>
        <v/>
      </c>
      <c r="B12" s="16">
        <f>IF(명부!C6="","",명부!C6)</f>
        <v/>
      </c>
      <c r="C12" s="17">
        <f>IF(명부!E6="","",명부!E6)</f>
        <v/>
      </c>
      <c r="D12" s="18" t="n"/>
      <c r="E12" s="19" t="n"/>
      <c r="F12" s="19" t="n"/>
      <c r="G12" s="18" t="n"/>
      <c r="H12" s="19" t="n"/>
      <c r="I12" s="19" t="n"/>
      <c r="J12" s="18" t="n"/>
      <c r="K12" s="19" t="n"/>
      <c r="L12" s="19" t="n"/>
      <c r="M12" s="18" t="n"/>
      <c r="N12" s="19" t="n"/>
      <c r="O12" s="19" t="n"/>
      <c r="P12" s="18" t="n"/>
      <c r="Q12" s="19" t="n"/>
      <c r="R12" s="19" t="n"/>
      <c r="S12" s="18" t="n"/>
      <c r="T12" s="19" t="n"/>
      <c r="U12" s="19" t="n"/>
      <c r="V12" s="18" t="n"/>
      <c r="W12" s="19" t="n"/>
      <c r="X12" s="19" t="n"/>
      <c r="Y12" s="18" t="n"/>
      <c r="Z12" s="19" t="n"/>
      <c r="AA12" s="19" t="n"/>
      <c r="AB12" s="18" t="n"/>
      <c r="AC12" s="19" t="n"/>
      <c r="AD12" s="19" t="n"/>
      <c r="AE12" s="18" t="n"/>
      <c r="AF12" s="19" t="n"/>
      <c r="AG12" s="19" t="n"/>
      <c r="AH12" s="18" t="n"/>
      <c r="AI12" s="19" t="n"/>
      <c r="AJ12" s="19" t="n"/>
      <c r="AK12" s="18" t="n"/>
      <c r="AL12" s="19" t="n"/>
      <c r="AM12" s="19" t="n"/>
      <c r="AN12" s="18" t="n"/>
      <c r="AO12" s="19" t="n"/>
      <c r="AP12" s="19" t="n"/>
      <c r="AQ12" s="18" t="n"/>
      <c r="AR12" s="19" t="n"/>
      <c r="AS12" s="19" t="n"/>
      <c r="AT12" s="18" t="n"/>
      <c r="AU12" s="19" t="n"/>
      <c r="AV12" s="19" t="n"/>
      <c r="AW12" s="18" t="n"/>
      <c r="AX12" s="19" t="n"/>
      <c r="AY12" s="19" t="n"/>
      <c r="AZ12" s="18" t="n"/>
      <c r="BA12" s="19" t="n"/>
      <c r="BB12" s="19" t="n"/>
      <c r="BC12" s="18" t="n"/>
      <c r="BD12" s="19" t="n"/>
      <c r="BE12" s="19" t="n"/>
      <c r="BF12" s="18" t="n"/>
      <c r="BG12" s="19" t="n"/>
      <c r="BH12" s="19" t="n"/>
      <c r="BI12" s="18" t="n"/>
      <c r="BJ12" s="19" t="n"/>
      <c r="BK12" s="19" t="n"/>
      <c r="BL12" s="18" t="n"/>
      <c r="BM12" s="19" t="n"/>
      <c r="BN12" s="19" t="n"/>
      <c r="BO12" s="18" t="n"/>
      <c r="BP12" s="19" t="n"/>
      <c r="BQ12" s="19" t="n"/>
      <c r="BR12" s="18" t="n"/>
      <c r="BS12" s="19" t="n"/>
      <c r="BT12" s="19" t="n"/>
      <c r="BU12" s="18" t="n"/>
      <c r="BV12" s="19" t="n"/>
      <c r="BW12" s="19" t="n"/>
      <c r="BX12" s="18" t="n"/>
      <c r="BY12" s="19" t="n"/>
      <c r="BZ12" s="19" t="n"/>
      <c r="CA12" s="18" t="n"/>
      <c r="CB12" s="19" t="n"/>
      <c r="CC12" s="19" t="n"/>
      <c r="CD12" s="18" t="n"/>
      <c r="CE12" s="19" t="n"/>
      <c r="CF12" s="19" t="n"/>
      <c r="CG12" s="18" t="n"/>
      <c r="CH12" s="19" t="n"/>
      <c r="CI12" s="19" t="n"/>
      <c r="CJ12" s="18" t="n"/>
      <c r="CK12" s="19" t="n"/>
      <c r="CL12" s="19" t="n"/>
      <c r="CM12" s="18" t="n"/>
      <c r="CN12" s="19" t="n"/>
      <c r="CO12" s="19" t="n"/>
      <c r="CP12" s="18" t="n"/>
      <c r="CQ12" s="19" t="n"/>
      <c r="CR12" s="19" t="n"/>
    </row>
    <row r="13">
      <c r="A13" s="15">
        <f>IF(명부!A7="","",명부!A7)</f>
        <v/>
      </c>
      <c r="B13" s="16">
        <f>IF(명부!C7="","",명부!C7)</f>
        <v/>
      </c>
      <c r="C13" s="17">
        <f>IF(명부!E7="","",명부!E7)</f>
        <v/>
      </c>
      <c r="D13" s="18" t="n"/>
      <c r="E13" s="19" t="n"/>
      <c r="F13" s="19" t="n"/>
      <c r="G13" s="18" t="n"/>
      <c r="H13" s="19" t="n"/>
      <c r="I13" s="19" t="n"/>
      <c r="J13" s="18" t="n"/>
      <c r="K13" s="19" t="n"/>
      <c r="L13" s="19" t="n"/>
      <c r="M13" s="18" t="n"/>
      <c r="N13" s="19" t="n"/>
      <c r="O13" s="19" t="n"/>
      <c r="P13" s="18" t="n"/>
      <c r="Q13" s="19" t="n"/>
      <c r="R13" s="19" t="n"/>
      <c r="S13" s="18" t="n"/>
      <c r="T13" s="19" t="n"/>
      <c r="U13" s="19" t="n"/>
      <c r="V13" s="18" t="n"/>
      <c r="W13" s="19" t="n"/>
      <c r="X13" s="19" t="n"/>
      <c r="Y13" s="18" t="n"/>
      <c r="Z13" s="19" t="n"/>
      <c r="AA13" s="19" t="n"/>
      <c r="AB13" s="18" t="n"/>
      <c r="AC13" s="19" t="n"/>
      <c r="AD13" s="19" t="n"/>
      <c r="AE13" s="18" t="n"/>
      <c r="AF13" s="19" t="n"/>
      <c r="AG13" s="19" t="n"/>
      <c r="AH13" s="18" t="n"/>
      <c r="AI13" s="19" t="n"/>
      <c r="AJ13" s="19" t="n"/>
      <c r="AK13" s="18" t="n"/>
      <c r="AL13" s="19" t="n"/>
      <c r="AM13" s="19" t="n"/>
      <c r="AN13" s="18" t="n"/>
      <c r="AO13" s="19" t="n"/>
      <c r="AP13" s="19" t="n"/>
      <c r="AQ13" s="18" t="n"/>
      <c r="AR13" s="19" t="n"/>
      <c r="AS13" s="19" t="n"/>
      <c r="AT13" s="18" t="n"/>
      <c r="AU13" s="19" t="n"/>
      <c r="AV13" s="19" t="n"/>
      <c r="AW13" s="18" t="n"/>
      <c r="AX13" s="19" t="n"/>
      <c r="AY13" s="19" t="n"/>
      <c r="AZ13" s="18" t="n"/>
      <c r="BA13" s="19" t="n"/>
      <c r="BB13" s="19" t="n"/>
      <c r="BC13" s="18" t="n"/>
      <c r="BD13" s="19" t="n"/>
      <c r="BE13" s="19" t="n"/>
      <c r="BF13" s="18" t="n"/>
      <c r="BG13" s="19" t="n"/>
      <c r="BH13" s="19" t="n"/>
      <c r="BI13" s="18" t="n"/>
      <c r="BJ13" s="19" t="n"/>
      <c r="BK13" s="19" t="n"/>
      <c r="BL13" s="18" t="n"/>
      <c r="BM13" s="19" t="n"/>
      <c r="BN13" s="19" t="n"/>
      <c r="BO13" s="18" t="n"/>
      <c r="BP13" s="19" t="n"/>
      <c r="BQ13" s="19" t="n"/>
      <c r="BR13" s="18" t="n"/>
      <c r="BS13" s="19" t="n"/>
      <c r="BT13" s="19" t="n"/>
      <c r="BU13" s="18" t="n"/>
      <c r="BV13" s="19" t="n"/>
      <c r="BW13" s="19" t="n"/>
      <c r="BX13" s="18" t="n"/>
      <c r="BY13" s="19" t="n"/>
      <c r="BZ13" s="19" t="n"/>
      <c r="CA13" s="18" t="n"/>
      <c r="CB13" s="19" t="n"/>
      <c r="CC13" s="19" t="n"/>
      <c r="CD13" s="18" t="n"/>
      <c r="CE13" s="19" t="n"/>
      <c r="CF13" s="19" t="n"/>
      <c r="CG13" s="18" t="n"/>
      <c r="CH13" s="19" t="n"/>
      <c r="CI13" s="19" t="n"/>
      <c r="CJ13" s="18" t="n"/>
      <c r="CK13" s="19" t="n"/>
      <c r="CL13" s="19" t="n"/>
      <c r="CM13" s="18" t="n"/>
      <c r="CN13" s="19" t="n"/>
      <c r="CO13" s="19" t="n"/>
      <c r="CP13" s="18" t="n"/>
      <c r="CQ13" s="19" t="n"/>
      <c r="CR13" s="19" t="n"/>
    </row>
    <row r="14">
      <c r="A14" s="15">
        <f>IF(명부!A8="","",명부!A8)</f>
        <v/>
      </c>
      <c r="B14" s="16">
        <f>IF(명부!C8="","",명부!C8)</f>
        <v/>
      </c>
      <c r="C14" s="17">
        <f>IF(명부!E8="","",명부!E8)</f>
        <v/>
      </c>
      <c r="D14" s="18" t="n"/>
      <c r="E14" s="19" t="n"/>
      <c r="F14" s="19" t="n"/>
      <c r="G14" s="18" t="n"/>
      <c r="H14" s="19" t="n"/>
      <c r="I14" s="19" t="n"/>
      <c r="J14" s="18" t="n"/>
      <c r="K14" s="19" t="n"/>
      <c r="L14" s="19" t="n"/>
      <c r="M14" s="18" t="n"/>
      <c r="N14" s="19" t="n"/>
      <c r="O14" s="19" t="n"/>
      <c r="P14" s="18" t="n"/>
      <c r="Q14" s="19" t="n"/>
      <c r="R14" s="19" t="n"/>
      <c r="S14" s="18" t="n"/>
      <c r="T14" s="19" t="n"/>
      <c r="U14" s="19" t="n"/>
      <c r="V14" s="18" t="n"/>
      <c r="W14" s="19" t="n"/>
      <c r="X14" s="19" t="n"/>
      <c r="Y14" s="18" t="n"/>
      <c r="Z14" s="19" t="n"/>
      <c r="AA14" s="19" t="n"/>
      <c r="AB14" s="18" t="n"/>
      <c r="AC14" s="19" t="n"/>
      <c r="AD14" s="19" t="n"/>
      <c r="AE14" s="18" t="n"/>
      <c r="AF14" s="19" t="n"/>
      <c r="AG14" s="19" t="n"/>
      <c r="AH14" s="18" t="n"/>
      <c r="AI14" s="19" t="n"/>
      <c r="AJ14" s="19" t="n"/>
      <c r="AK14" s="18" t="n"/>
      <c r="AL14" s="19" t="n"/>
      <c r="AM14" s="19" t="n"/>
      <c r="AN14" s="18" t="n"/>
      <c r="AO14" s="19" t="n"/>
      <c r="AP14" s="19" t="n"/>
      <c r="AQ14" s="18" t="n"/>
      <c r="AR14" s="19" t="n"/>
      <c r="AS14" s="19" t="n"/>
      <c r="AT14" s="18" t="n"/>
      <c r="AU14" s="19" t="n"/>
      <c r="AV14" s="19" t="n"/>
      <c r="AW14" s="18" t="n"/>
      <c r="AX14" s="19" t="n"/>
      <c r="AY14" s="19" t="n"/>
      <c r="AZ14" s="18" t="n"/>
      <c r="BA14" s="19" t="n"/>
      <c r="BB14" s="19" t="n"/>
      <c r="BC14" s="18" t="n"/>
      <c r="BD14" s="19" t="n"/>
      <c r="BE14" s="19" t="n"/>
      <c r="BF14" s="18" t="n"/>
      <c r="BG14" s="19" t="n"/>
      <c r="BH14" s="19" t="n"/>
      <c r="BI14" s="18" t="n"/>
      <c r="BJ14" s="19" t="n"/>
      <c r="BK14" s="19" t="n"/>
      <c r="BL14" s="18" t="n"/>
      <c r="BM14" s="19" t="n"/>
      <c r="BN14" s="19" t="n"/>
      <c r="BO14" s="18" t="n"/>
      <c r="BP14" s="19" t="n"/>
      <c r="BQ14" s="19" t="n"/>
      <c r="BR14" s="18" t="n"/>
      <c r="BS14" s="19" t="n"/>
      <c r="BT14" s="19" t="n"/>
      <c r="BU14" s="18" t="n"/>
      <c r="BV14" s="19" t="n"/>
      <c r="BW14" s="19" t="n"/>
      <c r="BX14" s="18" t="n"/>
      <c r="BY14" s="19" t="n"/>
      <c r="BZ14" s="19" t="n"/>
      <c r="CA14" s="18" t="n"/>
      <c r="CB14" s="19" t="n"/>
      <c r="CC14" s="19" t="n"/>
      <c r="CD14" s="18" t="n"/>
      <c r="CE14" s="19" t="n"/>
      <c r="CF14" s="19" t="n"/>
      <c r="CG14" s="18" t="n"/>
      <c r="CH14" s="19" t="n"/>
      <c r="CI14" s="19" t="n"/>
      <c r="CJ14" s="18" t="n"/>
      <c r="CK14" s="19" t="n"/>
      <c r="CL14" s="19" t="n"/>
      <c r="CM14" s="18" t="n"/>
      <c r="CN14" s="19" t="n"/>
      <c r="CO14" s="19" t="n"/>
      <c r="CP14" s="18" t="n"/>
      <c r="CQ14" s="19" t="n"/>
      <c r="CR14" s="19" t="n"/>
    </row>
    <row r="15">
      <c r="A15" s="15">
        <f>IF(명부!A9="","",명부!A9)</f>
        <v/>
      </c>
      <c r="B15" s="16">
        <f>IF(명부!C9="","",명부!C9)</f>
        <v/>
      </c>
      <c r="C15" s="17">
        <f>IF(명부!E9="","",명부!E9)</f>
        <v/>
      </c>
      <c r="D15" s="18" t="n"/>
      <c r="E15" s="19" t="n"/>
      <c r="F15" s="19" t="n"/>
      <c r="G15" s="18" t="n"/>
      <c r="H15" s="19" t="n"/>
      <c r="I15" s="19" t="n"/>
      <c r="J15" s="18" t="n"/>
      <c r="K15" s="19" t="n"/>
      <c r="L15" s="19" t="n"/>
      <c r="M15" s="18" t="n"/>
      <c r="N15" s="19" t="n"/>
      <c r="O15" s="19" t="n"/>
      <c r="P15" s="18" t="n"/>
      <c r="Q15" s="19" t="n"/>
      <c r="R15" s="19" t="n"/>
      <c r="S15" s="18" t="n"/>
      <c r="T15" s="19" t="n"/>
      <c r="U15" s="19" t="n"/>
      <c r="V15" s="18" t="n"/>
      <c r="W15" s="19" t="n"/>
      <c r="X15" s="19" t="n"/>
      <c r="Y15" s="18" t="n"/>
      <c r="Z15" s="19" t="n"/>
      <c r="AA15" s="19" t="n"/>
      <c r="AB15" s="18" t="n"/>
      <c r="AC15" s="19" t="n"/>
      <c r="AD15" s="19" t="n"/>
      <c r="AE15" s="18" t="n"/>
      <c r="AF15" s="19" t="n"/>
      <c r="AG15" s="19" t="n"/>
      <c r="AH15" s="18" t="n"/>
      <c r="AI15" s="19" t="n"/>
      <c r="AJ15" s="19" t="n"/>
      <c r="AK15" s="18" t="n"/>
      <c r="AL15" s="19" t="n"/>
      <c r="AM15" s="19" t="n"/>
      <c r="AN15" s="18" t="n"/>
      <c r="AO15" s="19" t="n"/>
      <c r="AP15" s="19" t="n"/>
      <c r="AQ15" s="18" t="n"/>
      <c r="AR15" s="19" t="n"/>
      <c r="AS15" s="19" t="n"/>
      <c r="AT15" s="18" t="n"/>
      <c r="AU15" s="19" t="n"/>
      <c r="AV15" s="19" t="n"/>
      <c r="AW15" s="18" t="n"/>
      <c r="AX15" s="19" t="n"/>
      <c r="AY15" s="19" t="n"/>
      <c r="AZ15" s="18" t="n"/>
      <c r="BA15" s="19" t="n"/>
      <c r="BB15" s="19" t="n"/>
      <c r="BC15" s="18" t="n"/>
      <c r="BD15" s="19" t="n"/>
      <c r="BE15" s="19" t="n"/>
      <c r="BF15" s="18" t="n"/>
      <c r="BG15" s="19" t="n"/>
      <c r="BH15" s="19" t="n"/>
      <c r="BI15" s="18" t="n"/>
      <c r="BJ15" s="19" t="n"/>
      <c r="BK15" s="19" t="n"/>
      <c r="BL15" s="18" t="n"/>
      <c r="BM15" s="19" t="n"/>
      <c r="BN15" s="19" t="n"/>
      <c r="BO15" s="18" t="n"/>
      <c r="BP15" s="19" t="n"/>
      <c r="BQ15" s="19" t="n"/>
      <c r="BR15" s="18" t="n"/>
      <c r="BS15" s="19" t="n"/>
      <c r="BT15" s="19" t="n"/>
      <c r="BU15" s="18" t="n"/>
      <c r="BV15" s="19" t="n"/>
      <c r="BW15" s="19" t="n"/>
      <c r="BX15" s="18" t="n"/>
      <c r="BY15" s="19" t="n"/>
      <c r="BZ15" s="19" t="n"/>
      <c r="CA15" s="18" t="n"/>
      <c r="CB15" s="19" t="n"/>
      <c r="CC15" s="19" t="n"/>
      <c r="CD15" s="18" t="n"/>
      <c r="CE15" s="19" t="n"/>
      <c r="CF15" s="19" t="n"/>
      <c r="CG15" s="18" t="n"/>
      <c r="CH15" s="19" t="n"/>
      <c r="CI15" s="19" t="n"/>
      <c r="CJ15" s="18" t="n"/>
      <c r="CK15" s="19" t="n"/>
      <c r="CL15" s="19" t="n"/>
      <c r="CM15" s="18" t="n"/>
      <c r="CN15" s="19" t="n"/>
      <c r="CO15" s="19" t="n"/>
      <c r="CP15" s="18" t="n"/>
      <c r="CQ15" s="19" t="n"/>
      <c r="CR15" s="19" t="n"/>
    </row>
    <row r="16">
      <c r="A16" s="15">
        <f>IF(명부!A10="","",명부!A10)</f>
        <v/>
      </c>
      <c r="B16" s="16">
        <f>IF(명부!C10="","",명부!C10)</f>
        <v/>
      </c>
      <c r="C16" s="17">
        <f>IF(명부!E10="","",명부!E10)</f>
        <v/>
      </c>
      <c r="D16" s="18" t="n"/>
      <c r="E16" s="19" t="n"/>
      <c r="F16" s="19" t="n"/>
      <c r="G16" s="18" t="n"/>
      <c r="H16" s="19" t="n"/>
      <c r="I16" s="19" t="n"/>
      <c r="J16" s="18" t="n"/>
      <c r="K16" s="19" t="n"/>
      <c r="L16" s="19" t="n"/>
      <c r="M16" s="18" t="n"/>
      <c r="N16" s="19" t="n"/>
      <c r="O16" s="19" t="n"/>
      <c r="P16" s="18" t="n"/>
      <c r="Q16" s="19" t="n"/>
      <c r="R16" s="19" t="n"/>
      <c r="S16" s="18" t="n"/>
      <c r="T16" s="19" t="n"/>
      <c r="U16" s="19" t="n"/>
      <c r="V16" s="18" t="n"/>
      <c r="W16" s="19" t="n"/>
      <c r="X16" s="19" t="n"/>
      <c r="Y16" s="18" t="n"/>
      <c r="Z16" s="19" t="n"/>
      <c r="AA16" s="19" t="n"/>
      <c r="AB16" s="18" t="n"/>
      <c r="AC16" s="19" t="n"/>
      <c r="AD16" s="19" t="n"/>
      <c r="AE16" s="18" t="n"/>
      <c r="AF16" s="19" t="n"/>
      <c r="AG16" s="19" t="n"/>
      <c r="AH16" s="18" t="n"/>
      <c r="AI16" s="19" t="n"/>
      <c r="AJ16" s="19" t="n"/>
      <c r="AK16" s="18" t="n"/>
      <c r="AL16" s="19" t="n"/>
      <c r="AM16" s="19" t="n"/>
      <c r="AN16" s="18" t="n"/>
      <c r="AO16" s="19" t="n"/>
      <c r="AP16" s="19" t="n"/>
      <c r="AQ16" s="18" t="n"/>
      <c r="AR16" s="19" t="n"/>
      <c r="AS16" s="19" t="n"/>
      <c r="AT16" s="18" t="n"/>
      <c r="AU16" s="19" t="n"/>
      <c r="AV16" s="19" t="n"/>
      <c r="AW16" s="18" t="n"/>
      <c r="AX16" s="19" t="n"/>
      <c r="AY16" s="19" t="n"/>
      <c r="AZ16" s="18" t="n"/>
      <c r="BA16" s="19" t="n"/>
      <c r="BB16" s="19" t="n"/>
      <c r="BC16" s="18" t="n"/>
      <c r="BD16" s="19" t="n"/>
      <c r="BE16" s="19" t="n"/>
      <c r="BF16" s="18" t="n"/>
      <c r="BG16" s="19" t="n"/>
      <c r="BH16" s="19" t="n"/>
      <c r="BI16" s="18" t="n"/>
      <c r="BJ16" s="19" t="n"/>
      <c r="BK16" s="19" t="n"/>
      <c r="BL16" s="18" t="n"/>
      <c r="BM16" s="19" t="n"/>
      <c r="BN16" s="19" t="n"/>
      <c r="BO16" s="18" t="n"/>
      <c r="BP16" s="19" t="n"/>
      <c r="BQ16" s="19" t="n"/>
      <c r="BR16" s="18" t="n"/>
      <c r="BS16" s="19" t="n"/>
      <c r="BT16" s="19" t="n"/>
      <c r="BU16" s="18" t="n"/>
      <c r="BV16" s="19" t="n"/>
      <c r="BW16" s="19" t="n"/>
      <c r="BX16" s="18" t="n"/>
      <c r="BY16" s="19" t="n"/>
      <c r="BZ16" s="19" t="n"/>
      <c r="CA16" s="18" t="n"/>
      <c r="CB16" s="19" t="n"/>
      <c r="CC16" s="19" t="n"/>
      <c r="CD16" s="18" t="n"/>
      <c r="CE16" s="19" t="n"/>
      <c r="CF16" s="19" t="n"/>
      <c r="CG16" s="18" t="n"/>
      <c r="CH16" s="19" t="n"/>
      <c r="CI16" s="19" t="n"/>
      <c r="CJ16" s="18" t="n"/>
      <c r="CK16" s="19" t="n"/>
      <c r="CL16" s="19" t="n"/>
      <c r="CM16" s="18" t="n"/>
      <c r="CN16" s="19" t="n"/>
      <c r="CO16" s="19" t="n"/>
      <c r="CP16" s="18" t="n"/>
      <c r="CQ16" s="19" t="n"/>
      <c r="CR16" s="19" t="n"/>
    </row>
    <row r="17">
      <c r="A17" s="15">
        <f>IF(명부!A11="","",명부!A11)</f>
        <v/>
      </c>
      <c r="B17" s="16">
        <f>IF(명부!C11="","",명부!C11)</f>
        <v/>
      </c>
      <c r="C17" s="17">
        <f>IF(명부!E11="","",명부!E11)</f>
        <v/>
      </c>
      <c r="D17" s="18" t="n"/>
      <c r="E17" s="19" t="n"/>
      <c r="F17" s="19" t="n"/>
      <c r="G17" s="18" t="n"/>
      <c r="H17" s="19" t="n"/>
      <c r="I17" s="19" t="n"/>
      <c r="J17" s="18" t="n"/>
      <c r="K17" s="19" t="n"/>
      <c r="L17" s="19" t="n"/>
      <c r="M17" s="18" t="n"/>
      <c r="N17" s="19" t="n"/>
      <c r="O17" s="19" t="n"/>
      <c r="P17" s="18" t="n"/>
      <c r="Q17" s="19" t="n"/>
      <c r="R17" s="19" t="n"/>
      <c r="S17" s="18" t="n"/>
      <c r="T17" s="19" t="n"/>
      <c r="U17" s="19" t="n"/>
      <c r="V17" s="18" t="n"/>
      <c r="W17" s="19" t="n"/>
      <c r="X17" s="19" t="n"/>
      <c r="Y17" s="18" t="n"/>
      <c r="Z17" s="19" t="n"/>
      <c r="AA17" s="19" t="n"/>
      <c r="AB17" s="18" t="n"/>
      <c r="AC17" s="19" t="n"/>
      <c r="AD17" s="19" t="n"/>
      <c r="AE17" s="18" t="n"/>
      <c r="AF17" s="19" t="n"/>
      <c r="AG17" s="19" t="n"/>
      <c r="AH17" s="18" t="n"/>
      <c r="AI17" s="19" t="n"/>
      <c r="AJ17" s="19" t="n"/>
      <c r="AK17" s="18" t="n"/>
      <c r="AL17" s="19" t="n"/>
      <c r="AM17" s="19" t="n"/>
      <c r="AN17" s="18" t="n"/>
      <c r="AO17" s="19" t="n"/>
      <c r="AP17" s="19" t="n"/>
      <c r="AQ17" s="18" t="n"/>
      <c r="AR17" s="19" t="n"/>
      <c r="AS17" s="19" t="n"/>
      <c r="AT17" s="18" t="n"/>
      <c r="AU17" s="19" t="n"/>
      <c r="AV17" s="19" t="n"/>
      <c r="AW17" s="18" t="n"/>
      <c r="AX17" s="19" t="n"/>
      <c r="AY17" s="19" t="n"/>
      <c r="AZ17" s="18" t="n"/>
      <c r="BA17" s="19" t="n"/>
      <c r="BB17" s="19" t="n"/>
      <c r="BC17" s="18" t="n"/>
      <c r="BD17" s="19" t="n"/>
      <c r="BE17" s="19" t="n"/>
      <c r="BF17" s="18" t="n"/>
      <c r="BG17" s="19" t="n"/>
      <c r="BH17" s="19" t="n"/>
      <c r="BI17" s="18" t="n"/>
      <c r="BJ17" s="19" t="n"/>
      <c r="BK17" s="19" t="n"/>
      <c r="BL17" s="18" t="n"/>
      <c r="BM17" s="19" t="n"/>
      <c r="BN17" s="19" t="n"/>
      <c r="BO17" s="18" t="n"/>
      <c r="BP17" s="19" t="n"/>
      <c r="BQ17" s="19" t="n"/>
      <c r="BR17" s="18" t="n"/>
      <c r="BS17" s="19" t="n"/>
      <c r="BT17" s="19" t="n"/>
      <c r="BU17" s="18" t="n"/>
      <c r="BV17" s="19" t="n"/>
      <c r="BW17" s="19" t="n"/>
      <c r="BX17" s="18" t="n"/>
      <c r="BY17" s="19" t="n"/>
      <c r="BZ17" s="19" t="n"/>
      <c r="CA17" s="18" t="n"/>
      <c r="CB17" s="19" t="n"/>
      <c r="CC17" s="19" t="n"/>
      <c r="CD17" s="18" t="n"/>
      <c r="CE17" s="19" t="n"/>
      <c r="CF17" s="19" t="n"/>
      <c r="CG17" s="18" t="n"/>
      <c r="CH17" s="19" t="n"/>
      <c r="CI17" s="19" t="n"/>
      <c r="CJ17" s="18" t="n"/>
      <c r="CK17" s="19" t="n"/>
      <c r="CL17" s="19" t="n"/>
      <c r="CM17" s="18" t="n"/>
      <c r="CN17" s="19" t="n"/>
      <c r="CO17" s="19" t="n"/>
      <c r="CP17" s="18" t="n"/>
      <c r="CQ17" s="19" t="n"/>
      <c r="CR17" s="19" t="n"/>
    </row>
    <row r="18">
      <c r="A18" s="15">
        <f>IF(명부!A12="","",명부!A12)</f>
        <v/>
      </c>
      <c r="B18" s="16">
        <f>IF(명부!C12="","",명부!C12)</f>
        <v/>
      </c>
      <c r="C18" s="17">
        <f>IF(명부!E12="","",명부!E12)</f>
        <v/>
      </c>
      <c r="D18" s="18" t="n"/>
      <c r="E18" s="19" t="n"/>
      <c r="F18" s="19" t="n"/>
      <c r="G18" s="18" t="n"/>
      <c r="H18" s="19" t="n"/>
      <c r="I18" s="19" t="n"/>
      <c r="J18" s="18" t="n"/>
      <c r="K18" s="19" t="n"/>
      <c r="L18" s="19" t="n"/>
      <c r="M18" s="18" t="n"/>
      <c r="N18" s="19" t="n"/>
      <c r="O18" s="19" t="n"/>
      <c r="P18" s="18" t="n"/>
      <c r="Q18" s="19" t="n"/>
      <c r="R18" s="19" t="n"/>
      <c r="S18" s="18" t="n"/>
      <c r="T18" s="19" t="n"/>
      <c r="U18" s="19" t="n"/>
      <c r="V18" s="18" t="n"/>
      <c r="W18" s="19" t="n"/>
      <c r="X18" s="19" t="n"/>
      <c r="Y18" s="18" t="n"/>
      <c r="Z18" s="19" t="n"/>
      <c r="AA18" s="19" t="n"/>
      <c r="AB18" s="18" t="n"/>
      <c r="AC18" s="19" t="n"/>
      <c r="AD18" s="19" t="n"/>
      <c r="AE18" s="18" t="n"/>
      <c r="AF18" s="19" t="n"/>
      <c r="AG18" s="19" t="n"/>
      <c r="AH18" s="18" t="n"/>
      <c r="AI18" s="19" t="n"/>
      <c r="AJ18" s="19" t="n"/>
      <c r="AK18" s="18" t="n"/>
      <c r="AL18" s="19" t="n"/>
      <c r="AM18" s="19" t="n"/>
      <c r="AN18" s="18" t="n"/>
      <c r="AO18" s="19" t="n"/>
      <c r="AP18" s="19" t="n"/>
      <c r="AQ18" s="18" t="n"/>
      <c r="AR18" s="19" t="n"/>
      <c r="AS18" s="19" t="n"/>
      <c r="AT18" s="18" t="n"/>
      <c r="AU18" s="19" t="n"/>
      <c r="AV18" s="19" t="n"/>
      <c r="AW18" s="18" t="n"/>
      <c r="AX18" s="19" t="n"/>
      <c r="AY18" s="19" t="n"/>
      <c r="AZ18" s="18" t="n"/>
      <c r="BA18" s="19" t="n"/>
      <c r="BB18" s="19" t="n"/>
      <c r="BC18" s="18" t="n"/>
      <c r="BD18" s="19" t="n"/>
      <c r="BE18" s="19" t="n"/>
      <c r="BF18" s="18" t="n"/>
      <c r="BG18" s="19" t="n"/>
      <c r="BH18" s="19" t="n"/>
      <c r="BI18" s="18" t="n"/>
      <c r="BJ18" s="19" t="n"/>
      <c r="BK18" s="19" t="n"/>
      <c r="BL18" s="18" t="n"/>
      <c r="BM18" s="19" t="n"/>
      <c r="BN18" s="19" t="n"/>
      <c r="BO18" s="18" t="n"/>
      <c r="BP18" s="19" t="n"/>
      <c r="BQ18" s="19" t="n"/>
      <c r="BR18" s="18" t="n"/>
      <c r="BS18" s="19" t="n"/>
      <c r="BT18" s="19" t="n"/>
      <c r="BU18" s="18" t="n"/>
      <c r="BV18" s="19" t="n"/>
      <c r="BW18" s="19" t="n"/>
      <c r="BX18" s="18" t="n"/>
      <c r="BY18" s="19" t="n"/>
      <c r="BZ18" s="19" t="n"/>
      <c r="CA18" s="18" t="n"/>
      <c r="CB18" s="19" t="n"/>
      <c r="CC18" s="19" t="n"/>
      <c r="CD18" s="18" t="n"/>
      <c r="CE18" s="19" t="n"/>
      <c r="CF18" s="19" t="n"/>
      <c r="CG18" s="18" t="n"/>
      <c r="CH18" s="19" t="n"/>
      <c r="CI18" s="19" t="n"/>
      <c r="CJ18" s="18" t="n"/>
      <c r="CK18" s="19" t="n"/>
      <c r="CL18" s="19" t="n"/>
      <c r="CM18" s="18" t="n"/>
      <c r="CN18" s="19" t="n"/>
      <c r="CO18" s="19" t="n"/>
      <c r="CP18" s="18" t="n"/>
      <c r="CQ18" s="19" t="n"/>
      <c r="CR18" s="19" t="n"/>
    </row>
    <row r="19">
      <c r="A19" s="15">
        <f>IF(명부!A13="","",명부!A13)</f>
        <v/>
      </c>
      <c r="B19" s="16">
        <f>IF(명부!C13="","",명부!C13)</f>
        <v/>
      </c>
      <c r="C19" s="17">
        <f>IF(명부!E13="","",명부!E13)</f>
        <v/>
      </c>
      <c r="D19" s="18" t="n"/>
      <c r="E19" s="19" t="n"/>
      <c r="F19" s="19" t="n"/>
      <c r="G19" s="18" t="n"/>
      <c r="H19" s="19" t="n"/>
      <c r="I19" s="19" t="n"/>
      <c r="J19" s="18" t="n"/>
      <c r="K19" s="19" t="n"/>
      <c r="L19" s="19" t="n"/>
      <c r="M19" s="18" t="n"/>
      <c r="N19" s="19" t="n"/>
      <c r="O19" s="19" t="n"/>
      <c r="P19" s="18" t="n"/>
      <c r="Q19" s="19" t="n"/>
      <c r="R19" s="19" t="n"/>
      <c r="S19" s="18" t="n"/>
      <c r="T19" s="19" t="n"/>
      <c r="U19" s="19" t="n"/>
      <c r="V19" s="18" t="n"/>
      <c r="W19" s="19" t="n"/>
      <c r="X19" s="19" t="n"/>
      <c r="Y19" s="18" t="n"/>
      <c r="Z19" s="19" t="n"/>
      <c r="AA19" s="19" t="n"/>
      <c r="AB19" s="18" t="n"/>
      <c r="AC19" s="19" t="n"/>
      <c r="AD19" s="19" t="n"/>
      <c r="AE19" s="18" t="n"/>
      <c r="AF19" s="19" t="n"/>
      <c r="AG19" s="19" t="n"/>
      <c r="AH19" s="18" t="n"/>
      <c r="AI19" s="19" t="n"/>
      <c r="AJ19" s="19" t="n"/>
      <c r="AK19" s="18" t="n"/>
      <c r="AL19" s="19" t="n"/>
      <c r="AM19" s="19" t="n"/>
      <c r="AN19" s="18" t="n"/>
      <c r="AO19" s="19" t="n"/>
      <c r="AP19" s="19" t="n"/>
      <c r="AQ19" s="18" t="n"/>
      <c r="AR19" s="19" t="n"/>
      <c r="AS19" s="19" t="n"/>
      <c r="AT19" s="18" t="n"/>
      <c r="AU19" s="19" t="n"/>
      <c r="AV19" s="19" t="n"/>
      <c r="AW19" s="18" t="n"/>
      <c r="AX19" s="19" t="n"/>
      <c r="AY19" s="19" t="n"/>
      <c r="AZ19" s="18" t="n"/>
      <c r="BA19" s="19" t="n"/>
      <c r="BB19" s="19" t="n"/>
      <c r="BC19" s="18" t="n"/>
      <c r="BD19" s="19" t="n"/>
      <c r="BE19" s="19" t="n"/>
      <c r="BF19" s="18" t="n"/>
      <c r="BG19" s="19" t="n"/>
      <c r="BH19" s="19" t="n"/>
      <c r="BI19" s="18" t="n"/>
      <c r="BJ19" s="19" t="n"/>
      <c r="BK19" s="19" t="n"/>
      <c r="BL19" s="18" t="n"/>
      <c r="BM19" s="19" t="n"/>
      <c r="BN19" s="19" t="n"/>
      <c r="BO19" s="18" t="n"/>
      <c r="BP19" s="19" t="n"/>
      <c r="BQ19" s="19" t="n"/>
      <c r="BR19" s="18" t="n"/>
      <c r="BS19" s="19" t="n"/>
      <c r="BT19" s="19" t="n"/>
      <c r="BU19" s="18" t="n"/>
      <c r="BV19" s="19" t="n"/>
      <c r="BW19" s="19" t="n"/>
      <c r="BX19" s="18" t="n"/>
      <c r="BY19" s="19" t="n"/>
      <c r="BZ19" s="19" t="n"/>
      <c r="CA19" s="18" t="n"/>
      <c r="CB19" s="19" t="n"/>
      <c r="CC19" s="19" t="n"/>
      <c r="CD19" s="18" t="n"/>
      <c r="CE19" s="19" t="n"/>
      <c r="CF19" s="19" t="n"/>
      <c r="CG19" s="18" t="n"/>
      <c r="CH19" s="19" t="n"/>
      <c r="CI19" s="19" t="n"/>
      <c r="CJ19" s="18" t="n"/>
      <c r="CK19" s="19" t="n"/>
      <c r="CL19" s="19" t="n"/>
      <c r="CM19" s="18" t="n"/>
      <c r="CN19" s="19" t="n"/>
      <c r="CO19" s="19" t="n"/>
      <c r="CP19" s="18" t="n"/>
      <c r="CQ19" s="19" t="n"/>
      <c r="CR19" s="19" t="n"/>
    </row>
    <row r="20">
      <c r="A20" s="15">
        <f>IF(명부!A14="","",명부!A14)</f>
        <v/>
      </c>
      <c r="B20" s="16">
        <f>IF(명부!C14="","",명부!C14)</f>
        <v/>
      </c>
      <c r="C20" s="17">
        <f>IF(명부!E14="","",명부!E14)</f>
        <v/>
      </c>
      <c r="D20" s="18" t="n"/>
      <c r="E20" s="19" t="n"/>
      <c r="F20" s="19" t="n"/>
      <c r="G20" s="18" t="n"/>
      <c r="H20" s="19" t="n"/>
      <c r="I20" s="19" t="n"/>
      <c r="J20" s="18" t="n"/>
      <c r="K20" s="19" t="n"/>
      <c r="L20" s="19" t="n"/>
      <c r="M20" s="18" t="n"/>
      <c r="N20" s="19" t="n"/>
      <c r="O20" s="19" t="n"/>
      <c r="P20" s="18" t="n"/>
      <c r="Q20" s="19" t="n"/>
      <c r="R20" s="19" t="n"/>
      <c r="S20" s="18" t="n"/>
      <c r="T20" s="19" t="n"/>
      <c r="U20" s="19" t="n"/>
      <c r="V20" s="18" t="n"/>
      <c r="W20" s="19" t="n"/>
      <c r="X20" s="19" t="n"/>
      <c r="Y20" s="18" t="n"/>
      <c r="Z20" s="19" t="n"/>
      <c r="AA20" s="19" t="n"/>
      <c r="AB20" s="18" t="n"/>
      <c r="AC20" s="19" t="n"/>
      <c r="AD20" s="19" t="n"/>
      <c r="AE20" s="18" t="n"/>
      <c r="AF20" s="19" t="n"/>
      <c r="AG20" s="19" t="n"/>
      <c r="AH20" s="18" t="n"/>
      <c r="AI20" s="19" t="n"/>
      <c r="AJ20" s="19" t="n"/>
      <c r="AK20" s="18" t="n"/>
      <c r="AL20" s="19" t="n"/>
      <c r="AM20" s="19" t="n"/>
      <c r="AN20" s="18" t="n"/>
      <c r="AO20" s="19" t="n"/>
      <c r="AP20" s="19" t="n"/>
      <c r="AQ20" s="18" t="n"/>
      <c r="AR20" s="19" t="n"/>
      <c r="AS20" s="19" t="n"/>
      <c r="AT20" s="18" t="n"/>
      <c r="AU20" s="19" t="n"/>
      <c r="AV20" s="19" t="n"/>
      <c r="AW20" s="18" t="n"/>
      <c r="AX20" s="19" t="n"/>
      <c r="AY20" s="19" t="n"/>
      <c r="AZ20" s="18" t="n"/>
      <c r="BA20" s="19" t="n"/>
      <c r="BB20" s="19" t="n"/>
      <c r="BC20" s="18" t="n"/>
      <c r="BD20" s="19" t="n"/>
      <c r="BE20" s="19" t="n"/>
      <c r="BF20" s="18" t="n"/>
      <c r="BG20" s="19" t="n"/>
      <c r="BH20" s="19" t="n"/>
      <c r="BI20" s="18" t="n"/>
      <c r="BJ20" s="19" t="n"/>
      <c r="BK20" s="19" t="n"/>
      <c r="BL20" s="18" t="n"/>
      <c r="BM20" s="19" t="n"/>
      <c r="BN20" s="19" t="n"/>
      <c r="BO20" s="18" t="n"/>
      <c r="BP20" s="19" t="n"/>
      <c r="BQ20" s="19" t="n"/>
      <c r="BR20" s="18" t="n"/>
      <c r="BS20" s="19" t="n"/>
      <c r="BT20" s="19" t="n"/>
      <c r="BU20" s="18" t="n"/>
      <c r="BV20" s="19" t="n"/>
      <c r="BW20" s="19" t="n"/>
      <c r="BX20" s="18" t="n"/>
      <c r="BY20" s="19" t="n"/>
      <c r="BZ20" s="19" t="n"/>
      <c r="CA20" s="18" t="n"/>
      <c r="CB20" s="19" t="n"/>
      <c r="CC20" s="19" t="n"/>
      <c r="CD20" s="18" t="n"/>
      <c r="CE20" s="19" t="n"/>
      <c r="CF20" s="19" t="n"/>
      <c r="CG20" s="18" t="n"/>
      <c r="CH20" s="19" t="n"/>
      <c r="CI20" s="19" t="n"/>
      <c r="CJ20" s="18" t="n"/>
      <c r="CK20" s="19" t="n"/>
      <c r="CL20" s="19" t="n"/>
      <c r="CM20" s="18" t="n"/>
      <c r="CN20" s="19" t="n"/>
      <c r="CO20" s="19" t="n"/>
      <c r="CP20" s="18" t="n"/>
      <c r="CQ20" s="19" t="n"/>
      <c r="CR20" s="19" t="n"/>
    </row>
    <row r="21">
      <c r="A21" s="15">
        <f>IF(명부!A15="","",명부!A15)</f>
        <v/>
      </c>
      <c r="B21" s="16">
        <f>IF(명부!C15="","",명부!C15)</f>
        <v/>
      </c>
      <c r="C21" s="17">
        <f>IF(명부!E15="","",명부!E15)</f>
        <v/>
      </c>
      <c r="D21" s="18" t="n"/>
      <c r="E21" s="19" t="n"/>
      <c r="F21" s="19" t="n"/>
      <c r="G21" s="18" t="n"/>
      <c r="H21" s="19" t="n"/>
      <c r="I21" s="19" t="n"/>
      <c r="J21" s="18" t="n"/>
      <c r="K21" s="19" t="n"/>
      <c r="L21" s="19" t="n"/>
      <c r="M21" s="18" t="n"/>
      <c r="N21" s="19" t="n"/>
      <c r="O21" s="19" t="n"/>
      <c r="P21" s="18" t="n"/>
      <c r="Q21" s="19" t="n"/>
      <c r="R21" s="19" t="n"/>
      <c r="S21" s="18" t="n"/>
      <c r="T21" s="19" t="n"/>
      <c r="U21" s="19" t="n"/>
      <c r="V21" s="18" t="n"/>
      <c r="W21" s="19" t="n"/>
      <c r="X21" s="19" t="n"/>
      <c r="Y21" s="18" t="n"/>
      <c r="Z21" s="19" t="n"/>
      <c r="AA21" s="19" t="n"/>
      <c r="AB21" s="18" t="n"/>
      <c r="AC21" s="19" t="n"/>
      <c r="AD21" s="19" t="n"/>
      <c r="AE21" s="18" t="n"/>
      <c r="AF21" s="19" t="n"/>
      <c r="AG21" s="19" t="n"/>
      <c r="AH21" s="18" t="n"/>
      <c r="AI21" s="19" t="n"/>
      <c r="AJ21" s="19" t="n"/>
      <c r="AK21" s="18" t="n"/>
      <c r="AL21" s="19" t="n"/>
      <c r="AM21" s="19" t="n"/>
      <c r="AN21" s="18" t="n"/>
      <c r="AO21" s="19" t="n"/>
      <c r="AP21" s="19" t="n"/>
      <c r="AQ21" s="18" t="n"/>
      <c r="AR21" s="19" t="n"/>
      <c r="AS21" s="19" t="n"/>
      <c r="AT21" s="18" t="n"/>
      <c r="AU21" s="19" t="n"/>
      <c r="AV21" s="19" t="n"/>
      <c r="AW21" s="18" t="n"/>
      <c r="AX21" s="19" t="n"/>
      <c r="AY21" s="19" t="n"/>
      <c r="AZ21" s="18" t="n"/>
      <c r="BA21" s="19" t="n"/>
      <c r="BB21" s="19" t="n"/>
      <c r="BC21" s="18" t="n"/>
      <c r="BD21" s="19" t="n"/>
      <c r="BE21" s="19" t="n"/>
      <c r="BF21" s="18" t="n"/>
      <c r="BG21" s="19" t="n"/>
      <c r="BH21" s="19" t="n"/>
      <c r="BI21" s="18" t="n"/>
      <c r="BJ21" s="19" t="n"/>
      <c r="BK21" s="19" t="n"/>
      <c r="BL21" s="18" t="n"/>
      <c r="BM21" s="19" t="n"/>
      <c r="BN21" s="19" t="n"/>
      <c r="BO21" s="18" t="n"/>
      <c r="BP21" s="19" t="n"/>
      <c r="BQ21" s="19" t="n"/>
      <c r="BR21" s="18" t="n"/>
      <c r="BS21" s="19" t="n"/>
      <c r="BT21" s="19" t="n"/>
      <c r="BU21" s="18" t="n"/>
      <c r="BV21" s="19" t="n"/>
      <c r="BW21" s="19" t="n"/>
      <c r="BX21" s="18" t="n"/>
      <c r="BY21" s="19" t="n"/>
      <c r="BZ21" s="19" t="n"/>
      <c r="CA21" s="18" t="n"/>
      <c r="CB21" s="19" t="n"/>
      <c r="CC21" s="19" t="n"/>
      <c r="CD21" s="18" t="n"/>
      <c r="CE21" s="19" t="n"/>
      <c r="CF21" s="19" t="n"/>
      <c r="CG21" s="18" t="n"/>
      <c r="CH21" s="19" t="n"/>
      <c r="CI21" s="19" t="n"/>
      <c r="CJ21" s="18" t="n"/>
      <c r="CK21" s="19" t="n"/>
      <c r="CL21" s="19" t="n"/>
      <c r="CM21" s="18" t="n"/>
      <c r="CN21" s="19" t="n"/>
      <c r="CO21" s="19" t="n"/>
      <c r="CP21" s="18" t="n"/>
      <c r="CQ21" s="19" t="n"/>
      <c r="CR21" s="19" t="n"/>
    </row>
    <row r="22">
      <c r="A22" s="15">
        <f>IF(명부!A16="","",명부!A16)</f>
        <v/>
      </c>
      <c r="B22" s="16">
        <f>IF(명부!C16="","",명부!C16)</f>
        <v/>
      </c>
      <c r="C22" s="17">
        <f>IF(명부!E16="","",명부!E16)</f>
        <v/>
      </c>
      <c r="D22" s="18" t="n"/>
      <c r="E22" s="19" t="n"/>
      <c r="F22" s="19" t="n"/>
      <c r="G22" s="18" t="n"/>
      <c r="H22" s="19" t="n"/>
      <c r="I22" s="19" t="n"/>
      <c r="J22" s="18" t="n"/>
      <c r="K22" s="19" t="n"/>
      <c r="L22" s="19" t="n"/>
      <c r="M22" s="18" t="n"/>
      <c r="N22" s="19" t="n"/>
      <c r="O22" s="19" t="n"/>
      <c r="P22" s="18" t="n"/>
      <c r="Q22" s="19" t="n"/>
      <c r="R22" s="19" t="n"/>
      <c r="S22" s="18" t="n"/>
      <c r="T22" s="19" t="n"/>
      <c r="U22" s="19" t="n"/>
      <c r="V22" s="18" t="n"/>
      <c r="W22" s="19" t="n"/>
      <c r="X22" s="19" t="n"/>
      <c r="Y22" s="18" t="n"/>
      <c r="Z22" s="19" t="n"/>
      <c r="AA22" s="19" t="n"/>
      <c r="AB22" s="18" t="n"/>
      <c r="AC22" s="19" t="n"/>
      <c r="AD22" s="19" t="n"/>
      <c r="AE22" s="18" t="n"/>
      <c r="AF22" s="19" t="n"/>
      <c r="AG22" s="19" t="n"/>
      <c r="AH22" s="18" t="n"/>
      <c r="AI22" s="19" t="n"/>
      <c r="AJ22" s="19" t="n"/>
      <c r="AK22" s="18" t="n"/>
      <c r="AL22" s="19" t="n"/>
      <c r="AM22" s="19" t="n"/>
      <c r="AN22" s="18" t="n"/>
      <c r="AO22" s="19" t="n"/>
      <c r="AP22" s="19" t="n"/>
      <c r="AQ22" s="18" t="n"/>
      <c r="AR22" s="19" t="n"/>
      <c r="AS22" s="19" t="n"/>
      <c r="AT22" s="18" t="n"/>
      <c r="AU22" s="19" t="n"/>
      <c r="AV22" s="19" t="n"/>
      <c r="AW22" s="18" t="n"/>
      <c r="AX22" s="19" t="n"/>
      <c r="AY22" s="19" t="n"/>
      <c r="AZ22" s="18" t="n"/>
      <c r="BA22" s="19" t="n"/>
      <c r="BB22" s="19" t="n"/>
      <c r="BC22" s="18" t="n"/>
      <c r="BD22" s="19" t="n"/>
      <c r="BE22" s="19" t="n"/>
      <c r="BF22" s="18" t="n"/>
      <c r="BG22" s="19" t="n"/>
      <c r="BH22" s="19" t="n"/>
      <c r="BI22" s="18" t="n"/>
      <c r="BJ22" s="19" t="n"/>
      <c r="BK22" s="19" t="n"/>
      <c r="BL22" s="18" t="n"/>
      <c r="BM22" s="19" t="n"/>
      <c r="BN22" s="19" t="n"/>
      <c r="BO22" s="18" t="n"/>
      <c r="BP22" s="19" t="n"/>
      <c r="BQ22" s="19" t="n"/>
      <c r="BR22" s="18" t="n"/>
      <c r="BS22" s="19" t="n"/>
      <c r="BT22" s="19" t="n"/>
      <c r="BU22" s="18" t="n"/>
      <c r="BV22" s="19" t="n"/>
      <c r="BW22" s="19" t="n"/>
      <c r="BX22" s="18" t="n"/>
      <c r="BY22" s="19" t="n"/>
      <c r="BZ22" s="19" t="n"/>
      <c r="CA22" s="18" t="n"/>
      <c r="CB22" s="19" t="n"/>
      <c r="CC22" s="19" t="n"/>
      <c r="CD22" s="18" t="n"/>
      <c r="CE22" s="19" t="n"/>
      <c r="CF22" s="19" t="n"/>
      <c r="CG22" s="18" t="n"/>
      <c r="CH22" s="19" t="n"/>
      <c r="CI22" s="19" t="n"/>
      <c r="CJ22" s="18" t="n"/>
      <c r="CK22" s="19" t="n"/>
      <c r="CL22" s="19" t="n"/>
      <c r="CM22" s="18" t="n"/>
      <c r="CN22" s="19" t="n"/>
      <c r="CO22" s="19" t="n"/>
      <c r="CP22" s="18" t="n"/>
      <c r="CQ22" s="19" t="n"/>
      <c r="CR22" s="19" t="n"/>
    </row>
    <row r="23">
      <c r="A23" s="15">
        <f>IF(명부!A17="","",명부!A17)</f>
        <v/>
      </c>
      <c r="B23" s="16">
        <f>IF(명부!C17="","",명부!C17)</f>
        <v/>
      </c>
      <c r="C23" s="17">
        <f>IF(명부!E17="","",명부!E17)</f>
        <v/>
      </c>
      <c r="D23" s="18" t="n"/>
      <c r="E23" s="19" t="n"/>
      <c r="F23" s="19" t="n"/>
      <c r="G23" s="18" t="n"/>
      <c r="H23" s="19" t="n"/>
      <c r="I23" s="19" t="n"/>
      <c r="J23" s="18" t="n"/>
      <c r="K23" s="19" t="n"/>
      <c r="L23" s="19" t="n"/>
      <c r="M23" s="18" t="n"/>
      <c r="N23" s="19" t="n"/>
      <c r="O23" s="19" t="n"/>
      <c r="P23" s="18" t="n"/>
      <c r="Q23" s="19" t="n"/>
      <c r="R23" s="19" t="n"/>
      <c r="S23" s="18" t="n"/>
      <c r="T23" s="19" t="n"/>
      <c r="U23" s="19" t="n"/>
      <c r="V23" s="18" t="n"/>
      <c r="W23" s="19" t="n"/>
      <c r="X23" s="19" t="n"/>
      <c r="Y23" s="18" t="n"/>
      <c r="Z23" s="19" t="n"/>
      <c r="AA23" s="19" t="n"/>
      <c r="AB23" s="18" t="n"/>
      <c r="AC23" s="19" t="n"/>
      <c r="AD23" s="19" t="n"/>
      <c r="AE23" s="18" t="n"/>
      <c r="AF23" s="19" t="n"/>
      <c r="AG23" s="19" t="n"/>
      <c r="AH23" s="18" t="n"/>
      <c r="AI23" s="19" t="n"/>
      <c r="AJ23" s="19" t="n"/>
      <c r="AK23" s="18" t="n"/>
      <c r="AL23" s="19" t="n"/>
      <c r="AM23" s="19" t="n"/>
      <c r="AN23" s="18" t="n"/>
      <c r="AO23" s="19" t="n"/>
      <c r="AP23" s="19" t="n"/>
      <c r="AQ23" s="18" t="n"/>
      <c r="AR23" s="19" t="n"/>
      <c r="AS23" s="19" t="n"/>
      <c r="AT23" s="18" t="n"/>
      <c r="AU23" s="19" t="n"/>
      <c r="AV23" s="19" t="n"/>
      <c r="AW23" s="18" t="n"/>
      <c r="AX23" s="19" t="n"/>
      <c r="AY23" s="19" t="n"/>
      <c r="AZ23" s="18" t="n"/>
      <c r="BA23" s="19" t="n"/>
      <c r="BB23" s="19" t="n"/>
      <c r="BC23" s="18" t="n"/>
      <c r="BD23" s="19" t="n"/>
      <c r="BE23" s="19" t="n"/>
      <c r="BF23" s="18" t="n"/>
      <c r="BG23" s="19" t="n"/>
      <c r="BH23" s="19" t="n"/>
      <c r="BI23" s="18" t="n"/>
      <c r="BJ23" s="19" t="n"/>
      <c r="BK23" s="19" t="n"/>
      <c r="BL23" s="18" t="n"/>
      <c r="BM23" s="19" t="n"/>
      <c r="BN23" s="19" t="n"/>
      <c r="BO23" s="18" t="n"/>
      <c r="BP23" s="19" t="n"/>
      <c r="BQ23" s="19" t="n"/>
      <c r="BR23" s="18" t="n"/>
      <c r="BS23" s="19" t="n"/>
      <c r="BT23" s="19" t="n"/>
      <c r="BU23" s="18" t="n"/>
      <c r="BV23" s="19" t="n"/>
      <c r="BW23" s="19" t="n"/>
      <c r="BX23" s="18" t="n"/>
      <c r="BY23" s="19" t="n"/>
      <c r="BZ23" s="19" t="n"/>
      <c r="CA23" s="18" t="n"/>
      <c r="CB23" s="19" t="n"/>
      <c r="CC23" s="19" t="n"/>
      <c r="CD23" s="18" t="n"/>
      <c r="CE23" s="19" t="n"/>
      <c r="CF23" s="19" t="n"/>
      <c r="CG23" s="18" t="n"/>
      <c r="CH23" s="19" t="n"/>
      <c r="CI23" s="19" t="n"/>
      <c r="CJ23" s="18" t="n"/>
      <c r="CK23" s="19" t="n"/>
      <c r="CL23" s="19" t="n"/>
      <c r="CM23" s="18" t="n"/>
      <c r="CN23" s="19" t="n"/>
      <c r="CO23" s="19" t="n"/>
      <c r="CP23" s="18" t="n"/>
      <c r="CQ23" s="19" t="n"/>
      <c r="CR23" s="19" t="n"/>
    </row>
    <row r="24">
      <c r="A24" s="15">
        <f>IF(명부!A18="","",명부!A18)</f>
        <v/>
      </c>
      <c r="B24" s="16">
        <f>IF(명부!C18="","",명부!C18)</f>
        <v/>
      </c>
      <c r="C24" s="17">
        <f>IF(명부!E18="","",명부!E18)</f>
        <v/>
      </c>
      <c r="D24" s="18" t="n"/>
      <c r="E24" s="19" t="n"/>
      <c r="F24" s="19" t="n"/>
      <c r="G24" s="18" t="n"/>
      <c r="H24" s="19" t="n"/>
      <c r="I24" s="19" t="n"/>
      <c r="J24" s="18" t="n"/>
      <c r="K24" s="19" t="n"/>
      <c r="L24" s="19" t="n"/>
      <c r="M24" s="18" t="n"/>
      <c r="N24" s="19" t="n"/>
      <c r="O24" s="19" t="n"/>
      <c r="P24" s="18" t="n"/>
      <c r="Q24" s="19" t="n"/>
      <c r="R24" s="19" t="n"/>
      <c r="S24" s="18" t="n"/>
      <c r="T24" s="19" t="n"/>
      <c r="U24" s="19" t="n"/>
      <c r="V24" s="18" t="n"/>
      <c r="W24" s="19" t="n"/>
      <c r="X24" s="19" t="n"/>
      <c r="Y24" s="18" t="n"/>
      <c r="Z24" s="19" t="n"/>
      <c r="AA24" s="19" t="n"/>
      <c r="AB24" s="18" t="n"/>
      <c r="AC24" s="19" t="n"/>
      <c r="AD24" s="19" t="n"/>
      <c r="AE24" s="18" t="n"/>
      <c r="AF24" s="19" t="n"/>
      <c r="AG24" s="19" t="n"/>
      <c r="AH24" s="18" t="n"/>
      <c r="AI24" s="19" t="n"/>
      <c r="AJ24" s="19" t="n"/>
      <c r="AK24" s="18" t="n"/>
      <c r="AL24" s="19" t="n"/>
      <c r="AM24" s="19" t="n"/>
      <c r="AN24" s="18" t="n"/>
      <c r="AO24" s="19" t="n"/>
      <c r="AP24" s="19" t="n"/>
      <c r="AQ24" s="18" t="n"/>
      <c r="AR24" s="19" t="n"/>
      <c r="AS24" s="19" t="n"/>
      <c r="AT24" s="18" t="n"/>
      <c r="AU24" s="19" t="n"/>
      <c r="AV24" s="19" t="n"/>
      <c r="AW24" s="18" t="n"/>
      <c r="AX24" s="19" t="n"/>
      <c r="AY24" s="19" t="n"/>
      <c r="AZ24" s="18" t="n"/>
      <c r="BA24" s="19" t="n"/>
      <c r="BB24" s="19" t="n"/>
      <c r="BC24" s="18" t="n"/>
      <c r="BD24" s="19" t="n"/>
      <c r="BE24" s="19" t="n"/>
      <c r="BF24" s="18" t="n"/>
      <c r="BG24" s="19" t="n"/>
      <c r="BH24" s="19" t="n"/>
      <c r="BI24" s="18" t="n"/>
      <c r="BJ24" s="19" t="n"/>
      <c r="BK24" s="19" t="n"/>
      <c r="BL24" s="18" t="n"/>
      <c r="BM24" s="19" t="n"/>
      <c r="BN24" s="19" t="n"/>
      <c r="BO24" s="18" t="n"/>
      <c r="BP24" s="19" t="n"/>
      <c r="BQ24" s="19" t="n"/>
      <c r="BR24" s="18" t="n"/>
      <c r="BS24" s="19" t="n"/>
      <c r="BT24" s="19" t="n"/>
      <c r="BU24" s="18" t="n"/>
      <c r="BV24" s="19" t="n"/>
      <c r="BW24" s="19" t="n"/>
      <c r="BX24" s="18" t="n"/>
      <c r="BY24" s="19" t="n"/>
      <c r="BZ24" s="19" t="n"/>
      <c r="CA24" s="18" t="n"/>
      <c r="CB24" s="19" t="n"/>
      <c r="CC24" s="19" t="n"/>
      <c r="CD24" s="18" t="n"/>
      <c r="CE24" s="19" t="n"/>
      <c r="CF24" s="19" t="n"/>
      <c r="CG24" s="18" t="n"/>
      <c r="CH24" s="19" t="n"/>
      <c r="CI24" s="19" t="n"/>
      <c r="CJ24" s="18" t="n"/>
      <c r="CK24" s="19" t="n"/>
      <c r="CL24" s="19" t="n"/>
      <c r="CM24" s="18" t="n"/>
      <c r="CN24" s="19" t="n"/>
      <c r="CO24" s="19" t="n"/>
      <c r="CP24" s="18" t="n"/>
      <c r="CQ24" s="19" t="n"/>
      <c r="CR24" s="19" t="n"/>
    </row>
    <row r="25">
      <c r="A25" s="15">
        <f>IF(명부!A19="","",명부!A19)</f>
        <v/>
      </c>
      <c r="B25" s="16">
        <f>IF(명부!C19="","",명부!C19)</f>
        <v/>
      </c>
      <c r="C25" s="17">
        <f>IF(명부!E19="","",명부!E19)</f>
        <v/>
      </c>
      <c r="D25" s="18" t="n"/>
      <c r="E25" s="19" t="n"/>
      <c r="F25" s="19" t="n"/>
      <c r="G25" s="18" t="n"/>
      <c r="H25" s="19" t="n"/>
      <c r="I25" s="19" t="n"/>
      <c r="J25" s="18" t="n"/>
      <c r="K25" s="19" t="n"/>
      <c r="L25" s="19" t="n"/>
      <c r="M25" s="18" t="n"/>
      <c r="N25" s="19" t="n"/>
      <c r="O25" s="19" t="n"/>
      <c r="P25" s="18" t="n"/>
      <c r="Q25" s="19" t="n"/>
      <c r="R25" s="19" t="n"/>
      <c r="S25" s="18" t="n"/>
      <c r="T25" s="19" t="n"/>
      <c r="U25" s="19" t="n"/>
      <c r="V25" s="18" t="n"/>
      <c r="W25" s="19" t="n"/>
      <c r="X25" s="19" t="n"/>
      <c r="Y25" s="18" t="n"/>
      <c r="Z25" s="19" t="n"/>
      <c r="AA25" s="19" t="n"/>
      <c r="AB25" s="18" t="n"/>
      <c r="AC25" s="19" t="n"/>
      <c r="AD25" s="19" t="n"/>
      <c r="AE25" s="18" t="n"/>
      <c r="AF25" s="19" t="n"/>
      <c r="AG25" s="19" t="n"/>
      <c r="AH25" s="18" t="n"/>
      <c r="AI25" s="19" t="n"/>
      <c r="AJ25" s="19" t="n"/>
      <c r="AK25" s="18" t="n"/>
      <c r="AL25" s="19" t="n"/>
      <c r="AM25" s="19" t="n"/>
      <c r="AN25" s="18" t="n"/>
      <c r="AO25" s="19" t="n"/>
      <c r="AP25" s="19" t="n"/>
      <c r="AQ25" s="18" t="n"/>
      <c r="AR25" s="19" t="n"/>
      <c r="AS25" s="19" t="n"/>
      <c r="AT25" s="18" t="n"/>
      <c r="AU25" s="19" t="n"/>
      <c r="AV25" s="19" t="n"/>
      <c r="AW25" s="18" t="n"/>
      <c r="AX25" s="19" t="n"/>
      <c r="AY25" s="19" t="n"/>
      <c r="AZ25" s="18" t="n"/>
      <c r="BA25" s="19" t="n"/>
      <c r="BB25" s="19" t="n"/>
      <c r="BC25" s="18" t="n"/>
      <c r="BD25" s="19" t="n"/>
      <c r="BE25" s="19" t="n"/>
      <c r="BF25" s="18" t="n"/>
      <c r="BG25" s="19" t="n"/>
      <c r="BH25" s="19" t="n"/>
      <c r="BI25" s="18" t="n"/>
      <c r="BJ25" s="19" t="n"/>
      <c r="BK25" s="19" t="n"/>
      <c r="BL25" s="18" t="n"/>
      <c r="BM25" s="19" t="n"/>
      <c r="BN25" s="19" t="n"/>
      <c r="BO25" s="18" t="n"/>
      <c r="BP25" s="19" t="n"/>
      <c r="BQ25" s="19" t="n"/>
      <c r="BR25" s="18" t="n"/>
      <c r="BS25" s="19" t="n"/>
      <c r="BT25" s="19" t="n"/>
      <c r="BU25" s="18" t="n"/>
      <c r="BV25" s="19" t="n"/>
      <c r="BW25" s="19" t="n"/>
      <c r="BX25" s="18" t="n"/>
      <c r="BY25" s="19" t="n"/>
      <c r="BZ25" s="19" t="n"/>
      <c r="CA25" s="18" t="n"/>
      <c r="CB25" s="19" t="n"/>
      <c r="CC25" s="19" t="n"/>
      <c r="CD25" s="18" t="n"/>
      <c r="CE25" s="19" t="n"/>
      <c r="CF25" s="19" t="n"/>
      <c r="CG25" s="18" t="n"/>
      <c r="CH25" s="19" t="n"/>
      <c r="CI25" s="19" t="n"/>
      <c r="CJ25" s="18" t="n"/>
      <c r="CK25" s="19" t="n"/>
      <c r="CL25" s="19" t="n"/>
      <c r="CM25" s="18" t="n"/>
      <c r="CN25" s="19" t="n"/>
      <c r="CO25" s="19" t="n"/>
      <c r="CP25" s="18" t="n"/>
      <c r="CQ25" s="19" t="n"/>
      <c r="CR25" s="19" t="n"/>
    </row>
    <row r="26">
      <c r="A26" s="15">
        <f>IF(명부!A20="","",명부!A20)</f>
        <v/>
      </c>
      <c r="B26" s="16">
        <f>IF(명부!C20="","",명부!C20)</f>
        <v/>
      </c>
      <c r="C26" s="17">
        <f>IF(명부!E20="","",명부!E20)</f>
        <v/>
      </c>
      <c r="D26" s="18" t="n"/>
      <c r="E26" s="19" t="n"/>
      <c r="F26" s="19" t="n"/>
      <c r="G26" s="18" t="n"/>
      <c r="H26" s="19" t="n"/>
      <c r="I26" s="19" t="n"/>
      <c r="J26" s="18" t="n"/>
      <c r="K26" s="19" t="n"/>
      <c r="L26" s="19" t="n"/>
      <c r="M26" s="18" t="n"/>
      <c r="N26" s="19" t="n"/>
      <c r="O26" s="19" t="n"/>
      <c r="P26" s="18" t="n"/>
      <c r="Q26" s="19" t="n"/>
      <c r="R26" s="19" t="n"/>
      <c r="S26" s="18" t="n"/>
      <c r="T26" s="19" t="n"/>
      <c r="U26" s="19" t="n"/>
      <c r="V26" s="18" t="n"/>
      <c r="W26" s="19" t="n"/>
      <c r="X26" s="19" t="n"/>
      <c r="Y26" s="18" t="n"/>
      <c r="Z26" s="19" t="n"/>
      <c r="AA26" s="19" t="n"/>
      <c r="AB26" s="18" t="n"/>
      <c r="AC26" s="19" t="n"/>
      <c r="AD26" s="19" t="n"/>
      <c r="AE26" s="18" t="n"/>
      <c r="AF26" s="19" t="n"/>
      <c r="AG26" s="19" t="n"/>
      <c r="AH26" s="18" t="n"/>
      <c r="AI26" s="19" t="n"/>
      <c r="AJ26" s="19" t="n"/>
      <c r="AK26" s="18" t="n"/>
      <c r="AL26" s="19" t="n"/>
      <c r="AM26" s="19" t="n"/>
      <c r="AN26" s="18" t="n"/>
      <c r="AO26" s="19" t="n"/>
      <c r="AP26" s="19" t="n"/>
      <c r="AQ26" s="18" t="n"/>
      <c r="AR26" s="19" t="n"/>
      <c r="AS26" s="19" t="n"/>
      <c r="AT26" s="18" t="n"/>
      <c r="AU26" s="19" t="n"/>
      <c r="AV26" s="19" t="n"/>
      <c r="AW26" s="18" t="n"/>
      <c r="AX26" s="19" t="n"/>
      <c r="AY26" s="19" t="n"/>
      <c r="AZ26" s="18" t="n"/>
      <c r="BA26" s="19" t="n"/>
      <c r="BB26" s="19" t="n"/>
      <c r="BC26" s="18" t="n"/>
      <c r="BD26" s="19" t="n"/>
      <c r="BE26" s="19" t="n"/>
      <c r="BF26" s="18" t="n"/>
      <c r="BG26" s="19" t="n"/>
      <c r="BH26" s="19" t="n"/>
      <c r="BI26" s="18" t="n"/>
      <c r="BJ26" s="19" t="n"/>
      <c r="BK26" s="19" t="n"/>
      <c r="BL26" s="18" t="n"/>
      <c r="BM26" s="19" t="n"/>
      <c r="BN26" s="19" t="n"/>
      <c r="BO26" s="18" t="n"/>
      <c r="BP26" s="19" t="n"/>
      <c r="BQ26" s="19" t="n"/>
      <c r="BR26" s="18" t="n"/>
      <c r="BS26" s="19" t="n"/>
      <c r="BT26" s="19" t="n"/>
      <c r="BU26" s="18" t="n"/>
      <c r="BV26" s="19" t="n"/>
      <c r="BW26" s="19" t="n"/>
      <c r="BX26" s="18" t="n"/>
      <c r="BY26" s="19" t="n"/>
      <c r="BZ26" s="19" t="n"/>
      <c r="CA26" s="18" t="n"/>
      <c r="CB26" s="19" t="n"/>
      <c r="CC26" s="19" t="n"/>
      <c r="CD26" s="18" t="n"/>
      <c r="CE26" s="19" t="n"/>
      <c r="CF26" s="19" t="n"/>
      <c r="CG26" s="18" t="n"/>
      <c r="CH26" s="19" t="n"/>
      <c r="CI26" s="19" t="n"/>
      <c r="CJ26" s="18" t="n"/>
      <c r="CK26" s="19" t="n"/>
      <c r="CL26" s="19" t="n"/>
      <c r="CM26" s="18" t="n"/>
      <c r="CN26" s="19" t="n"/>
      <c r="CO26" s="19" t="n"/>
      <c r="CP26" s="18" t="n"/>
      <c r="CQ26" s="19" t="n"/>
      <c r="CR26" s="19" t="n"/>
    </row>
    <row r="27">
      <c r="A27" s="15">
        <f>IF(명부!A21="","",명부!A21)</f>
        <v/>
      </c>
      <c r="B27" s="16">
        <f>IF(명부!C21="","",명부!C21)</f>
        <v/>
      </c>
      <c r="C27" s="17">
        <f>IF(명부!E21="","",명부!E21)</f>
        <v/>
      </c>
      <c r="D27" s="18" t="n"/>
      <c r="E27" s="19" t="n"/>
      <c r="F27" s="19" t="n"/>
      <c r="G27" s="18" t="n"/>
      <c r="H27" s="19" t="n"/>
      <c r="I27" s="19" t="n"/>
      <c r="J27" s="18" t="n"/>
      <c r="K27" s="19" t="n"/>
      <c r="L27" s="19" t="n"/>
      <c r="M27" s="18" t="n"/>
      <c r="N27" s="19" t="n"/>
      <c r="O27" s="19" t="n"/>
      <c r="P27" s="18" t="n"/>
      <c r="Q27" s="19" t="n"/>
      <c r="R27" s="19" t="n"/>
      <c r="S27" s="18" t="n"/>
      <c r="T27" s="19" t="n"/>
      <c r="U27" s="19" t="n"/>
      <c r="V27" s="18" t="n"/>
      <c r="W27" s="19" t="n"/>
      <c r="X27" s="19" t="n"/>
      <c r="Y27" s="18" t="n"/>
      <c r="Z27" s="19" t="n"/>
      <c r="AA27" s="19" t="n"/>
      <c r="AB27" s="18" t="n"/>
      <c r="AC27" s="19" t="n"/>
      <c r="AD27" s="19" t="n"/>
      <c r="AE27" s="18" t="n"/>
      <c r="AF27" s="19" t="n"/>
      <c r="AG27" s="19" t="n"/>
      <c r="AH27" s="18" t="n"/>
      <c r="AI27" s="19" t="n"/>
      <c r="AJ27" s="19" t="n"/>
      <c r="AK27" s="18" t="n"/>
      <c r="AL27" s="19" t="n"/>
      <c r="AM27" s="19" t="n"/>
      <c r="AN27" s="18" t="n"/>
      <c r="AO27" s="19" t="n"/>
      <c r="AP27" s="19" t="n"/>
      <c r="AQ27" s="18" t="n"/>
      <c r="AR27" s="19" t="n"/>
      <c r="AS27" s="19" t="n"/>
      <c r="AT27" s="18" t="n"/>
      <c r="AU27" s="19" t="n"/>
      <c r="AV27" s="19" t="n"/>
      <c r="AW27" s="18" t="n"/>
      <c r="AX27" s="19" t="n"/>
      <c r="AY27" s="19" t="n"/>
      <c r="AZ27" s="18" t="n"/>
      <c r="BA27" s="19" t="n"/>
      <c r="BB27" s="19" t="n"/>
      <c r="BC27" s="18" t="n"/>
      <c r="BD27" s="19" t="n"/>
      <c r="BE27" s="19" t="n"/>
      <c r="BF27" s="18" t="n"/>
      <c r="BG27" s="19" t="n"/>
      <c r="BH27" s="19" t="n"/>
      <c r="BI27" s="18" t="n"/>
      <c r="BJ27" s="19" t="n"/>
      <c r="BK27" s="19" t="n"/>
      <c r="BL27" s="18" t="n"/>
      <c r="BM27" s="19" t="n"/>
      <c r="BN27" s="19" t="n"/>
      <c r="BO27" s="18" t="n"/>
      <c r="BP27" s="19" t="n"/>
      <c r="BQ27" s="19" t="n"/>
      <c r="BR27" s="18" t="n"/>
      <c r="BS27" s="19" t="n"/>
      <c r="BT27" s="19" t="n"/>
      <c r="BU27" s="18" t="n"/>
      <c r="BV27" s="19" t="n"/>
      <c r="BW27" s="19" t="n"/>
      <c r="BX27" s="18" t="n"/>
      <c r="BY27" s="19" t="n"/>
      <c r="BZ27" s="19" t="n"/>
      <c r="CA27" s="18" t="n"/>
      <c r="CB27" s="19" t="n"/>
      <c r="CC27" s="19" t="n"/>
      <c r="CD27" s="18" t="n"/>
      <c r="CE27" s="19" t="n"/>
      <c r="CF27" s="19" t="n"/>
      <c r="CG27" s="18" t="n"/>
      <c r="CH27" s="19" t="n"/>
      <c r="CI27" s="19" t="n"/>
      <c r="CJ27" s="18" t="n"/>
      <c r="CK27" s="19" t="n"/>
      <c r="CL27" s="19" t="n"/>
      <c r="CM27" s="18" t="n"/>
      <c r="CN27" s="19" t="n"/>
      <c r="CO27" s="19" t="n"/>
      <c r="CP27" s="18" t="n"/>
      <c r="CQ27" s="19" t="n"/>
      <c r="CR27" s="19" t="n"/>
    </row>
    <row r="28">
      <c r="A28" s="15">
        <f>IF(명부!A22="","",명부!A22)</f>
        <v/>
      </c>
      <c r="B28" s="16">
        <f>IF(명부!C22="","",명부!C22)</f>
        <v/>
      </c>
      <c r="C28" s="17">
        <f>IF(명부!E22="","",명부!E22)</f>
        <v/>
      </c>
      <c r="D28" s="18" t="n"/>
      <c r="E28" s="19" t="n"/>
      <c r="F28" s="19" t="n"/>
      <c r="G28" s="18" t="n"/>
      <c r="H28" s="19" t="n"/>
      <c r="I28" s="19" t="n"/>
      <c r="J28" s="18" t="n"/>
      <c r="K28" s="19" t="n"/>
      <c r="L28" s="19" t="n"/>
      <c r="M28" s="18" t="n"/>
      <c r="N28" s="19" t="n"/>
      <c r="O28" s="19" t="n"/>
      <c r="P28" s="18" t="n"/>
      <c r="Q28" s="19" t="n"/>
      <c r="R28" s="19" t="n"/>
      <c r="S28" s="18" t="n"/>
      <c r="T28" s="19" t="n"/>
      <c r="U28" s="19" t="n"/>
      <c r="V28" s="18" t="n"/>
      <c r="W28" s="19" t="n"/>
      <c r="X28" s="19" t="n"/>
      <c r="Y28" s="18" t="n"/>
      <c r="Z28" s="19" t="n"/>
      <c r="AA28" s="19" t="n"/>
      <c r="AB28" s="18" t="n"/>
      <c r="AC28" s="19" t="n"/>
      <c r="AD28" s="19" t="n"/>
      <c r="AE28" s="18" t="n"/>
      <c r="AF28" s="19" t="n"/>
      <c r="AG28" s="19" t="n"/>
      <c r="AH28" s="18" t="n"/>
      <c r="AI28" s="19" t="n"/>
      <c r="AJ28" s="19" t="n"/>
      <c r="AK28" s="18" t="n"/>
      <c r="AL28" s="19" t="n"/>
      <c r="AM28" s="19" t="n"/>
      <c r="AN28" s="18" t="n"/>
      <c r="AO28" s="19" t="n"/>
      <c r="AP28" s="19" t="n"/>
      <c r="AQ28" s="18" t="n"/>
      <c r="AR28" s="19" t="n"/>
      <c r="AS28" s="19" t="n"/>
      <c r="AT28" s="18" t="n"/>
      <c r="AU28" s="19" t="n"/>
      <c r="AV28" s="19" t="n"/>
      <c r="AW28" s="18" t="n"/>
      <c r="AX28" s="19" t="n"/>
      <c r="AY28" s="19" t="n"/>
      <c r="AZ28" s="18" t="n"/>
      <c r="BA28" s="19" t="n"/>
      <c r="BB28" s="19" t="n"/>
      <c r="BC28" s="18" t="n"/>
      <c r="BD28" s="19" t="n"/>
      <c r="BE28" s="19" t="n"/>
      <c r="BF28" s="18" t="n"/>
      <c r="BG28" s="19" t="n"/>
      <c r="BH28" s="19" t="n"/>
      <c r="BI28" s="18" t="n"/>
      <c r="BJ28" s="19" t="n"/>
      <c r="BK28" s="19" t="n"/>
      <c r="BL28" s="18" t="n"/>
      <c r="BM28" s="19" t="n"/>
      <c r="BN28" s="19" t="n"/>
      <c r="BO28" s="18" t="n"/>
      <c r="BP28" s="19" t="n"/>
      <c r="BQ28" s="19" t="n"/>
      <c r="BR28" s="18" t="n"/>
      <c r="BS28" s="19" t="n"/>
      <c r="BT28" s="19" t="n"/>
      <c r="BU28" s="18" t="n"/>
      <c r="BV28" s="19" t="n"/>
      <c r="BW28" s="19" t="n"/>
      <c r="BX28" s="18" t="n"/>
      <c r="BY28" s="19" t="n"/>
      <c r="BZ28" s="19" t="n"/>
      <c r="CA28" s="18" t="n"/>
      <c r="CB28" s="19" t="n"/>
      <c r="CC28" s="19" t="n"/>
      <c r="CD28" s="18" t="n"/>
      <c r="CE28" s="19" t="n"/>
      <c r="CF28" s="19" t="n"/>
      <c r="CG28" s="18" t="n"/>
      <c r="CH28" s="19" t="n"/>
      <c r="CI28" s="19" t="n"/>
      <c r="CJ28" s="18" t="n"/>
      <c r="CK28" s="19" t="n"/>
      <c r="CL28" s="19" t="n"/>
      <c r="CM28" s="18" t="n"/>
      <c r="CN28" s="19" t="n"/>
      <c r="CO28" s="19" t="n"/>
      <c r="CP28" s="18" t="n"/>
      <c r="CQ28" s="19" t="n"/>
      <c r="CR28" s="19" t="n"/>
    </row>
    <row r="29">
      <c r="A29" s="15">
        <f>IF(명부!A23="","",명부!A23)</f>
        <v/>
      </c>
      <c r="B29" s="16">
        <f>IF(명부!C23="","",명부!C23)</f>
        <v/>
      </c>
      <c r="C29" s="17">
        <f>IF(명부!E23="","",명부!E23)</f>
        <v/>
      </c>
      <c r="D29" s="18" t="n"/>
      <c r="E29" s="19" t="n"/>
      <c r="F29" s="19" t="n"/>
      <c r="G29" s="18" t="n"/>
      <c r="H29" s="19" t="n"/>
      <c r="I29" s="19" t="n"/>
      <c r="J29" s="18" t="n"/>
      <c r="K29" s="19" t="n"/>
      <c r="L29" s="19" t="n"/>
      <c r="M29" s="18" t="n"/>
      <c r="N29" s="19" t="n"/>
      <c r="O29" s="19" t="n"/>
      <c r="P29" s="18" t="n"/>
      <c r="Q29" s="19" t="n"/>
      <c r="R29" s="19" t="n"/>
      <c r="S29" s="18" t="n"/>
      <c r="T29" s="19" t="n"/>
      <c r="U29" s="19" t="n"/>
      <c r="V29" s="18" t="n"/>
      <c r="W29" s="19" t="n"/>
      <c r="X29" s="19" t="n"/>
      <c r="Y29" s="18" t="n"/>
      <c r="Z29" s="19" t="n"/>
      <c r="AA29" s="19" t="n"/>
      <c r="AB29" s="18" t="n"/>
      <c r="AC29" s="19" t="n"/>
      <c r="AD29" s="19" t="n"/>
      <c r="AE29" s="18" t="n"/>
      <c r="AF29" s="19" t="n"/>
      <c r="AG29" s="19" t="n"/>
      <c r="AH29" s="18" t="n"/>
      <c r="AI29" s="19" t="n"/>
      <c r="AJ29" s="19" t="n"/>
      <c r="AK29" s="18" t="n"/>
      <c r="AL29" s="19" t="n"/>
      <c r="AM29" s="19" t="n"/>
      <c r="AN29" s="18" t="n"/>
      <c r="AO29" s="19" t="n"/>
      <c r="AP29" s="19" t="n"/>
      <c r="AQ29" s="18" t="n"/>
      <c r="AR29" s="19" t="n"/>
      <c r="AS29" s="19" t="n"/>
      <c r="AT29" s="18" t="n"/>
      <c r="AU29" s="19" t="n"/>
      <c r="AV29" s="19" t="n"/>
      <c r="AW29" s="18" t="n"/>
      <c r="AX29" s="19" t="n"/>
      <c r="AY29" s="19" t="n"/>
      <c r="AZ29" s="18" t="n"/>
      <c r="BA29" s="19" t="n"/>
      <c r="BB29" s="19" t="n"/>
      <c r="BC29" s="18" t="n"/>
      <c r="BD29" s="19" t="n"/>
      <c r="BE29" s="19" t="n"/>
      <c r="BF29" s="18" t="n"/>
      <c r="BG29" s="19" t="n"/>
      <c r="BH29" s="19" t="n"/>
      <c r="BI29" s="18" t="n"/>
      <c r="BJ29" s="19" t="n"/>
      <c r="BK29" s="19" t="n"/>
      <c r="BL29" s="18" t="n"/>
      <c r="BM29" s="19" t="n"/>
      <c r="BN29" s="19" t="n"/>
      <c r="BO29" s="18" t="n"/>
      <c r="BP29" s="19" t="n"/>
      <c r="BQ29" s="19" t="n"/>
      <c r="BR29" s="18" t="n"/>
      <c r="BS29" s="19" t="n"/>
      <c r="BT29" s="19" t="n"/>
      <c r="BU29" s="18" t="n"/>
      <c r="BV29" s="19" t="n"/>
      <c r="BW29" s="19" t="n"/>
      <c r="BX29" s="18" t="n"/>
      <c r="BY29" s="19" t="n"/>
      <c r="BZ29" s="19" t="n"/>
      <c r="CA29" s="18" t="n"/>
      <c r="CB29" s="19" t="n"/>
      <c r="CC29" s="19" t="n"/>
      <c r="CD29" s="18" t="n"/>
      <c r="CE29" s="19" t="n"/>
      <c r="CF29" s="19" t="n"/>
      <c r="CG29" s="18" t="n"/>
      <c r="CH29" s="19" t="n"/>
      <c r="CI29" s="19" t="n"/>
      <c r="CJ29" s="18" t="n"/>
      <c r="CK29" s="19" t="n"/>
      <c r="CL29" s="19" t="n"/>
      <c r="CM29" s="18" t="n"/>
      <c r="CN29" s="19" t="n"/>
      <c r="CO29" s="19" t="n"/>
      <c r="CP29" s="18" t="n"/>
      <c r="CQ29" s="19" t="n"/>
      <c r="CR29" s="19" t="n"/>
    </row>
    <row r="30">
      <c r="A30" s="15">
        <f>IF(명부!A24="","",명부!A24)</f>
        <v/>
      </c>
      <c r="B30" s="16">
        <f>IF(명부!C24="","",명부!C24)</f>
        <v/>
      </c>
      <c r="C30" s="17">
        <f>IF(명부!E24="","",명부!E24)</f>
        <v/>
      </c>
      <c r="D30" s="18" t="n"/>
      <c r="E30" s="19" t="n"/>
      <c r="F30" s="19" t="n"/>
      <c r="G30" s="18" t="n"/>
      <c r="H30" s="19" t="n"/>
      <c r="I30" s="19" t="n"/>
      <c r="J30" s="18" t="n"/>
      <c r="K30" s="19" t="n"/>
      <c r="L30" s="19" t="n"/>
      <c r="M30" s="18" t="n"/>
      <c r="N30" s="19" t="n"/>
      <c r="O30" s="19" t="n"/>
      <c r="P30" s="18" t="n"/>
      <c r="Q30" s="19" t="n"/>
      <c r="R30" s="19" t="n"/>
      <c r="S30" s="18" t="n"/>
      <c r="T30" s="19" t="n"/>
      <c r="U30" s="19" t="n"/>
      <c r="V30" s="18" t="n"/>
      <c r="W30" s="19" t="n"/>
      <c r="X30" s="19" t="n"/>
      <c r="Y30" s="18" t="n"/>
      <c r="Z30" s="19" t="n"/>
      <c r="AA30" s="19" t="n"/>
      <c r="AB30" s="18" t="n"/>
      <c r="AC30" s="19" t="n"/>
      <c r="AD30" s="19" t="n"/>
      <c r="AE30" s="18" t="n"/>
      <c r="AF30" s="19" t="n"/>
      <c r="AG30" s="19" t="n"/>
      <c r="AH30" s="18" t="n"/>
      <c r="AI30" s="19" t="n"/>
      <c r="AJ30" s="19" t="n"/>
      <c r="AK30" s="18" t="n"/>
      <c r="AL30" s="19" t="n"/>
      <c r="AM30" s="19" t="n"/>
      <c r="AN30" s="18" t="n"/>
      <c r="AO30" s="19" t="n"/>
      <c r="AP30" s="19" t="n"/>
      <c r="AQ30" s="18" t="n"/>
      <c r="AR30" s="19" t="n"/>
      <c r="AS30" s="19" t="n"/>
      <c r="AT30" s="18" t="n"/>
      <c r="AU30" s="19" t="n"/>
      <c r="AV30" s="19" t="n"/>
      <c r="AW30" s="18" t="n"/>
      <c r="AX30" s="19" t="n"/>
      <c r="AY30" s="19" t="n"/>
      <c r="AZ30" s="18" t="n"/>
      <c r="BA30" s="19" t="n"/>
      <c r="BB30" s="19" t="n"/>
      <c r="BC30" s="18" t="n"/>
      <c r="BD30" s="19" t="n"/>
      <c r="BE30" s="19" t="n"/>
      <c r="BF30" s="18" t="n"/>
      <c r="BG30" s="19" t="n"/>
      <c r="BH30" s="19" t="n"/>
      <c r="BI30" s="18" t="n"/>
      <c r="BJ30" s="19" t="n"/>
      <c r="BK30" s="19" t="n"/>
      <c r="BL30" s="18" t="n"/>
      <c r="BM30" s="19" t="n"/>
      <c r="BN30" s="19" t="n"/>
      <c r="BO30" s="18" t="n"/>
      <c r="BP30" s="19" t="n"/>
      <c r="BQ30" s="19" t="n"/>
      <c r="BR30" s="18" t="n"/>
      <c r="BS30" s="19" t="n"/>
      <c r="BT30" s="19" t="n"/>
      <c r="BU30" s="18" t="n"/>
      <c r="BV30" s="19" t="n"/>
      <c r="BW30" s="19" t="n"/>
      <c r="BX30" s="18" t="n"/>
      <c r="BY30" s="19" t="n"/>
      <c r="BZ30" s="19" t="n"/>
      <c r="CA30" s="18" t="n"/>
      <c r="CB30" s="19" t="n"/>
      <c r="CC30" s="19" t="n"/>
      <c r="CD30" s="18" t="n"/>
      <c r="CE30" s="19" t="n"/>
      <c r="CF30" s="19" t="n"/>
      <c r="CG30" s="18" t="n"/>
      <c r="CH30" s="19" t="n"/>
      <c r="CI30" s="19" t="n"/>
      <c r="CJ30" s="18" t="n"/>
      <c r="CK30" s="19" t="n"/>
      <c r="CL30" s="19" t="n"/>
      <c r="CM30" s="18" t="n"/>
      <c r="CN30" s="19" t="n"/>
      <c r="CO30" s="19" t="n"/>
      <c r="CP30" s="18" t="n"/>
      <c r="CQ30" s="19" t="n"/>
      <c r="CR30" s="19" t="n"/>
    </row>
    <row r="31">
      <c r="A31" s="15">
        <f>IF(명부!A25="","",명부!A25)</f>
        <v/>
      </c>
      <c r="B31" s="16">
        <f>IF(명부!C25="","",명부!C25)</f>
        <v/>
      </c>
      <c r="C31" s="17">
        <f>IF(명부!E25="","",명부!E25)</f>
        <v/>
      </c>
      <c r="D31" s="18" t="n"/>
      <c r="E31" s="19" t="n"/>
      <c r="F31" s="19" t="n"/>
      <c r="G31" s="18" t="n"/>
      <c r="H31" s="19" t="n"/>
      <c r="I31" s="19" t="n"/>
      <c r="J31" s="18" t="n"/>
      <c r="K31" s="19" t="n"/>
      <c r="L31" s="19" t="n"/>
      <c r="M31" s="18" t="n"/>
      <c r="N31" s="19" t="n"/>
      <c r="O31" s="19" t="n"/>
      <c r="P31" s="18" t="n"/>
      <c r="Q31" s="19" t="n"/>
      <c r="R31" s="19" t="n"/>
      <c r="S31" s="18" t="n"/>
      <c r="T31" s="19" t="n"/>
      <c r="U31" s="19" t="n"/>
      <c r="V31" s="18" t="n"/>
      <c r="W31" s="19" t="n"/>
      <c r="X31" s="19" t="n"/>
      <c r="Y31" s="18" t="n"/>
      <c r="Z31" s="19" t="n"/>
      <c r="AA31" s="19" t="n"/>
      <c r="AB31" s="18" t="n"/>
      <c r="AC31" s="19" t="n"/>
      <c r="AD31" s="19" t="n"/>
      <c r="AE31" s="18" t="n"/>
      <c r="AF31" s="19" t="n"/>
      <c r="AG31" s="19" t="n"/>
      <c r="AH31" s="18" t="n"/>
      <c r="AI31" s="19" t="n"/>
      <c r="AJ31" s="19" t="n"/>
      <c r="AK31" s="18" t="n"/>
      <c r="AL31" s="19" t="n"/>
      <c r="AM31" s="19" t="n"/>
      <c r="AN31" s="18" t="n"/>
      <c r="AO31" s="19" t="n"/>
      <c r="AP31" s="19" t="n"/>
      <c r="AQ31" s="18" t="n"/>
      <c r="AR31" s="19" t="n"/>
      <c r="AS31" s="19" t="n"/>
      <c r="AT31" s="18" t="n"/>
      <c r="AU31" s="19" t="n"/>
      <c r="AV31" s="19" t="n"/>
      <c r="AW31" s="18" t="n"/>
      <c r="AX31" s="19" t="n"/>
      <c r="AY31" s="19" t="n"/>
      <c r="AZ31" s="18" t="n"/>
      <c r="BA31" s="19" t="n"/>
      <c r="BB31" s="19" t="n"/>
      <c r="BC31" s="18" t="n"/>
      <c r="BD31" s="19" t="n"/>
      <c r="BE31" s="19" t="n"/>
      <c r="BF31" s="18" t="n"/>
      <c r="BG31" s="19" t="n"/>
      <c r="BH31" s="19" t="n"/>
      <c r="BI31" s="18" t="n"/>
      <c r="BJ31" s="19" t="n"/>
      <c r="BK31" s="19" t="n"/>
      <c r="BL31" s="18" t="n"/>
      <c r="BM31" s="19" t="n"/>
      <c r="BN31" s="19" t="n"/>
      <c r="BO31" s="18" t="n"/>
      <c r="BP31" s="19" t="n"/>
      <c r="BQ31" s="19" t="n"/>
      <c r="BR31" s="18" t="n"/>
      <c r="BS31" s="19" t="n"/>
      <c r="BT31" s="19" t="n"/>
      <c r="BU31" s="18" t="n"/>
      <c r="BV31" s="19" t="n"/>
      <c r="BW31" s="19" t="n"/>
      <c r="BX31" s="18" t="n"/>
      <c r="BY31" s="19" t="n"/>
      <c r="BZ31" s="19" t="n"/>
      <c r="CA31" s="18" t="n"/>
      <c r="CB31" s="19" t="n"/>
      <c r="CC31" s="19" t="n"/>
      <c r="CD31" s="18" t="n"/>
      <c r="CE31" s="19" t="n"/>
      <c r="CF31" s="19" t="n"/>
      <c r="CG31" s="18" t="n"/>
      <c r="CH31" s="19" t="n"/>
      <c r="CI31" s="19" t="n"/>
      <c r="CJ31" s="18" t="n"/>
      <c r="CK31" s="19" t="n"/>
      <c r="CL31" s="19" t="n"/>
      <c r="CM31" s="18" t="n"/>
      <c r="CN31" s="19" t="n"/>
      <c r="CO31" s="19" t="n"/>
      <c r="CP31" s="18" t="n"/>
      <c r="CQ31" s="19" t="n"/>
      <c r="CR31" s="19" t="n"/>
    </row>
    <row r="33">
      <c r="A33" s="20" t="inlineStr">
        <is>
          <t>8시간 인원</t>
        </is>
      </c>
      <c r="B33" s="21" t="n"/>
      <c r="C33" s="21" t="n"/>
      <c r="D33" s="12">
        <f>IF(D$6="휴일","",SUMPRODUCT((명부!$F$2:$F$25&lt;&gt;"Y")*(시간!$D$92:$D$115)))</f>
        <v/>
      </c>
      <c r="E33" s="22" t="n"/>
      <c r="F33" s="22" t="n"/>
      <c r="G33" s="12">
        <f>IF(G$6="휴일","",SUMPRODUCT((명부!$F$2:$F$25&lt;&gt;"Y")*(시간!$E$92:$E$115)))</f>
        <v/>
      </c>
      <c r="H33" s="22" t="n"/>
      <c r="I33" s="22" t="n"/>
      <c r="J33" s="12">
        <f>IF(J$6="휴일","",SUMPRODUCT((명부!$F$2:$F$25&lt;&gt;"Y")*(시간!$F$92:$F$115)))</f>
        <v/>
      </c>
      <c r="K33" s="22" t="n"/>
      <c r="L33" s="22" t="n"/>
      <c r="M33" s="12">
        <f>IF(M$6="휴일","",SUMPRODUCT((명부!$F$2:$F$25&lt;&gt;"Y")*(시간!$G$92:$G$115)))</f>
        <v/>
      </c>
      <c r="N33" s="22" t="n"/>
      <c r="O33" s="22" t="n"/>
      <c r="P33" s="12">
        <f>IF(P$6="휴일","",SUMPRODUCT((명부!$F$2:$F$25&lt;&gt;"Y")*(시간!$H$92:$H$115)))</f>
        <v/>
      </c>
      <c r="Q33" s="22" t="n"/>
      <c r="R33" s="22" t="n"/>
      <c r="S33" s="12">
        <f>IF(S$6="휴일","",SUMPRODUCT((명부!$F$2:$F$25&lt;&gt;"Y")*(시간!$I$92:$I$115)))</f>
        <v/>
      </c>
      <c r="T33" s="22" t="n"/>
      <c r="U33" s="22" t="n"/>
      <c r="V33" s="12">
        <f>IF(V$6="휴일","",SUMPRODUCT((명부!$F$2:$F$25&lt;&gt;"Y")*(시간!$J$92:$J$115)))</f>
        <v/>
      </c>
      <c r="W33" s="22" t="n"/>
      <c r="X33" s="22" t="n"/>
      <c r="Y33" s="12">
        <f>IF(Y$6="휴일","",SUMPRODUCT((명부!$F$2:$F$25&lt;&gt;"Y")*(시간!$K$92:$K$115)))</f>
        <v/>
      </c>
      <c r="Z33" s="22" t="n"/>
      <c r="AA33" s="22" t="n"/>
      <c r="AB33" s="12">
        <f>IF(AB$6="휴일","",SUMPRODUCT((명부!$F$2:$F$25&lt;&gt;"Y")*(시간!$L$92:$L$115)))</f>
        <v/>
      </c>
      <c r="AC33" s="22" t="n"/>
      <c r="AD33" s="22" t="n"/>
      <c r="AE33" s="12">
        <f>IF(AE$6="휴일","",SUMPRODUCT((명부!$F$2:$F$25&lt;&gt;"Y")*(시간!$M$92:$M$115)))</f>
        <v/>
      </c>
      <c r="AF33" s="22" t="n"/>
      <c r="AG33" s="22" t="n"/>
      <c r="AH33" s="12">
        <f>IF(AH$6="휴일","",SUMPRODUCT((명부!$F$2:$F$25&lt;&gt;"Y")*(시간!$N$92:$N$115)))</f>
        <v/>
      </c>
      <c r="AI33" s="22" t="n"/>
      <c r="AJ33" s="22" t="n"/>
      <c r="AK33" s="12">
        <f>IF(AK$6="휴일","",SUMPRODUCT((명부!$F$2:$F$25&lt;&gt;"Y")*(시간!$O$92:$O$115)))</f>
        <v/>
      </c>
      <c r="AL33" s="22" t="n"/>
      <c r="AM33" s="22" t="n"/>
      <c r="AN33" s="12">
        <f>IF(AN$6="휴일","",SUMPRODUCT((명부!$F$2:$F$25&lt;&gt;"Y")*(시간!$P$92:$P$115)))</f>
        <v/>
      </c>
      <c r="AO33" s="22" t="n"/>
      <c r="AP33" s="22" t="n"/>
      <c r="AQ33" s="12">
        <f>IF(AQ$6="휴일","",SUMPRODUCT((명부!$F$2:$F$25&lt;&gt;"Y")*(시간!$Q$92:$Q$115)))</f>
        <v/>
      </c>
      <c r="AR33" s="22" t="n"/>
      <c r="AS33" s="22" t="n"/>
      <c r="AT33" s="12">
        <f>IF(AT$6="휴일","",SUMPRODUCT((명부!$F$2:$F$25&lt;&gt;"Y")*(시간!$R$92:$R$115)))</f>
        <v/>
      </c>
      <c r="AU33" s="22" t="n"/>
      <c r="AV33" s="22" t="n"/>
      <c r="AW33" s="12">
        <f>IF(AW$6="휴일","",SUMPRODUCT((명부!$F$2:$F$25&lt;&gt;"Y")*(시간!$S$92:$S$115)))</f>
        <v/>
      </c>
      <c r="AX33" s="22" t="n"/>
      <c r="AY33" s="22" t="n"/>
      <c r="AZ33" s="12">
        <f>IF(AZ$6="휴일","",SUMPRODUCT((명부!$F$2:$F$25&lt;&gt;"Y")*(시간!$T$92:$T$115)))</f>
        <v/>
      </c>
      <c r="BA33" s="22" t="n"/>
      <c r="BB33" s="22" t="n"/>
      <c r="BC33" s="12">
        <f>IF(BC$6="휴일","",SUMPRODUCT((명부!$F$2:$F$25&lt;&gt;"Y")*(시간!$U$92:$U$115)))</f>
        <v/>
      </c>
      <c r="BD33" s="22" t="n"/>
      <c r="BE33" s="22" t="n"/>
      <c r="BF33" s="12">
        <f>IF(BF$6="휴일","",SUMPRODUCT((명부!$F$2:$F$25&lt;&gt;"Y")*(시간!$V$92:$V$115)))</f>
        <v/>
      </c>
      <c r="BG33" s="22" t="n"/>
      <c r="BH33" s="22" t="n"/>
      <c r="BI33" s="12">
        <f>IF(BI$6="휴일","",SUMPRODUCT((명부!$F$2:$F$25&lt;&gt;"Y")*(시간!$W$92:$W$115)))</f>
        <v/>
      </c>
      <c r="BJ33" s="22" t="n"/>
      <c r="BK33" s="22" t="n"/>
      <c r="BL33" s="12">
        <f>IF(BL$6="휴일","",SUMPRODUCT((명부!$F$2:$F$25&lt;&gt;"Y")*(시간!$X$92:$X$115)))</f>
        <v/>
      </c>
      <c r="BM33" s="22" t="n"/>
      <c r="BN33" s="22" t="n"/>
      <c r="BO33" s="12">
        <f>IF(BO$6="휴일","",SUMPRODUCT((명부!$F$2:$F$25&lt;&gt;"Y")*(시간!$Y$92:$Y$115)))</f>
        <v/>
      </c>
      <c r="BP33" s="22" t="n"/>
      <c r="BQ33" s="22" t="n"/>
      <c r="BR33" s="12">
        <f>IF(BR$6="휴일","",SUMPRODUCT((명부!$F$2:$F$25&lt;&gt;"Y")*(시간!$Z$92:$Z$115)))</f>
        <v/>
      </c>
      <c r="BS33" s="22" t="n"/>
      <c r="BT33" s="22" t="n"/>
      <c r="BU33" s="12">
        <f>IF(BU$6="휴일","",SUMPRODUCT((명부!$F$2:$F$25&lt;&gt;"Y")*(시간!$AA$92:$AA$115)))</f>
        <v/>
      </c>
      <c r="BV33" s="22" t="n"/>
      <c r="BW33" s="22" t="n"/>
      <c r="BX33" s="12">
        <f>IF(BX$6="휴일","",SUMPRODUCT((명부!$F$2:$F$25&lt;&gt;"Y")*(시간!$AB$92:$AB$115)))</f>
        <v/>
      </c>
      <c r="BY33" s="22" t="n"/>
      <c r="BZ33" s="22" t="n"/>
      <c r="CA33" s="12">
        <f>IF(CA$6="휴일","",SUMPRODUCT((명부!$F$2:$F$25&lt;&gt;"Y")*(시간!$AC$92:$AC$115)))</f>
        <v/>
      </c>
      <c r="CB33" s="22" t="n"/>
      <c r="CC33" s="22" t="n"/>
      <c r="CD33" s="12">
        <f>IF(CD$6="휴일","",SUMPRODUCT((명부!$F$2:$F$25&lt;&gt;"Y")*(시간!$AD$92:$AD$115)))</f>
        <v/>
      </c>
      <c r="CE33" s="22" t="n"/>
      <c r="CF33" s="22" t="n"/>
      <c r="CG33" s="12">
        <f>IF(CG$6="휴일","",SUMPRODUCT((명부!$F$2:$F$25&lt;&gt;"Y")*(시간!$AE$92:$AE$115)))</f>
        <v/>
      </c>
      <c r="CH33" s="22" t="n"/>
      <c r="CI33" s="22" t="n"/>
      <c r="CJ33" s="12">
        <f>IF(CJ$6="휴일","",SUMPRODUCT((명부!$F$2:$F$25&lt;&gt;"Y")*(시간!$AF$92:$AF$115)))</f>
        <v/>
      </c>
      <c r="CK33" s="22" t="n"/>
      <c r="CL33" s="22" t="n"/>
      <c r="CM33" s="12">
        <f>IF(CM$6="휴일","",SUMPRODUCT((명부!$F$2:$F$25&lt;&gt;"Y")*(시간!$AG$92:$AG$115)))</f>
        <v/>
      </c>
      <c r="CN33" s="22" t="n"/>
      <c r="CO33" s="22" t="n"/>
      <c r="CP33" s="12">
        <f>IF(CP$6="휴일","",SUMPRODUCT((명부!$F$2:$F$25&lt;&gt;"Y")*(시간!$AH$92:$AH$115)))</f>
        <v/>
      </c>
      <c r="CQ33" s="22" t="n"/>
      <c r="CR33" s="22" t="n"/>
    </row>
    <row r="34">
      <c r="A34" s="20" t="inlineStr">
        <is>
          <t>필요 인원 (30%)</t>
        </is>
      </c>
      <c r="B34" s="21" t="n"/>
      <c r="C34" s="21" t="n"/>
      <c r="D34" s="13">
        <f>IF(D$6="휴일","",ROUNDUP(명부!$B$27*0.3,0))</f>
        <v/>
      </c>
      <c r="E34" s="22" t="n"/>
      <c r="F34" s="22" t="n"/>
      <c r="G34" s="13">
        <f>IF(G$6="휴일","",ROUNDUP(명부!$B$27*0.3,0))</f>
        <v/>
      </c>
      <c r="H34" s="22" t="n"/>
      <c r="I34" s="22" t="n"/>
      <c r="J34" s="13">
        <f>IF(J$6="휴일","",ROUNDUP(명부!$B$27*0.3,0))</f>
        <v/>
      </c>
      <c r="K34" s="22" t="n"/>
      <c r="L34" s="22" t="n"/>
      <c r="M34" s="13">
        <f>IF(M$6="휴일","",ROUNDUP(명부!$B$27*0.3,0))</f>
        <v/>
      </c>
      <c r="N34" s="22" t="n"/>
      <c r="O34" s="22" t="n"/>
      <c r="P34" s="13">
        <f>IF(P$6="휴일","",ROUNDUP(명부!$B$27*0.3,0))</f>
        <v/>
      </c>
      <c r="Q34" s="22" t="n"/>
      <c r="R34" s="22" t="n"/>
      <c r="S34" s="13">
        <f>IF(S$6="휴일","",ROUNDUP(명부!$B$27*0.3,0))</f>
        <v/>
      </c>
      <c r="T34" s="22" t="n"/>
      <c r="U34" s="22" t="n"/>
      <c r="V34" s="13">
        <f>IF(V$6="휴일","",ROUNDUP(명부!$B$27*0.3,0))</f>
        <v/>
      </c>
      <c r="W34" s="22" t="n"/>
      <c r="X34" s="22" t="n"/>
      <c r="Y34" s="13">
        <f>IF(Y$6="휴일","",ROUNDUP(명부!$B$27*0.3,0))</f>
        <v/>
      </c>
      <c r="Z34" s="22" t="n"/>
      <c r="AA34" s="22" t="n"/>
      <c r="AB34" s="13">
        <f>IF(AB$6="휴일","",ROUNDUP(명부!$B$27*0.3,0))</f>
        <v/>
      </c>
      <c r="AC34" s="22" t="n"/>
      <c r="AD34" s="22" t="n"/>
      <c r="AE34" s="13">
        <f>IF(AE$6="휴일","",ROUNDUP(명부!$B$27*0.3,0))</f>
        <v/>
      </c>
      <c r="AF34" s="22" t="n"/>
      <c r="AG34" s="22" t="n"/>
      <c r="AH34" s="13">
        <f>IF(AH$6="휴일","",ROUNDUP(명부!$B$27*0.3,0))</f>
        <v/>
      </c>
      <c r="AI34" s="22" t="n"/>
      <c r="AJ34" s="22" t="n"/>
      <c r="AK34" s="13">
        <f>IF(AK$6="휴일","",ROUNDUP(명부!$B$27*0.3,0))</f>
        <v/>
      </c>
      <c r="AL34" s="22" t="n"/>
      <c r="AM34" s="22" t="n"/>
      <c r="AN34" s="13">
        <f>IF(AN$6="휴일","",ROUNDUP(명부!$B$27*0.3,0))</f>
        <v/>
      </c>
      <c r="AO34" s="22" t="n"/>
      <c r="AP34" s="22" t="n"/>
      <c r="AQ34" s="13">
        <f>IF(AQ$6="휴일","",ROUNDUP(명부!$B$27*0.3,0))</f>
        <v/>
      </c>
      <c r="AR34" s="22" t="n"/>
      <c r="AS34" s="22" t="n"/>
      <c r="AT34" s="13">
        <f>IF(AT$6="휴일","",ROUNDUP(명부!$B$27*0.3,0))</f>
        <v/>
      </c>
      <c r="AU34" s="22" t="n"/>
      <c r="AV34" s="22" t="n"/>
      <c r="AW34" s="13">
        <f>IF(AW$6="휴일","",ROUNDUP(명부!$B$27*0.3,0))</f>
        <v/>
      </c>
      <c r="AX34" s="22" t="n"/>
      <c r="AY34" s="22" t="n"/>
      <c r="AZ34" s="13">
        <f>IF(AZ$6="휴일","",ROUNDUP(명부!$B$27*0.3,0))</f>
        <v/>
      </c>
      <c r="BA34" s="22" t="n"/>
      <c r="BB34" s="22" t="n"/>
      <c r="BC34" s="13">
        <f>IF(BC$6="휴일","",ROUNDUP(명부!$B$27*0.3,0))</f>
        <v/>
      </c>
      <c r="BD34" s="22" t="n"/>
      <c r="BE34" s="22" t="n"/>
      <c r="BF34" s="13">
        <f>IF(BF$6="휴일","",ROUNDUP(명부!$B$27*0.3,0))</f>
        <v/>
      </c>
      <c r="BG34" s="22" t="n"/>
      <c r="BH34" s="22" t="n"/>
      <c r="BI34" s="13">
        <f>IF(BI$6="휴일","",ROUNDUP(명부!$B$27*0.3,0))</f>
        <v/>
      </c>
      <c r="BJ34" s="22" t="n"/>
      <c r="BK34" s="22" t="n"/>
      <c r="BL34" s="13">
        <f>IF(BL$6="휴일","",ROUNDUP(명부!$B$27*0.3,0))</f>
        <v/>
      </c>
      <c r="BM34" s="22" t="n"/>
      <c r="BN34" s="22" t="n"/>
      <c r="BO34" s="13">
        <f>IF(BO$6="휴일","",ROUNDUP(명부!$B$27*0.3,0))</f>
        <v/>
      </c>
      <c r="BP34" s="22" t="n"/>
      <c r="BQ34" s="22" t="n"/>
      <c r="BR34" s="13">
        <f>IF(BR$6="휴일","",ROUNDUP(명부!$B$27*0.3,0))</f>
        <v/>
      </c>
      <c r="BS34" s="22" t="n"/>
      <c r="BT34" s="22" t="n"/>
      <c r="BU34" s="13">
        <f>IF(BU$6="휴일","",ROUNDUP(명부!$B$27*0.3,0))</f>
        <v/>
      </c>
      <c r="BV34" s="22" t="n"/>
      <c r="BW34" s="22" t="n"/>
      <c r="BX34" s="13">
        <f>IF(BX$6="휴일","",ROUNDUP(명부!$B$27*0.3,0))</f>
        <v/>
      </c>
      <c r="BY34" s="22" t="n"/>
      <c r="BZ34" s="22" t="n"/>
      <c r="CA34" s="13">
        <f>IF(CA$6="휴일","",ROUNDUP(명부!$B$27*0.3,0))</f>
        <v/>
      </c>
      <c r="CB34" s="22" t="n"/>
      <c r="CC34" s="22" t="n"/>
      <c r="CD34" s="13">
        <f>IF(CD$6="휴일","",ROUNDUP(명부!$B$27*0.3,0))</f>
        <v/>
      </c>
      <c r="CE34" s="22" t="n"/>
      <c r="CF34" s="22" t="n"/>
      <c r="CG34" s="13">
        <f>IF(CG$6="휴일","",ROUNDUP(명부!$B$27*0.3,0))</f>
        <v/>
      </c>
      <c r="CH34" s="22" t="n"/>
      <c r="CI34" s="22" t="n"/>
      <c r="CJ34" s="13">
        <f>IF(CJ$6="휴일","",ROUNDUP(명부!$B$27*0.3,0))</f>
        <v/>
      </c>
      <c r="CK34" s="22" t="n"/>
      <c r="CL34" s="22" t="n"/>
      <c r="CM34" s="13">
        <f>IF(CM$6="휴일","",ROUNDUP(명부!$B$27*0.3,0))</f>
        <v/>
      </c>
      <c r="CN34" s="22" t="n"/>
      <c r="CO34" s="22" t="n"/>
      <c r="CP34" s="13">
        <f>IF(CP$6="휴일","",ROUNDUP(명부!$B$27*0.3,0))</f>
        <v/>
      </c>
      <c r="CQ34" s="22" t="n"/>
      <c r="CR34" s="22" t="n"/>
    </row>
    <row r="35">
      <c r="A35" s="20" t="inlineStr">
        <is>
          <t>판정</t>
        </is>
      </c>
      <c r="B35" s="21" t="n"/>
      <c r="C35" s="21" t="n"/>
      <c r="D35" s="23">
        <f>IF(D$6="휴일","",IF(D33&gt;=D34,"충족","미달"))</f>
        <v/>
      </c>
      <c r="E35" s="10" t="n"/>
      <c r="F35" s="11" t="n"/>
      <c r="G35" s="23">
        <f>IF(G$6="휴일","",IF(G33&gt;=G34,"충족","미달"))</f>
        <v/>
      </c>
      <c r="H35" s="10" t="n"/>
      <c r="I35" s="11" t="n"/>
      <c r="J35" s="23">
        <f>IF(J$6="휴일","",IF(J33&gt;=J34,"충족","미달"))</f>
        <v/>
      </c>
      <c r="K35" s="10" t="n"/>
      <c r="L35" s="11" t="n"/>
      <c r="M35" s="23">
        <f>IF(M$6="휴일","",IF(M33&gt;=M34,"충족","미달"))</f>
        <v/>
      </c>
      <c r="N35" s="10" t="n"/>
      <c r="O35" s="11" t="n"/>
      <c r="P35" s="23">
        <f>IF(P$6="휴일","",IF(P33&gt;=P34,"충족","미달"))</f>
        <v/>
      </c>
      <c r="Q35" s="10" t="n"/>
      <c r="R35" s="11" t="n"/>
      <c r="S35" s="23">
        <f>IF(S$6="휴일","",IF(S33&gt;=S34,"충족","미달"))</f>
        <v/>
      </c>
      <c r="T35" s="10" t="n"/>
      <c r="U35" s="11" t="n"/>
      <c r="V35" s="23">
        <f>IF(V$6="휴일","",IF(V33&gt;=V34,"충족","미달"))</f>
        <v/>
      </c>
      <c r="W35" s="10" t="n"/>
      <c r="X35" s="11" t="n"/>
      <c r="Y35" s="23">
        <f>IF(Y$6="휴일","",IF(Y33&gt;=Y34,"충족","미달"))</f>
        <v/>
      </c>
      <c r="Z35" s="10" t="n"/>
      <c r="AA35" s="11" t="n"/>
      <c r="AB35" s="23">
        <f>IF(AB$6="휴일","",IF(AB33&gt;=AB34,"충족","미달"))</f>
        <v/>
      </c>
      <c r="AC35" s="10" t="n"/>
      <c r="AD35" s="11" t="n"/>
      <c r="AE35" s="23">
        <f>IF(AE$6="휴일","",IF(AE33&gt;=AE34,"충족","미달"))</f>
        <v/>
      </c>
      <c r="AF35" s="10" t="n"/>
      <c r="AG35" s="11" t="n"/>
      <c r="AH35" s="23">
        <f>IF(AH$6="휴일","",IF(AH33&gt;=AH34,"충족","미달"))</f>
        <v/>
      </c>
      <c r="AI35" s="10" t="n"/>
      <c r="AJ35" s="11" t="n"/>
      <c r="AK35" s="23">
        <f>IF(AK$6="휴일","",IF(AK33&gt;=AK34,"충족","미달"))</f>
        <v/>
      </c>
      <c r="AL35" s="10" t="n"/>
      <c r="AM35" s="11" t="n"/>
      <c r="AN35" s="23">
        <f>IF(AN$6="휴일","",IF(AN33&gt;=AN34,"충족","미달"))</f>
        <v/>
      </c>
      <c r="AO35" s="10" t="n"/>
      <c r="AP35" s="11" t="n"/>
      <c r="AQ35" s="23">
        <f>IF(AQ$6="휴일","",IF(AQ33&gt;=AQ34,"충족","미달"))</f>
        <v/>
      </c>
      <c r="AR35" s="10" t="n"/>
      <c r="AS35" s="11" t="n"/>
      <c r="AT35" s="23">
        <f>IF(AT$6="휴일","",IF(AT33&gt;=AT34,"충족","미달"))</f>
        <v/>
      </c>
      <c r="AU35" s="10" t="n"/>
      <c r="AV35" s="11" t="n"/>
      <c r="AW35" s="23">
        <f>IF(AW$6="휴일","",IF(AW33&gt;=AW34,"충족","미달"))</f>
        <v/>
      </c>
      <c r="AX35" s="10" t="n"/>
      <c r="AY35" s="11" t="n"/>
      <c r="AZ35" s="23">
        <f>IF(AZ$6="휴일","",IF(AZ33&gt;=AZ34,"충족","미달"))</f>
        <v/>
      </c>
      <c r="BA35" s="10" t="n"/>
      <c r="BB35" s="11" t="n"/>
      <c r="BC35" s="23">
        <f>IF(BC$6="휴일","",IF(BC33&gt;=BC34,"충족","미달"))</f>
        <v/>
      </c>
      <c r="BD35" s="10" t="n"/>
      <c r="BE35" s="11" t="n"/>
      <c r="BF35" s="23">
        <f>IF(BF$6="휴일","",IF(BF33&gt;=BF34,"충족","미달"))</f>
        <v/>
      </c>
      <c r="BG35" s="10" t="n"/>
      <c r="BH35" s="11" t="n"/>
      <c r="BI35" s="23">
        <f>IF(BI$6="휴일","",IF(BI33&gt;=BI34,"충족","미달"))</f>
        <v/>
      </c>
      <c r="BJ35" s="10" t="n"/>
      <c r="BK35" s="11" t="n"/>
      <c r="BL35" s="23">
        <f>IF(BL$6="휴일","",IF(BL33&gt;=BL34,"충족","미달"))</f>
        <v/>
      </c>
      <c r="BM35" s="10" t="n"/>
      <c r="BN35" s="11" t="n"/>
      <c r="BO35" s="23">
        <f>IF(BO$6="휴일","",IF(BO33&gt;=BO34,"충족","미달"))</f>
        <v/>
      </c>
      <c r="BP35" s="10" t="n"/>
      <c r="BQ35" s="11" t="n"/>
      <c r="BR35" s="23">
        <f>IF(BR$6="휴일","",IF(BR33&gt;=BR34,"충족","미달"))</f>
        <v/>
      </c>
      <c r="BS35" s="10" t="n"/>
      <c r="BT35" s="11" t="n"/>
      <c r="BU35" s="23">
        <f>IF(BU$6="휴일","",IF(BU33&gt;=BU34,"충족","미달"))</f>
        <v/>
      </c>
      <c r="BV35" s="10" t="n"/>
      <c r="BW35" s="11" t="n"/>
      <c r="BX35" s="23">
        <f>IF(BX$6="휴일","",IF(BX33&gt;=BX34,"충족","미달"))</f>
        <v/>
      </c>
      <c r="BY35" s="10" t="n"/>
      <c r="BZ35" s="11" t="n"/>
      <c r="CA35" s="23">
        <f>IF(CA$6="휴일","",IF(CA33&gt;=CA34,"충족","미달"))</f>
        <v/>
      </c>
      <c r="CB35" s="10" t="n"/>
      <c r="CC35" s="11" t="n"/>
      <c r="CD35" s="23">
        <f>IF(CD$6="휴일","",IF(CD33&gt;=CD34,"충족","미달"))</f>
        <v/>
      </c>
      <c r="CE35" s="10" t="n"/>
      <c r="CF35" s="11" t="n"/>
      <c r="CG35" s="23">
        <f>IF(CG$6="휴일","",IF(CG33&gt;=CG34,"충족","미달"))</f>
        <v/>
      </c>
      <c r="CH35" s="10" t="n"/>
      <c r="CI35" s="11" t="n"/>
      <c r="CJ35" s="23">
        <f>IF(CJ$6="휴일","",IF(CJ33&gt;=CJ34,"충족","미달"))</f>
        <v/>
      </c>
      <c r="CK35" s="10" t="n"/>
      <c r="CL35" s="11" t="n"/>
      <c r="CM35" s="23">
        <f>IF(CM$6="휴일","",IF(CM33&gt;=CM34,"충족","미달"))</f>
        <v/>
      </c>
      <c r="CN35" s="10" t="n"/>
      <c r="CO35" s="11" t="n"/>
      <c r="CP35" s="23">
        <f>IF(CP$6="휴일","",IF(CP33&gt;=CP34,"충족","미달"))</f>
        <v/>
      </c>
      <c r="CQ35" s="10" t="n"/>
      <c r="CR35" s="11" t="n"/>
    </row>
    <row r="36">
      <c r="A36" s="20" t="inlineStr">
        <is>
          <t>직책자 8시간</t>
        </is>
      </c>
      <c r="B36" s="21" t="n"/>
      <c r="C36" s="21" t="n"/>
      <c r="D36" s="24">
        <f>IF(D$6="휴일","",SUMPRODUCT((명부!$F$2:$F$7&lt;&gt;"Y")*(시간!$D$92:$D$97)))</f>
        <v/>
      </c>
      <c r="E36" s="22" t="n"/>
      <c r="F36" s="22" t="n"/>
      <c r="G36" s="24">
        <f>IF(G$6="휴일","",SUMPRODUCT((명부!$F$2:$F$7&lt;&gt;"Y")*(시간!$E$92:$E$97)))</f>
        <v/>
      </c>
      <c r="H36" s="22" t="n"/>
      <c r="I36" s="22" t="n"/>
      <c r="J36" s="24">
        <f>IF(J$6="휴일","",SUMPRODUCT((명부!$F$2:$F$7&lt;&gt;"Y")*(시간!$F$92:$F$97)))</f>
        <v/>
      </c>
      <c r="K36" s="22" t="n"/>
      <c r="L36" s="22" t="n"/>
      <c r="M36" s="24">
        <f>IF(M$6="휴일","",SUMPRODUCT((명부!$F$2:$F$7&lt;&gt;"Y")*(시간!$G$92:$G$97)))</f>
        <v/>
      </c>
      <c r="N36" s="22" t="n"/>
      <c r="O36" s="22" t="n"/>
      <c r="P36" s="24">
        <f>IF(P$6="휴일","",SUMPRODUCT((명부!$F$2:$F$7&lt;&gt;"Y")*(시간!$H$92:$H$97)))</f>
        <v/>
      </c>
      <c r="Q36" s="22" t="n"/>
      <c r="R36" s="22" t="n"/>
      <c r="S36" s="24">
        <f>IF(S$6="휴일","",SUMPRODUCT((명부!$F$2:$F$7&lt;&gt;"Y")*(시간!$I$92:$I$97)))</f>
        <v/>
      </c>
      <c r="T36" s="22" t="n"/>
      <c r="U36" s="22" t="n"/>
      <c r="V36" s="24">
        <f>IF(V$6="휴일","",SUMPRODUCT((명부!$F$2:$F$7&lt;&gt;"Y")*(시간!$J$92:$J$97)))</f>
        <v/>
      </c>
      <c r="W36" s="22" t="n"/>
      <c r="X36" s="22" t="n"/>
      <c r="Y36" s="24">
        <f>IF(Y$6="휴일","",SUMPRODUCT((명부!$F$2:$F$7&lt;&gt;"Y")*(시간!$K$92:$K$97)))</f>
        <v/>
      </c>
      <c r="Z36" s="22" t="n"/>
      <c r="AA36" s="22" t="n"/>
      <c r="AB36" s="24">
        <f>IF(AB$6="휴일","",SUMPRODUCT((명부!$F$2:$F$7&lt;&gt;"Y")*(시간!$L$92:$L$97)))</f>
        <v/>
      </c>
      <c r="AC36" s="22" t="n"/>
      <c r="AD36" s="22" t="n"/>
      <c r="AE36" s="24">
        <f>IF(AE$6="휴일","",SUMPRODUCT((명부!$F$2:$F$7&lt;&gt;"Y")*(시간!$M$92:$M$97)))</f>
        <v/>
      </c>
      <c r="AF36" s="22" t="n"/>
      <c r="AG36" s="22" t="n"/>
      <c r="AH36" s="24">
        <f>IF(AH$6="휴일","",SUMPRODUCT((명부!$F$2:$F$7&lt;&gt;"Y")*(시간!$N$92:$N$97)))</f>
        <v/>
      </c>
      <c r="AI36" s="22" t="n"/>
      <c r="AJ36" s="22" t="n"/>
      <c r="AK36" s="24">
        <f>IF(AK$6="휴일","",SUMPRODUCT((명부!$F$2:$F$7&lt;&gt;"Y")*(시간!$O$92:$O$97)))</f>
        <v/>
      </c>
      <c r="AL36" s="22" t="n"/>
      <c r="AM36" s="22" t="n"/>
      <c r="AN36" s="24">
        <f>IF(AN$6="휴일","",SUMPRODUCT((명부!$F$2:$F$7&lt;&gt;"Y")*(시간!$P$92:$P$97)))</f>
        <v/>
      </c>
      <c r="AO36" s="22" t="n"/>
      <c r="AP36" s="22" t="n"/>
      <c r="AQ36" s="24">
        <f>IF(AQ$6="휴일","",SUMPRODUCT((명부!$F$2:$F$7&lt;&gt;"Y")*(시간!$Q$92:$Q$97)))</f>
        <v/>
      </c>
      <c r="AR36" s="22" t="n"/>
      <c r="AS36" s="22" t="n"/>
      <c r="AT36" s="24">
        <f>IF(AT$6="휴일","",SUMPRODUCT((명부!$F$2:$F$7&lt;&gt;"Y")*(시간!$R$92:$R$97)))</f>
        <v/>
      </c>
      <c r="AU36" s="22" t="n"/>
      <c r="AV36" s="22" t="n"/>
      <c r="AW36" s="24">
        <f>IF(AW$6="휴일","",SUMPRODUCT((명부!$F$2:$F$7&lt;&gt;"Y")*(시간!$S$92:$S$97)))</f>
        <v/>
      </c>
      <c r="AX36" s="22" t="n"/>
      <c r="AY36" s="22" t="n"/>
      <c r="AZ36" s="24">
        <f>IF(AZ$6="휴일","",SUMPRODUCT((명부!$F$2:$F$7&lt;&gt;"Y")*(시간!$T$92:$T$97)))</f>
        <v/>
      </c>
      <c r="BA36" s="22" t="n"/>
      <c r="BB36" s="22" t="n"/>
      <c r="BC36" s="24">
        <f>IF(BC$6="휴일","",SUMPRODUCT((명부!$F$2:$F$7&lt;&gt;"Y")*(시간!$U$92:$U$97)))</f>
        <v/>
      </c>
      <c r="BD36" s="22" t="n"/>
      <c r="BE36" s="22" t="n"/>
      <c r="BF36" s="24">
        <f>IF(BF$6="휴일","",SUMPRODUCT((명부!$F$2:$F$7&lt;&gt;"Y")*(시간!$V$92:$V$97)))</f>
        <v/>
      </c>
      <c r="BG36" s="22" t="n"/>
      <c r="BH36" s="22" t="n"/>
      <c r="BI36" s="24">
        <f>IF(BI$6="휴일","",SUMPRODUCT((명부!$F$2:$F$7&lt;&gt;"Y")*(시간!$W$92:$W$97)))</f>
        <v/>
      </c>
      <c r="BJ36" s="22" t="n"/>
      <c r="BK36" s="22" t="n"/>
      <c r="BL36" s="24">
        <f>IF(BL$6="휴일","",SUMPRODUCT((명부!$F$2:$F$7&lt;&gt;"Y")*(시간!$X$92:$X$97)))</f>
        <v/>
      </c>
      <c r="BM36" s="22" t="n"/>
      <c r="BN36" s="22" t="n"/>
      <c r="BO36" s="24">
        <f>IF(BO$6="휴일","",SUMPRODUCT((명부!$F$2:$F$7&lt;&gt;"Y")*(시간!$Y$92:$Y$97)))</f>
        <v/>
      </c>
      <c r="BP36" s="22" t="n"/>
      <c r="BQ36" s="22" t="n"/>
      <c r="BR36" s="24">
        <f>IF(BR$6="휴일","",SUMPRODUCT((명부!$F$2:$F$7&lt;&gt;"Y")*(시간!$Z$92:$Z$97)))</f>
        <v/>
      </c>
      <c r="BS36" s="22" t="n"/>
      <c r="BT36" s="22" t="n"/>
      <c r="BU36" s="24">
        <f>IF(BU$6="휴일","",SUMPRODUCT((명부!$F$2:$F$7&lt;&gt;"Y")*(시간!$AA$92:$AA$97)))</f>
        <v/>
      </c>
      <c r="BV36" s="22" t="n"/>
      <c r="BW36" s="22" t="n"/>
      <c r="BX36" s="24">
        <f>IF(BX$6="휴일","",SUMPRODUCT((명부!$F$2:$F$7&lt;&gt;"Y")*(시간!$AB$92:$AB$97)))</f>
        <v/>
      </c>
      <c r="BY36" s="22" t="n"/>
      <c r="BZ36" s="22" t="n"/>
      <c r="CA36" s="24">
        <f>IF(CA$6="휴일","",SUMPRODUCT((명부!$F$2:$F$7&lt;&gt;"Y")*(시간!$AC$92:$AC$97)))</f>
        <v/>
      </c>
      <c r="CB36" s="22" t="n"/>
      <c r="CC36" s="22" t="n"/>
      <c r="CD36" s="24">
        <f>IF(CD$6="휴일","",SUMPRODUCT((명부!$F$2:$F$7&lt;&gt;"Y")*(시간!$AD$92:$AD$97)))</f>
        <v/>
      </c>
      <c r="CE36" s="22" t="n"/>
      <c r="CF36" s="22" t="n"/>
      <c r="CG36" s="24">
        <f>IF(CG$6="휴일","",SUMPRODUCT((명부!$F$2:$F$7&lt;&gt;"Y")*(시간!$AE$92:$AE$97)))</f>
        <v/>
      </c>
      <c r="CH36" s="22" t="n"/>
      <c r="CI36" s="22" t="n"/>
      <c r="CJ36" s="24">
        <f>IF(CJ$6="휴일","",SUMPRODUCT((명부!$F$2:$F$7&lt;&gt;"Y")*(시간!$AF$92:$AF$97)))</f>
        <v/>
      </c>
      <c r="CK36" s="22" t="n"/>
      <c r="CL36" s="22" t="n"/>
      <c r="CM36" s="24">
        <f>IF(CM$6="휴일","",SUMPRODUCT((명부!$F$2:$F$7&lt;&gt;"Y")*(시간!$AG$92:$AG$97)))</f>
        <v/>
      </c>
      <c r="CN36" s="22" t="n"/>
      <c r="CO36" s="22" t="n"/>
      <c r="CP36" s="24">
        <f>IF(CP$6="휴일","",SUMPRODUCT((명부!$F$2:$F$7&lt;&gt;"Y")*(시간!$AH$92:$AH$97)))</f>
        <v/>
      </c>
      <c r="CQ36" s="22" t="n"/>
      <c r="CR36" s="22" t="n"/>
    </row>
    <row r="38">
      <c r="A38" s="5" t="inlineStr">
        <is>
          <t>판정이 「미달」인 날은 노랗게 강조된 칸이 조율 후보입니다 — 그 사람이 8시간 근무로 바꾸면 충족됩니다 (출장·교육·연차는 후보에서 제외). 빨간 칸은 규칙에 없는 조합이니 유형·출근·퇴근을 다시 고르세요.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55">
    <mergeCell ref="CA6:CC6"/>
    <mergeCell ref="AW6:AY6"/>
    <mergeCell ref="J35:L35"/>
    <mergeCell ref="AT35:AV35"/>
    <mergeCell ref="S6:U6"/>
    <mergeCell ref="BU6:BW6"/>
    <mergeCell ref="AZ35:BB35"/>
    <mergeCell ref="BL35:BN35"/>
    <mergeCell ref="AZ3:BB3"/>
    <mergeCell ref="J3:L3"/>
    <mergeCell ref="BL3:BN3"/>
    <mergeCell ref="CD3:CF3"/>
    <mergeCell ref="P5:R5"/>
    <mergeCell ref="BX3:BZ3"/>
    <mergeCell ref="BR6:BT6"/>
    <mergeCell ref="BL5:BN5"/>
    <mergeCell ref="AH3:AJ3"/>
    <mergeCell ref="P4:R4"/>
    <mergeCell ref="AB6:AD6"/>
    <mergeCell ref="CJ3:CL3"/>
    <mergeCell ref="AN6:AP6"/>
    <mergeCell ref="BF6:BH6"/>
    <mergeCell ref="CP6:CR6"/>
    <mergeCell ref="AH5:AJ5"/>
    <mergeCell ref="AZ6:BB6"/>
    <mergeCell ref="M5:O5"/>
    <mergeCell ref="CJ5:CL5"/>
    <mergeCell ref="S3:U3"/>
    <mergeCell ref="V4:X4"/>
    <mergeCell ref="AK3:AM3"/>
    <mergeCell ref="BX4:BZ4"/>
    <mergeCell ref="AH4:AJ4"/>
    <mergeCell ref="AW3:AY3"/>
    <mergeCell ref="Y5:AA5"/>
    <mergeCell ref="CG3:CI3"/>
    <mergeCell ref="CJ4:CL4"/>
    <mergeCell ref="G6:I6"/>
    <mergeCell ref="BX6:BZ6"/>
    <mergeCell ref="AK5:AM5"/>
    <mergeCell ref="AW5:AY5"/>
    <mergeCell ref="CG5:CI5"/>
    <mergeCell ref="M6:O6"/>
    <mergeCell ref="BC3:BE3"/>
    <mergeCell ref="Y6:AA6"/>
    <mergeCell ref="BO3:BQ3"/>
    <mergeCell ref="AQ5:AS5"/>
    <mergeCell ref="BI6:BK6"/>
    <mergeCell ref="BC5:BE5"/>
    <mergeCell ref="BU5:BW5"/>
    <mergeCell ref="CM6:CO6"/>
    <mergeCell ref="D3:F3"/>
    <mergeCell ref="G4:I4"/>
    <mergeCell ref="AQ4:AS4"/>
    <mergeCell ref="BO5:BQ5"/>
    <mergeCell ref="BI4:BK4"/>
    <mergeCell ref="P3:R3"/>
    <mergeCell ref="AE6:AG6"/>
    <mergeCell ref="BC4:BE4"/>
    <mergeCell ref="CM3:CO3"/>
    <mergeCell ref="BU4:BW4"/>
    <mergeCell ref="CG6:CI6"/>
    <mergeCell ref="AQ6:AS6"/>
    <mergeCell ref="D5:F5"/>
    <mergeCell ref="M4:O4"/>
    <mergeCell ref="BF5:BH5"/>
    <mergeCell ref="AB3:AD3"/>
    <mergeCell ref="CM5:CO5"/>
    <mergeCell ref="V3:X3"/>
    <mergeCell ref="Y4:AA4"/>
    <mergeCell ref="BR5:BT5"/>
    <mergeCell ref="AN3:AP3"/>
    <mergeCell ref="CA4:CC4"/>
    <mergeCell ref="J5:L5"/>
    <mergeCell ref="AB5:AD5"/>
    <mergeCell ref="AT6:AV6"/>
    <mergeCell ref="CM4:CO4"/>
    <mergeCell ref="V5:X5"/>
    <mergeCell ref="AN5:AP5"/>
    <mergeCell ref="BX5:BZ5"/>
    <mergeCell ref="AT3:AV3"/>
    <mergeCell ref="CP5:CR5"/>
    <mergeCell ref="AB4:AD4"/>
    <mergeCell ref="M35:O35"/>
    <mergeCell ref="CD35:CF35"/>
    <mergeCell ref="BF3:BH3"/>
    <mergeCell ref="P6:R6"/>
    <mergeCell ref="AN4:AP4"/>
    <mergeCell ref="Y35:AA35"/>
    <mergeCell ref="J6:L6"/>
    <mergeCell ref="BR3:BT3"/>
    <mergeCell ref="AT5:AV5"/>
    <mergeCell ref="BL6:BN6"/>
    <mergeCell ref="CJ35:CL35"/>
    <mergeCell ref="G3:I3"/>
    <mergeCell ref="J4:L4"/>
    <mergeCell ref="AT4:AV4"/>
    <mergeCell ref="BI3:BK3"/>
    <mergeCell ref="BL4:BN4"/>
    <mergeCell ref="AH6:AJ6"/>
    <mergeCell ref="BF4:BH4"/>
    <mergeCell ref="CJ6:CL6"/>
    <mergeCell ref="G5:I5"/>
    <mergeCell ref="M3:O3"/>
    <mergeCell ref="BI5:BK5"/>
    <mergeCell ref="BR4:BT4"/>
    <mergeCell ref="AK6:AM6"/>
    <mergeCell ref="CA3:CC3"/>
    <mergeCell ref="CD4:CF4"/>
    <mergeCell ref="AE5:AG5"/>
    <mergeCell ref="S4:U4"/>
    <mergeCell ref="D35:F35"/>
    <mergeCell ref="CA5:CC5"/>
    <mergeCell ref="BU35:BW35"/>
    <mergeCell ref="AE4:AG4"/>
    <mergeCell ref="BO35:BQ35"/>
    <mergeCell ref="P35:R35"/>
    <mergeCell ref="BO4:BQ4"/>
    <mergeCell ref="CG4:CI4"/>
    <mergeCell ref="BR35:BT35"/>
    <mergeCell ref="BC6:BE6"/>
    <mergeCell ref="BO6:BQ6"/>
    <mergeCell ref="AK4:AM4"/>
    <mergeCell ref="CD5:CF5"/>
    <mergeCell ref="V35:X35"/>
    <mergeCell ref="CM35:CO35"/>
    <mergeCell ref="BX35:BZ35"/>
    <mergeCell ref="AW4:AY4"/>
    <mergeCell ref="D6:F6"/>
    <mergeCell ref="AH35:AJ35"/>
    <mergeCell ref="AZ5:BB5"/>
    <mergeCell ref="CP35:CR35"/>
    <mergeCell ref="AZ4:BB4"/>
    <mergeCell ref="AK35:AM35"/>
    <mergeCell ref="V6:X6"/>
    <mergeCell ref="CP3:CR3"/>
    <mergeCell ref="AW35:AY35"/>
    <mergeCell ref="D4:F4"/>
    <mergeCell ref="G35:I35"/>
    <mergeCell ref="AQ35:AS35"/>
    <mergeCell ref="BI35:BK35"/>
    <mergeCell ref="S35:U35"/>
    <mergeCell ref="BC35:BE35"/>
    <mergeCell ref="S5:U5"/>
    <mergeCell ref="CD6:CF6"/>
    <mergeCell ref="CP4:CR4"/>
    <mergeCell ref="Y3:AA3"/>
    <mergeCell ref="BF35:BH35"/>
    <mergeCell ref="AE35:AG35"/>
    <mergeCell ref="BU3:BW3"/>
    <mergeCell ref="CG35:CI35"/>
    <mergeCell ref="CA35:CC35"/>
    <mergeCell ref="AB35:AD35"/>
    <mergeCell ref="AE3:AG3"/>
    <mergeCell ref="AN35:AP35"/>
    <mergeCell ref="AQ3:AS3"/>
  </mergeCells>
  <conditionalFormatting sqref="D8:F31">
    <cfRule type="expression" priority="1" dxfId="0" stopIfTrue="1">
      <formula>AND($D$35="미달",시간!$D120&gt;0)</formula>
    </cfRule>
    <cfRule type="expression" priority="2" dxfId="1">
      <formula>$D$6="휴일"</formula>
    </cfRule>
    <cfRule type="expression" priority="3" dxfId="2">
      <formula>AND($D8&lt;&gt;"",시간!$D36+시간!$D64=0)</formula>
    </cfRule>
    <cfRule type="expression" priority="4" dxfId="3">
      <formula>$D8&lt;&gt;""</formula>
    </cfRule>
  </conditionalFormatting>
  <conditionalFormatting sqref="D35:F35">
    <cfRule type="cellIs" priority="5" operator="equal" dxfId="2">
      <formula>"미달"</formula>
    </cfRule>
    <cfRule type="cellIs" priority="6" operator="equal" dxfId="4">
      <formula>"충족"</formula>
    </cfRule>
  </conditionalFormatting>
  <conditionalFormatting sqref="D36:F36">
    <cfRule type="cellIs" priority="7" operator="lessThan" dxfId="5">
      <formula>1</formula>
    </cfRule>
  </conditionalFormatting>
  <conditionalFormatting sqref="G8:I31">
    <cfRule type="expression" priority="8" dxfId="0" stopIfTrue="1">
      <formula>AND($G$35="미달",시간!$E120&gt;0)</formula>
    </cfRule>
    <cfRule type="expression" priority="9" dxfId="1">
      <formula>$G$6="휴일"</formula>
    </cfRule>
    <cfRule type="expression" priority="10" dxfId="2">
      <formula>AND($G8&lt;&gt;"",시간!$E36+시간!$E64=0)</formula>
    </cfRule>
    <cfRule type="expression" priority="11" dxfId="3">
      <formula>$G8&lt;&gt;""</formula>
    </cfRule>
  </conditionalFormatting>
  <conditionalFormatting sqref="G35:I35">
    <cfRule type="cellIs" priority="12" operator="equal" dxfId="2">
      <formula>"미달"</formula>
    </cfRule>
    <cfRule type="cellIs" priority="13" operator="equal" dxfId="4">
      <formula>"충족"</formula>
    </cfRule>
  </conditionalFormatting>
  <conditionalFormatting sqref="G36:I36">
    <cfRule type="cellIs" priority="14" operator="lessThan" dxfId="5">
      <formula>1</formula>
    </cfRule>
  </conditionalFormatting>
  <conditionalFormatting sqref="J8:L31">
    <cfRule type="expression" priority="15" dxfId="0" stopIfTrue="1">
      <formula>AND($J$35="미달",시간!$F120&gt;0)</formula>
    </cfRule>
    <cfRule type="expression" priority="16" dxfId="1">
      <formula>$J$6="휴일"</formula>
    </cfRule>
    <cfRule type="expression" priority="17" dxfId="2">
      <formula>AND($J8&lt;&gt;"",시간!$F36+시간!$F64=0)</formula>
    </cfRule>
    <cfRule type="expression" priority="18" dxfId="3">
      <formula>$J8&lt;&gt;""</formula>
    </cfRule>
  </conditionalFormatting>
  <conditionalFormatting sqref="J35:L35">
    <cfRule type="cellIs" priority="19" operator="equal" dxfId="2">
      <formula>"미달"</formula>
    </cfRule>
    <cfRule type="cellIs" priority="20" operator="equal" dxfId="4">
      <formula>"충족"</formula>
    </cfRule>
  </conditionalFormatting>
  <conditionalFormatting sqref="J36:L36">
    <cfRule type="cellIs" priority="21" operator="lessThan" dxfId="5">
      <formula>1</formula>
    </cfRule>
  </conditionalFormatting>
  <conditionalFormatting sqref="M8:O31">
    <cfRule type="expression" priority="22" dxfId="0" stopIfTrue="1">
      <formula>AND($M$35="미달",시간!$G120&gt;0)</formula>
    </cfRule>
    <cfRule type="expression" priority="23" dxfId="1">
      <formula>$M$6="휴일"</formula>
    </cfRule>
    <cfRule type="expression" priority="24" dxfId="2">
      <formula>AND($M8&lt;&gt;"",시간!$G36+시간!$G64=0)</formula>
    </cfRule>
    <cfRule type="expression" priority="25" dxfId="3">
      <formula>$M8&lt;&gt;""</formula>
    </cfRule>
  </conditionalFormatting>
  <conditionalFormatting sqref="M35:O35">
    <cfRule type="cellIs" priority="26" operator="equal" dxfId="2">
      <formula>"미달"</formula>
    </cfRule>
    <cfRule type="cellIs" priority="27" operator="equal" dxfId="4">
      <formula>"충족"</formula>
    </cfRule>
  </conditionalFormatting>
  <conditionalFormatting sqref="M36:O36">
    <cfRule type="cellIs" priority="28" operator="lessThan" dxfId="5">
      <formula>1</formula>
    </cfRule>
  </conditionalFormatting>
  <conditionalFormatting sqref="P8:R31">
    <cfRule type="expression" priority="29" dxfId="0" stopIfTrue="1">
      <formula>AND($P$35="미달",시간!$H120&gt;0)</formula>
    </cfRule>
    <cfRule type="expression" priority="30" dxfId="1">
      <formula>$P$6="휴일"</formula>
    </cfRule>
    <cfRule type="expression" priority="31" dxfId="2">
      <formula>AND($P8&lt;&gt;"",시간!$H36+시간!$H64=0)</formula>
    </cfRule>
    <cfRule type="expression" priority="32" dxfId="3">
      <formula>$P8&lt;&gt;""</formula>
    </cfRule>
  </conditionalFormatting>
  <conditionalFormatting sqref="P35:R35">
    <cfRule type="cellIs" priority="33" operator="equal" dxfId="2">
      <formula>"미달"</formula>
    </cfRule>
    <cfRule type="cellIs" priority="34" operator="equal" dxfId="4">
      <formula>"충족"</formula>
    </cfRule>
  </conditionalFormatting>
  <conditionalFormatting sqref="P36:R36">
    <cfRule type="cellIs" priority="35" operator="lessThan" dxfId="5">
      <formula>1</formula>
    </cfRule>
  </conditionalFormatting>
  <conditionalFormatting sqref="S8:U31">
    <cfRule type="expression" priority="36" dxfId="0" stopIfTrue="1">
      <formula>AND($S$35="미달",시간!$I120&gt;0)</formula>
    </cfRule>
    <cfRule type="expression" priority="37" dxfId="1">
      <formula>$S$6="휴일"</formula>
    </cfRule>
    <cfRule type="expression" priority="38" dxfId="2">
      <formula>AND($S8&lt;&gt;"",시간!$I36+시간!$I64=0)</formula>
    </cfRule>
    <cfRule type="expression" priority="39" dxfId="3">
      <formula>$S8&lt;&gt;""</formula>
    </cfRule>
  </conditionalFormatting>
  <conditionalFormatting sqref="S35:U35">
    <cfRule type="cellIs" priority="40" operator="equal" dxfId="2">
      <formula>"미달"</formula>
    </cfRule>
    <cfRule type="cellIs" priority="41" operator="equal" dxfId="4">
      <formula>"충족"</formula>
    </cfRule>
  </conditionalFormatting>
  <conditionalFormatting sqref="S36:U36">
    <cfRule type="cellIs" priority="42" operator="lessThan" dxfId="5">
      <formula>1</formula>
    </cfRule>
  </conditionalFormatting>
  <conditionalFormatting sqref="V8:X31">
    <cfRule type="expression" priority="43" dxfId="0" stopIfTrue="1">
      <formula>AND($V$35="미달",시간!$J120&gt;0)</formula>
    </cfRule>
    <cfRule type="expression" priority="44" dxfId="1">
      <formula>$V$6="휴일"</formula>
    </cfRule>
    <cfRule type="expression" priority="45" dxfId="2">
      <formula>AND($V8&lt;&gt;"",시간!$J36+시간!$J64=0)</formula>
    </cfRule>
    <cfRule type="expression" priority="46" dxfId="3">
      <formula>$V8&lt;&gt;""</formula>
    </cfRule>
  </conditionalFormatting>
  <conditionalFormatting sqref="V35:X35">
    <cfRule type="cellIs" priority="47" operator="equal" dxfId="2">
      <formula>"미달"</formula>
    </cfRule>
    <cfRule type="cellIs" priority="48" operator="equal" dxfId="4">
      <formula>"충족"</formula>
    </cfRule>
  </conditionalFormatting>
  <conditionalFormatting sqref="V36:X36">
    <cfRule type="cellIs" priority="49" operator="lessThan" dxfId="5">
      <formula>1</formula>
    </cfRule>
  </conditionalFormatting>
  <conditionalFormatting sqref="Y8:AA31">
    <cfRule type="expression" priority="50" dxfId="0" stopIfTrue="1">
      <formula>AND($Y$35="미달",시간!$K120&gt;0)</formula>
    </cfRule>
    <cfRule type="expression" priority="51" dxfId="1">
      <formula>$Y$6="휴일"</formula>
    </cfRule>
    <cfRule type="expression" priority="52" dxfId="2">
      <formula>AND($Y8&lt;&gt;"",시간!$K36+시간!$K64=0)</formula>
    </cfRule>
    <cfRule type="expression" priority="53" dxfId="3">
      <formula>$Y8&lt;&gt;""</formula>
    </cfRule>
  </conditionalFormatting>
  <conditionalFormatting sqref="Y35:AA35">
    <cfRule type="cellIs" priority="54" operator="equal" dxfId="2">
      <formula>"미달"</formula>
    </cfRule>
    <cfRule type="cellIs" priority="55" operator="equal" dxfId="4">
      <formula>"충족"</formula>
    </cfRule>
  </conditionalFormatting>
  <conditionalFormatting sqref="Y36:AA36">
    <cfRule type="cellIs" priority="56" operator="lessThan" dxfId="5">
      <formula>1</formula>
    </cfRule>
  </conditionalFormatting>
  <conditionalFormatting sqref="AB8:AD31">
    <cfRule type="expression" priority="57" dxfId="0" stopIfTrue="1">
      <formula>AND($AB$35="미달",시간!$L120&gt;0)</formula>
    </cfRule>
    <cfRule type="expression" priority="58" dxfId="1">
      <formula>$AB$6="휴일"</formula>
    </cfRule>
    <cfRule type="expression" priority="59" dxfId="2">
      <formula>AND($AB8&lt;&gt;"",시간!$L36+시간!$L64=0)</formula>
    </cfRule>
    <cfRule type="expression" priority="60" dxfId="3">
      <formula>$AB8&lt;&gt;""</formula>
    </cfRule>
  </conditionalFormatting>
  <conditionalFormatting sqref="AB35:AD35">
    <cfRule type="cellIs" priority="61" operator="equal" dxfId="2">
      <formula>"미달"</formula>
    </cfRule>
    <cfRule type="cellIs" priority="62" operator="equal" dxfId="4">
      <formula>"충족"</formula>
    </cfRule>
  </conditionalFormatting>
  <conditionalFormatting sqref="AB36:AD36">
    <cfRule type="cellIs" priority="63" operator="lessThan" dxfId="5">
      <formula>1</formula>
    </cfRule>
  </conditionalFormatting>
  <conditionalFormatting sqref="AE8:AG31">
    <cfRule type="expression" priority="64" dxfId="0" stopIfTrue="1">
      <formula>AND($AE$35="미달",시간!$M120&gt;0)</formula>
    </cfRule>
    <cfRule type="expression" priority="65" dxfId="1">
      <formula>$AE$6="휴일"</formula>
    </cfRule>
    <cfRule type="expression" priority="66" dxfId="2">
      <formula>AND($AE8&lt;&gt;"",시간!$M36+시간!$M64=0)</formula>
    </cfRule>
    <cfRule type="expression" priority="67" dxfId="3">
      <formula>$AE8&lt;&gt;""</formula>
    </cfRule>
  </conditionalFormatting>
  <conditionalFormatting sqref="AE35:AG35">
    <cfRule type="cellIs" priority="68" operator="equal" dxfId="2">
      <formula>"미달"</formula>
    </cfRule>
    <cfRule type="cellIs" priority="69" operator="equal" dxfId="4">
      <formula>"충족"</formula>
    </cfRule>
  </conditionalFormatting>
  <conditionalFormatting sqref="AE36:AG36">
    <cfRule type="cellIs" priority="70" operator="lessThan" dxfId="5">
      <formula>1</formula>
    </cfRule>
  </conditionalFormatting>
  <conditionalFormatting sqref="AH8:AJ31">
    <cfRule type="expression" priority="71" dxfId="0" stopIfTrue="1">
      <formula>AND($AH$35="미달",시간!$N120&gt;0)</formula>
    </cfRule>
    <cfRule type="expression" priority="72" dxfId="1">
      <formula>$AH$6="휴일"</formula>
    </cfRule>
    <cfRule type="expression" priority="73" dxfId="2">
      <formula>AND($AH8&lt;&gt;"",시간!$N36+시간!$N64=0)</formula>
    </cfRule>
    <cfRule type="expression" priority="74" dxfId="3">
      <formula>$AH8&lt;&gt;""</formula>
    </cfRule>
  </conditionalFormatting>
  <conditionalFormatting sqref="AH35:AJ35">
    <cfRule type="cellIs" priority="75" operator="equal" dxfId="2">
      <formula>"미달"</formula>
    </cfRule>
    <cfRule type="cellIs" priority="76" operator="equal" dxfId="4">
      <formula>"충족"</formula>
    </cfRule>
  </conditionalFormatting>
  <conditionalFormatting sqref="AH36:AJ36">
    <cfRule type="cellIs" priority="77" operator="lessThan" dxfId="5">
      <formula>1</formula>
    </cfRule>
  </conditionalFormatting>
  <conditionalFormatting sqref="AK8:AM31">
    <cfRule type="expression" priority="78" dxfId="0" stopIfTrue="1">
      <formula>AND($AK$35="미달",시간!$O120&gt;0)</formula>
    </cfRule>
    <cfRule type="expression" priority="79" dxfId="1">
      <formula>$AK$6="휴일"</formula>
    </cfRule>
    <cfRule type="expression" priority="80" dxfId="2">
      <formula>AND($AK8&lt;&gt;"",시간!$O36+시간!$O64=0)</formula>
    </cfRule>
    <cfRule type="expression" priority="81" dxfId="3">
      <formula>$AK8&lt;&gt;""</formula>
    </cfRule>
  </conditionalFormatting>
  <conditionalFormatting sqref="AK35:AM35">
    <cfRule type="cellIs" priority="82" operator="equal" dxfId="2">
      <formula>"미달"</formula>
    </cfRule>
    <cfRule type="cellIs" priority="83" operator="equal" dxfId="4">
      <formula>"충족"</formula>
    </cfRule>
  </conditionalFormatting>
  <conditionalFormatting sqref="AK36:AM36">
    <cfRule type="cellIs" priority="84" operator="lessThan" dxfId="5">
      <formula>1</formula>
    </cfRule>
  </conditionalFormatting>
  <conditionalFormatting sqref="AN8:AP31">
    <cfRule type="expression" priority="85" dxfId="0" stopIfTrue="1">
      <formula>AND($AN$35="미달",시간!$P120&gt;0)</formula>
    </cfRule>
    <cfRule type="expression" priority="86" dxfId="1">
      <formula>$AN$6="휴일"</formula>
    </cfRule>
    <cfRule type="expression" priority="87" dxfId="2">
      <formula>AND($AN8&lt;&gt;"",시간!$P36+시간!$P64=0)</formula>
    </cfRule>
    <cfRule type="expression" priority="88" dxfId="3">
      <formula>$AN8&lt;&gt;""</formula>
    </cfRule>
  </conditionalFormatting>
  <conditionalFormatting sqref="AN35:AP35">
    <cfRule type="cellIs" priority="89" operator="equal" dxfId="2">
      <formula>"미달"</formula>
    </cfRule>
    <cfRule type="cellIs" priority="90" operator="equal" dxfId="4">
      <formula>"충족"</formula>
    </cfRule>
  </conditionalFormatting>
  <conditionalFormatting sqref="AN36:AP36">
    <cfRule type="cellIs" priority="91" operator="lessThan" dxfId="5">
      <formula>1</formula>
    </cfRule>
  </conditionalFormatting>
  <conditionalFormatting sqref="AQ8:AS31">
    <cfRule type="expression" priority="92" dxfId="0" stopIfTrue="1">
      <formula>AND($AQ$35="미달",시간!$Q120&gt;0)</formula>
    </cfRule>
    <cfRule type="expression" priority="93" dxfId="1">
      <formula>$AQ$6="휴일"</formula>
    </cfRule>
    <cfRule type="expression" priority="94" dxfId="2">
      <formula>AND($AQ8&lt;&gt;"",시간!$Q36+시간!$Q64=0)</formula>
    </cfRule>
    <cfRule type="expression" priority="95" dxfId="3">
      <formula>$AQ8&lt;&gt;""</formula>
    </cfRule>
  </conditionalFormatting>
  <conditionalFormatting sqref="AQ35:AS35">
    <cfRule type="cellIs" priority="96" operator="equal" dxfId="2">
      <formula>"미달"</formula>
    </cfRule>
    <cfRule type="cellIs" priority="97" operator="equal" dxfId="4">
      <formula>"충족"</formula>
    </cfRule>
  </conditionalFormatting>
  <conditionalFormatting sqref="AQ36:AS36">
    <cfRule type="cellIs" priority="98" operator="lessThan" dxfId="5">
      <formula>1</formula>
    </cfRule>
  </conditionalFormatting>
  <conditionalFormatting sqref="AT8:AV31">
    <cfRule type="expression" priority="99" dxfId="0" stopIfTrue="1">
      <formula>AND($AT$35="미달",시간!$R120&gt;0)</formula>
    </cfRule>
    <cfRule type="expression" priority="100" dxfId="1">
      <formula>$AT$6="휴일"</formula>
    </cfRule>
    <cfRule type="expression" priority="101" dxfId="2">
      <formula>AND($AT8&lt;&gt;"",시간!$R36+시간!$R64=0)</formula>
    </cfRule>
    <cfRule type="expression" priority="102" dxfId="3">
      <formula>$AT8&lt;&gt;""</formula>
    </cfRule>
  </conditionalFormatting>
  <conditionalFormatting sqref="AT35:AV35">
    <cfRule type="cellIs" priority="103" operator="equal" dxfId="2">
      <formula>"미달"</formula>
    </cfRule>
    <cfRule type="cellIs" priority="104" operator="equal" dxfId="4">
      <formula>"충족"</formula>
    </cfRule>
  </conditionalFormatting>
  <conditionalFormatting sqref="AT36:AV36">
    <cfRule type="cellIs" priority="105" operator="lessThan" dxfId="5">
      <formula>1</formula>
    </cfRule>
  </conditionalFormatting>
  <conditionalFormatting sqref="AW8:AY31">
    <cfRule type="expression" priority="106" dxfId="0" stopIfTrue="1">
      <formula>AND($AW$35="미달",시간!$S120&gt;0)</formula>
    </cfRule>
    <cfRule type="expression" priority="107" dxfId="1">
      <formula>$AW$6="휴일"</formula>
    </cfRule>
    <cfRule type="expression" priority="108" dxfId="2">
      <formula>AND($AW8&lt;&gt;"",시간!$S36+시간!$S64=0)</formula>
    </cfRule>
    <cfRule type="expression" priority="109" dxfId="3">
      <formula>$AW8&lt;&gt;""</formula>
    </cfRule>
  </conditionalFormatting>
  <conditionalFormatting sqref="AW35:AY35">
    <cfRule type="cellIs" priority="110" operator="equal" dxfId="2">
      <formula>"미달"</formula>
    </cfRule>
    <cfRule type="cellIs" priority="111" operator="equal" dxfId="4">
      <formula>"충족"</formula>
    </cfRule>
  </conditionalFormatting>
  <conditionalFormatting sqref="AW36:AY36">
    <cfRule type="cellIs" priority="112" operator="lessThan" dxfId="5">
      <formula>1</formula>
    </cfRule>
  </conditionalFormatting>
  <conditionalFormatting sqref="AZ8:BB31">
    <cfRule type="expression" priority="113" dxfId="0" stopIfTrue="1">
      <formula>AND($AZ$35="미달",시간!$T120&gt;0)</formula>
    </cfRule>
    <cfRule type="expression" priority="114" dxfId="1">
      <formula>$AZ$6="휴일"</formula>
    </cfRule>
    <cfRule type="expression" priority="115" dxfId="2">
      <formula>AND($AZ8&lt;&gt;"",시간!$T36+시간!$T64=0)</formula>
    </cfRule>
    <cfRule type="expression" priority="116" dxfId="3">
      <formula>$AZ8&lt;&gt;""</formula>
    </cfRule>
  </conditionalFormatting>
  <conditionalFormatting sqref="AZ35:BB35">
    <cfRule type="cellIs" priority="117" operator="equal" dxfId="2">
      <formula>"미달"</formula>
    </cfRule>
    <cfRule type="cellIs" priority="118" operator="equal" dxfId="4">
      <formula>"충족"</formula>
    </cfRule>
  </conditionalFormatting>
  <conditionalFormatting sqref="AZ36:BB36">
    <cfRule type="cellIs" priority="119" operator="lessThan" dxfId="5">
      <formula>1</formula>
    </cfRule>
  </conditionalFormatting>
  <conditionalFormatting sqref="BC8:BE31">
    <cfRule type="expression" priority="120" dxfId="0" stopIfTrue="1">
      <formula>AND($BC$35="미달",시간!$U120&gt;0)</formula>
    </cfRule>
    <cfRule type="expression" priority="121" dxfId="1">
      <formula>$BC$6="휴일"</formula>
    </cfRule>
    <cfRule type="expression" priority="122" dxfId="2">
      <formula>AND($BC8&lt;&gt;"",시간!$U36+시간!$U64=0)</formula>
    </cfRule>
    <cfRule type="expression" priority="123" dxfId="3">
      <formula>$BC8&lt;&gt;""</formula>
    </cfRule>
  </conditionalFormatting>
  <conditionalFormatting sqref="BC35:BE35">
    <cfRule type="cellIs" priority="124" operator="equal" dxfId="2">
      <formula>"미달"</formula>
    </cfRule>
    <cfRule type="cellIs" priority="125" operator="equal" dxfId="4">
      <formula>"충족"</formula>
    </cfRule>
  </conditionalFormatting>
  <conditionalFormatting sqref="BC36:BE36">
    <cfRule type="cellIs" priority="126" operator="lessThan" dxfId="5">
      <formula>1</formula>
    </cfRule>
  </conditionalFormatting>
  <conditionalFormatting sqref="BF8:BH31">
    <cfRule type="expression" priority="127" dxfId="0" stopIfTrue="1">
      <formula>AND($BF$35="미달",시간!$V120&gt;0)</formula>
    </cfRule>
    <cfRule type="expression" priority="128" dxfId="1">
      <formula>$BF$6="휴일"</formula>
    </cfRule>
    <cfRule type="expression" priority="129" dxfId="2">
      <formula>AND($BF8&lt;&gt;"",시간!$V36+시간!$V64=0)</formula>
    </cfRule>
    <cfRule type="expression" priority="130" dxfId="3">
      <formula>$BF8&lt;&gt;""</formula>
    </cfRule>
  </conditionalFormatting>
  <conditionalFormatting sqref="BF35:BH35">
    <cfRule type="cellIs" priority="131" operator="equal" dxfId="2">
      <formula>"미달"</formula>
    </cfRule>
    <cfRule type="cellIs" priority="132" operator="equal" dxfId="4">
      <formula>"충족"</formula>
    </cfRule>
  </conditionalFormatting>
  <conditionalFormatting sqref="BF36:BH36">
    <cfRule type="cellIs" priority="133" operator="lessThan" dxfId="5">
      <formula>1</formula>
    </cfRule>
  </conditionalFormatting>
  <conditionalFormatting sqref="BI8:BK31">
    <cfRule type="expression" priority="134" dxfId="0" stopIfTrue="1">
      <formula>AND($BI$35="미달",시간!$W120&gt;0)</formula>
    </cfRule>
    <cfRule type="expression" priority="135" dxfId="1">
      <formula>$BI$6="휴일"</formula>
    </cfRule>
    <cfRule type="expression" priority="136" dxfId="2">
      <formula>AND($BI8&lt;&gt;"",시간!$W36+시간!$W64=0)</formula>
    </cfRule>
    <cfRule type="expression" priority="137" dxfId="3">
      <formula>$BI8&lt;&gt;""</formula>
    </cfRule>
  </conditionalFormatting>
  <conditionalFormatting sqref="BI35:BK35">
    <cfRule type="cellIs" priority="138" operator="equal" dxfId="2">
      <formula>"미달"</formula>
    </cfRule>
    <cfRule type="cellIs" priority="139" operator="equal" dxfId="4">
      <formula>"충족"</formula>
    </cfRule>
  </conditionalFormatting>
  <conditionalFormatting sqref="BI36:BK36">
    <cfRule type="cellIs" priority="140" operator="lessThan" dxfId="5">
      <formula>1</formula>
    </cfRule>
  </conditionalFormatting>
  <conditionalFormatting sqref="BL8:BN31">
    <cfRule type="expression" priority="141" dxfId="0" stopIfTrue="1">
      <formula>AND($BL$35="미달",시간!$X120&gt;0)</formula>
    </cfRule>
    <cfRule type="expression" priority="142" dxfId="1">
      <formula>$BL$6="휴일"</formula>
    </cfRule>
    <cfRule type="expression" priority="143" dxfId="2">
      <formula>AND($BL8&lt;&gt;"",시간!$X36+시간!$X64=0)</formula>
    </cfRule>
    <cfRule type="expression" priority="144" dxfId="3">
      <formula>$BL8&lt;&gt;""</formula>
    </cfRule>
  </conditionalFormatting>
  <conditionalFormatting sqref="BL35:BN35">
    <cfRule type="cellIs" priority="145" operator="equal" dxfId="2">
      <formula>"미달"</formula>
    </cfRule>
    <cfRule type="cellIs" priority="146" operator="equal" dxfId="4">
      <formula>"충족"</formula>
    </cfRule>
  </conditionalFormatting>
  <conditionalFormatting sqref="BL36:BN36">
    <cfRule type="cellIs" priority="147" operator="lessThan" dxfId="5">
      <formula>1</formula>
    </cfRule>
  </conditionalFormatting>
  <conditionalFormatting sqref="BO8:BQ31">
    <cfRule type="expression" priority="148" dxfId="0" stopIfTrue="1">
      <formula>AND($BO$35="미달",시간!$Y120&gt;0)</formula>
    </cfRule>
    <cfRule type="expression" priority="149" dxfId="1">
      <formula>$BO$6="휴일"</formula>
    </cfRule>
    <cfRule type="expression" priority="150" dxfId="2">
      <formula>AND($BO8&lt;&gt;"",시간!$Y36+시간!$Y64=0)</formula>
    </cfRule>
    <cfRule type="expression" priority="151" dxfId="3">
      <formula>$BO8&lt;&gt;""</formula>
    </cfRule>
  </conditionalFormatting>
  <conditionalFormatting sqref="BO35:BQ35">
    <cfRule type="cellIs" priority="152" operator="equal" dxfId="2">
      <formula>"미달"</formula>
    </cfRule>
    <cfRule type="cellIs" priority="153" operator="equal" dxfId="4">
      <formula>"충족"</formula>
    </cfRule>
  </conditionalFormatting>
  <conditionalFormatting sqref="BO36:BQ36">
    <cfRule type="cellIs" priority="154" operator="lessThan" dxfId="5">
      <formula>1</formula>
    </cfRule>
  </conditionalFormatting>
  <conditionalFormatting sqref="BR8:BT31">
    <cfRule type="expression" priority="155" dxfId="0" stopIfTrue="1">
      <formula>AND($BR$35="미달",시간!$Z120&gt;0)</formula>
    </cfRule>
    <cfRule type="expression" priority="156" dxfId="1">
      <formula>$BR$6="휴일"</formula>
    </cfRule>
    <cfRule type="expression" priority="157" dxfId="2">
      <formula>AND($BR8&lt;&gt;"",시간!$Z36+시간!$Z64=0)</formula>
    </cfRule>
    <cfRule type="expression" priority="158" dxfId="3">
      <formula>$BR8&lt;&gt;""</formula>
    </cfRule>
  </conditionalFormatting>
  <conditionalFormatting sqref="BR35:BT35">
    <cfRule type="cellIs" priority="159" operator="equal" dxfId="2">
      <formula>"미달"</formula>
    </cfRule>
    <cfRule type="cellIs" priority="160" operator="equal" dxfId="4">
      <formula>"충족"</formula>
    </cfRule>
  </conditionalFormatting>
  <conditionalFormatting sqref="BR36:BT36">
    <cfRule type="cellIs" priority="161" operator="lessThan" dxfId="5">
      <formula>1</formula>
    </cfRule>
  </conditionalFormatting>
  <conditionalFormatting sqref="BU8:BW31">
    <cfRule type="expression" priority="162" dxfId="0" stopIfTrue="1">
      <formula>AND($BU$35="미달",시간!$AA120&gt;0)</formula>
    </cfRule>
    <cfRule type="expression" priority="163" dxfId="1">
      <formula>$BU$6="휴일"</formula>
    </cfRule>
    <cfRule type="expression" priority="164" dxfId="2">
      <formula>AND($BU8&lt;&gt;"",시간!$AA36+시간!$AA64=0)</formula>
    </cfRule>
    <cfRule type="expression" priority="165" dxfId="3">
      <formula>$BU8&lt;&gt;""</formula>
    </cfRule>
  </conditionalFormatting>
  <conditionalFormatting sqref="BU35:BW35">
    <cfRule type="cellIs" priority="166" operator="equal" dxfId="2">
      <formula>"미달"</formula>
    </cfRule>
    <cfRule type="cellIs" priority="167" operator="equal" dxfId="4">
      <formula>"충족"</formula>
    </cfRule>
  </conditionalFormatting>
  <conditionalFormatting sqref="BU36:BW36">
    <cfRule type="cellIs" priority="168" operator="lessThan" dxfId="5">
      <formula>1</formula>
    </cfRule>
  </conditionalFormatting>
  <conditionalFormatting sqref="BX8:BZ31">
    <cfRule type="expression" priority="169" dxfId="0" stopIfTrue="1">
      <formula>AND($BX$35="미달",시간!$AB120&gt;0)</formula>
    </cfRule>
    <cfRule type="expression" priority="170" dxfId="1">
      <formula>$BX$6="휴일"</formula>
    </cfRule>
    <cfRule type="expression" priority="171" dxfId="2">
      <formula>AND($BX8&lt;&gt;"",시간!$AB36+시간!$AB64=0)</formula>
    </cfRule>
    <cfRule type="expression" priority="172" dxfId="3">
      <formula>$BX8&lt;&gt;""</formula>
    </cfRule>
  </conditionalFormatting>
  <conditionalFormatting sqref="BX35:BZ35">
    <cfRule type="cellIs" priority="173" operator="equal" dxfId="2">
      <formula>"미달"</formula>
    </cfRule>
    <cfRule type="cellIs" priority="174" operator="equal" dxfId="4">
      <formula>"충족"</formula>
    </cfRule>
  </conditionalFormatting>
  <conditionalFormatting sqref="BX36:BZ36">
    <cfRule type="cellIs" priority="175" operator="lessThan" dxfId="5">
      <formula>1</formula>
    </cfRule>
  </conditionalFormatting>
  <conditionalFormatting sqref="CA8:CC31">
    <cfRule type="expression" priority="176" dxfId="0" stopIfTrue="1">
      <formula>AND($CA$35="미달",시간!$AC120&gt;0)</formula>
    </cfRule>
    <cfRule type="expression" priority="177" dxfId="1">
      <formula>$CA$6="휴일"</formula>
    </cfRule>
    <cfRule type="expression" priority="178" dxfId="2">
      <formula>AND($CA8&lt;&gt;"",시간!$AC36+시간!$AC64=0)</formula>
    </cfRule>
    <cfRule type="expression" priority="179" dxfId="3">
      <formula>$CA8&lt;&gt;""</formula>
    </cfRule>
  </conditionalFormatting>
  <conditionalFormatting sqref="CA35:CC35">
    <cfRule type="cellIs" priority="180" operator="equal" dxfId="2">
      <formula>"미달"</formula>
    </cfRule>
    <cfRule type="cellIs" priority="181" operator="equal" dxfId="4">
      <formula>"충족"</formula>
    </cfRule>
  </conditionalFormatting>
  <conditionalFormatting sqref="CA36:CC36">
    <cfRule type="cellIs" priority="182" operator="lessThan" dxfId="5">
      <formula>1</formula>
    </cfRule>
  </conditionalFormatting>
  <conditionalFormatting sqref="CD8:CF31">
    <cfRule type="expression" priority="183" dxfId="0" stopIfTrue="1">
      <formula>AND($CD$35="미달",시간!$AD120&gt;0)</formula>
    </cfRule>
    <cfRule type="expression" priority="184" dxfId="1">
      <formula>$CD$6="휴일"</formula>
    </cfRule>
    <cfRule type="expression" priority="185" dxfId="2">
      <formula>AND($CD8&lt;&gt;"",시간!$AD36+시간!$AD64=0)</formula>
    </cfRule>
    <cfRule type="expression" priority="186" dxfId="3">
      <formula>$CD8&lt;&gt;""</formula>
    </cfRule>
  </conditionalFormatting>
  <conditionalFormatting sqref="CD35:CF35">
    <cfRule type="cellIs" priority="187" operator="equal" dxfId="2">
      <formula>"미달"</formula>
    </cfRule>
    <cfRule type="cellIs" priority="188" operator="equal" dxfId="4">
      <formula>"충족"</formula>
    </cfRule>
  </conditionalFormatting>
  <conditionalFormatting sqref="CD36:CF36">
    <cfRule type="cellIs" priority="189" operator="lessThan" dxfId="5">
      <formula>1</formula>
    </cfRule>
  </conditionalFormatting>
  <conditionalFormatting sqref="CG8:CI31">
    <cfRule type="expression" priority="190" dxfId="0" stopIfTrue="1">
      <formula>AND($CG$35="미달",시간!$AE120&gt;0)</formula>
    </cfRule>
    <cfRule type="expression" priority="191" dxfId="1">
      <formula>$CG$6="휴일"</formula>
    </cfRule>
    <cfRule type="expression" priority="192" dxfId="2">
      <formula>AND($CG8&lt;&gt;"",시간!$AE36+시간!$AE64=0)</formula>
    </cfRule>
    <cfRule type="expression" priority="193" dxfId="3">
      <formula>$CG8&lt;&gt;""</formula>
    </cfRule>
  </conditionalFormatting>
  <conditionalFormatting sqref="CG35:CI35">
    <cfRule type="cellIs" priority="194" operator="equal" dxfId="2">
      <formula>"미달"</formula>
    </cfRule>
    <cfRule type="cellIs" priority="195" operator="equal" dxfId="4">
      <formula>"충족"</formula>
    </cfRule>
  </conditionalFormatting>
  <conditionalFormatting sqref="CG36:CI36">
    <cfRule type="cellIs" priority="196" operator="lessThan" dxfId="5">
      <formula>1</formula>
    </cfRule>
  </conditionalFormatting>
  <conditionalFormatting sqref="CJ8:CL31">
    <cfRule type="expression" priority="197" dxfId="0" stopIfTrue="1">
      <formula>AND($CJ$35="미달",시간!$AF120&gt;0)</formula>
    </cfRule>
    <cfRule type="expression" priority="198" dxfId="1">
      <formula>$CJ$6="휴일"</formula>
    </cfRule>
    <cfRule type="expression" priority="199" dxfId="2">
      <formula>AND($CJ8&lt;&gt;"",시간!$AF36+시간!$AF64=0)</formula>
    </cfRule>
    <cfRule type="expression" priority="200" dxfId="3">
      <formula>$CJ8&lt;&gt;""</formula>
    </cfRule>
  </conditionalFormatting>
  <conditionalFormatting sqref="CJ35:CL35">
    <cfRule type="cellIs" priority="201" operator="equal" dxfId="2">
      <formula>"미달"</formula>
    </cfRule>
    <cfRule type="cellIs" priority="202" operator="equal" dxfId="4">
      <formula>"충족"</formula>
    </cfRule>
  </conditionalFormatting>
  <conditionalFormatting sqref="CJ36:CL36">
    <cfRule type="cellIs" priority="203" operator="lessThan" dxfId="5">
      <formula>1</formula>
    </cfRule>
  </conditionalFormatting>
  <conditionalFormatting sqref="CM8:CO31">
    <cfRule type="expression" priority="204" dxfId="0" stopIfTrue="1">
      <formula>AND($CM$35="미달",시간!$AG120&gt;0)</formula>
    </cfRule>
    <cfRule type="expression" priority="205" dxfId="1">
      <formula>$CM$6="휴일"</formula>
    </cfRule>
    <cfRule type="expression" priority="206" dxfId="2">
      <formula>AND($CM8&lt;&gt;"",시간!$AG36+시간!$AG64=0)</formula>
    </cfRule>
    <cfRule type="expression" priority="207" dxfId="3">
      <formula>$CM8&lt;&gt;""</formula>
    </cfRule>
  </conditionalFormatting>
  <conditionalFormatting sqref="CM35:CO35">
    <cfRule type="cellIs" priority="208" operator="equal" dxfId="2">
      <formula>"미달"</formula>
    </cfRule>
    <cfRule type="cellIs" priority="209" operator="equal" dxfId="4">
      <formula>"충족"</formula>
    </cfRule>
  </conditionalFormatting>
  <conditionalFormatting sqref="CM36:CO36">
    <cfRule type="cellIs" priority="210" operator="lessThan" dxfId="5">
      <formula>1</formula>
    </cfRule>
  </conditionalFormatting>
  <conditionalFormatting sqref="CP8:CR31">
    <cfRule type="expression" priority="211" dxfId="0" stopIfTrue="1">
      <formula>AND($CP$35="미달",시간!$AH120&gt;0)</formula>
    </cfRule>
    <cfRule type="expression" priority="212" dxfId="1">
      <formula>$CP$6="휴일"</formula>
    </cfRule>
    <cfRule type="expression" priority="213" dxfId="2">
      <formula>AND($CP8&lt;&gt;"",시간!$AH36+시간!$AH64=0)</formula>
    </cfRule>
    <cfRule type="expression" priority="214" dxfId="3">
      <formula>$CP8&lt;&gt;""</formula>
    </cfRule>
  </conditionalFormatting>
  <conditionalFormatting sqref="CP35:CR35">
    <cfRule type="cellIs" priority="215" operator="equal" dxfId="2">
      <formula>"미달"</formula>
    </cfRule>
    <cfRule type="cellIs" priority="216" operator="equal" dxfId="4">
      <formula>"충족"</formula>
    </cfRule>
  </conditionalFormatting>
  <conditionalFormatting sqref="CP36:CR36">
    <cfRule type="cellIs" priority="217" operator="lessThan" dxfId="5">
      <formula>1</formula>
    </cfRule>
  </conditionalFormatting>
  <dataValidations count="3">
    <dataValidation sqref="D8:D31 G8:G31 J8:J31 M8:M31 P8:P31 S8:S31 V8:V31 Y8:Y31 AB8:AB31 AE8:AE31 AH8:AH31 AK8:AK31 AN8:AN31 AQ8:AQ31 AT8:AT31 AW8:AW31 AZ8:AZ31 BC8:BC31 BF8:BF31 BI8:BI31 BL8:BL31 BO8:BO31 BR8:BR31 BU8:BU31 BX8:BX31 CA8:CA31 CD8:CD31 CG8:CG31 CJ8:CJ31 CM8:CM31 CP8:CP31" showDropDown="0" showInputMessage="0" showErrorMessage="0" allowBlank="1" errorTitle="목록에 없는 값" error="드롭다운에 있는 값만 넣을 수 있습니다." promptTitle="유형" prompt="근무 · 오전반 · 오후반 · 오전반반 · 오후반반 · 검진 은 출근·퇴근 시각도 함께 고르세요." type="list">
      <formula1>=코드!$O$2:$O$12</formula1>
    </dataValidation>
    <dataValidation sqref="E8:E31 H8:H31 K8:K31 N8:N31 Q8:Q31 T8:T31 W8:W31 Z8:Z31 AC8:AC31 AF8:AF31 AI8:AI31 AL8:AL31 AO8:AO31 AR8:AR31 AU8:AU31 AX8:AX31 BA8:BA31 BD8:BD31 BG8:BG31 BJ8:BJ31 BM8:BM31 BP8:BP31 BS8:BS31 BV8:BV31 BY8:BY31 CB8:CB31 CE8:CE31 CH8:CH31 CK8:CK31 CN8:CN31 CQ8:CQ31" showDropDown="0" showInputMessage="0" showErrorMessage="0" allowBlank="1" errorTitle="목록에 없는 값" error="드롭다운에 있는 값만 넣을 수 있습니다." promptTitle="출근" prompt="출근 시각입니다. 유형이 연차·출장·교육·기타·휴직이면 비워 두세요." type="list">
      <formula1>=코드!$P$2:$P$7</formula1>
    </dataValidation>
    <dataValidation sqref="F8:F31 I8:I31 L8:L31 O8:O31 R8:R31 U8:U31 X8:X31 AA8:AA31 AD8:AD31 AG8:AG31 AJ8:AJ31 AM8:AM31 AP8:AP31 AS8:AS31 AV8:AV31 AY8:AY31 BB8:BB31 BE8:BE31 BH8:BH31 BK8:BK31 BN8:BN31 BQ8:BQ31 BT8:BT31 BW8:BW31 BZ8:BZ31 CC8:CC31 CF8:CF31 CI8:CI31 CL8:CL31 CO8:CO31 CR8:CR31" showDropDown="0" showInputMessage="0" showErrorMessage="0" allowBlank="1" errorTitle="목록에 없는 값" error="드롭다운에 있는 값만 넣을 수 있습니다." promptTitle="퇴근" prompt="퇴근 시각입니다." type="list">
      <formula1>=코드!$Q$2:$Q$19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</cols>
  <sheetData>
    <row r="1">
      <c r="D1" s="8" t="inlineStr">
        <is>
          <t>OT — 날짜별 초과근로 시간</t>
        </is>
      </c>
    </row>
    <row r="2">
      <c r="D2" s="5" t="inlineStr">
        <is>
          <t>1시간 45분은 1.75 로 넣습니다 (분 단위 신청) · 월 합계와 잔여는 「개인요약」 시트에서 봅니다</t>
        </is>
      </c>
    </row>
    <row r="3">
      <c r="A3" s="9" t="inlineStr">
        <is>
          <t>주</t>
        </is>
      </c>
      <c r="B3" s="9" t="inlineStr"/>
      <c r="C3" s="9" t="inlineStr"/>
      <c r="D3" s="9">
        <f>IF(D4="","",INT((D4-1+MOD(WEEKDAY(DATE(근태!$B$1,근태!$B$2,1))+5,7))/7)+1)</f>
        <v/>
      </c>
      <c r="E3" s="9">
        <f>IF(E4="","",INT((E4-1+MOD(WEEKDAY(DATE(근태!$B$1,근태!$B$2,1))+5,7))/7)+1)</f>
        <v/>
      </c>
      <c r="F3" s="9">
        <f>IF(F4="","",INT((F4-1+MOD(WEEKDAY(DATE(근태!$B$1,근태!$B$2,1))+5,7))/7)+1)</f>
        <v/>
      </c>
      <c r="G3" s="9">
        <f>IF(G4="","",INT((G4-1+MOD(WEEKDAY(DATE(근태!$B$1,근태!$B$2,1))+5,7))/7)+1)</f>
        <v/>
      </c>
      <c r="H3" s="9">
        <f>IF(H4="","",INT((H4-1+MOD(WEEKDAY(DATE(근태!$B$1,근태!$B$2,1))+5,7))/7)+1)</f>
        <v/>
      </c>
      <c r="I3" s="9">
        <f>IF(I4="","",INT((I4-1+MOD(WEEKDAY(DATE(근태!$B$1,근태!$B$2,1))+5,7))/7)+1)</f>
        <v/>
      </c>
      <c r="J3" s="9">
        <f>IF(J4="","",INT((J4-1+MOD(WEEKDAY(DATE(근태!$B$1,근태!$B$2,1))+5,7))/7)+1)</f>
        <v/>
      </c>
      <c r="K3" s="9">
        <f>IF(K4="","",INT((K4-1+MOD(WEEKDAY(DATE(근태!$B$1,근태!$B$2,1))+5,7))/7)+1)</f>
        <v/>
      </c>
      <c r="L3" s="9">
        <f>IF(L4="","",INT((L4-1+MOD(WEEKDAY(DATE(근태!$B$1,근태!$B$2,1))+5,7))/7)+1)</f>
        <v/>
      </c>
      <c r="M3" s="9">
        <f>IF(M4="","",INT((M4-1+MOD(WEEKDAY(DATE(근태!$B$1,근태!$B$2,1))+5,7))/7)+1)</f>
        <v/>
      </c>
      <c r="N3" s="9">
        <f>IF(N4="","",INT((N4-1+MOD(WEEKDAY(DATE(근태!$B$1,근태!$B$2,1))+5,7))/7)+1)</f>
        <v/>
      </c>
      <c r="O3" s="9">
        <f>IF(O4="","",INT((O4-1+MOD(WEEKDAY(DATE(근태!$B$1,근태!$B$2,1))+5,7))/7)+1)</f>
        <v/>
      </c>
      <c r="P3" s="9">
        <f>IF(P4="","",INT((P4-1+MOD(WEEKDAY(DATE(근태!$B$1,근태!$B$2,1))+5,7))/7)+1)</f>
        <v/>
      </c>
      <c r="Q3" s="9">
        <f>IF(Q4="","",INT((Q4-1+MOD(WEEKDAY(DATE(근태!$B$1,근태!$B$2,1))+5,7))/7)+1)</f>
        <v/>
      </c>
      <c r="R3" s="9">
        <f>IF(R4="","",INT((R4-1+MOD(WEEKDAY(DATE(근태!$B$1,근태!$B$2,1))+5,7))/7)+1)</f>
        <v/>
      </c>
      <c r="S3" s="9">
        <f>IF(S4="","",INT((S4-1+MOD(WEEKDAY(DATE(근태!$B$1,근태!$B$2,1))+5,7))/7)+1)</f>
        <v/>
      </c>
      <c r="T3" s="9">
        <f>IF(T4="","",INT((T4-1+MOD(WEEKDAY(DATE(근태!$B$1,근태!$B$2,1))+5,7))/7)+1)</f>
        <v/>
      </c>
      <c r="U3" s="9">
        <f>IF(U4="","",INT((U4-1+MOD(WEEKDAY(DATE(근태!$B$1,근태!$B$2,1))+5,7))/7)+1)</f>
        <v/>
      </c>
      <c r="V3" s="9">
        <f>IF(V4="","",INT((V4-1+MOD(WEEKDAY(DATE(근태!$B$1,근태!$B$2,1))+5,7))/7)+1)</f>
        <v/>
      </c>
      <c r="W3" s="9">
        <f>IF(W4="","",INT((W4-1+MOD(WEEKDAY(DATE(근태!$B$1,근태!$B$2,1))+5,7))/7)+1)</f>
        <v/>
      </c>
      <c r="X3" s="9">
        <f>IF(X4="","",INT((X4-1+MOD(WEEKDAY(DATE(근태!$B$1,근태!$B$2,1))+5,7))/7)+1)</f>
        <v/>
      </c>
      <c r="Y3" s="9">
        <f>IF(Y4="","",INT((Y4-1+MOD(WEEKDAY(DATE(근태!$B$1,근태!$B$2,1))+5,7))/7)+1)</f>
        <v/>
      </c>
      <c r="Z3" s="9">
        <f>IF(Z4="","",INT((Z4-1+MOD(WEEKDAY(DATE(근태!$B$1,근태!$B$2,1))+5,7))/7)+1)</f>
        <v/>
      </c>
      <c r="AA3" s="9">
        <f>IF(AA4="","",INT((AA4-1+MOD(WEEKDAY(DATE(근태!$B$1,근태!$B$2,1))+5,7))/7)+1)</f>
        <v/>
      </c>
      <c r="AB3" s="9">
        <f>IF(AB4="","",INT((AB4-1+MOD(WEEKDAY(DATE(근태!$B$1,근태!$B$2,1))+5,7))/7)+1)</f>
        <v/>
      </c>
      <c r="AC3" s="9">
        <f>IF(AC4="","",INT((AC4-1+MOD(WEEKDAY(DATE(근태!$B$1,근태!$B$2,1))+5,7))/7)+1)</f>
        <v/>
      </c>
      <c r="AD3" s="9">
        <f>IF(AD4="","",INT((AD4-1+MOD(WEEKDAY(DATE(근태!$B$1,근태!$B$2,1))+5,7))/7)+1)</f>
        <v/>
      </c>
      <c r="AE3" s="9">
        <f>IF(AE4="","",INT((AE4-1+MOD(WEEKDAY(DATE(근태!$B$1,근태!$B$2,1))+5,7))/7)+1)</f>
        <v/>
      </c>
      <c r="AF3" s="9">
        <f>IF(AF4="","",INT((AF4-1+MOD(WEEKDAY(DATE(근태!$B$1,근태!$B$2,1))+5,7))/7)+1)</f>
        <v/>
      </c>
      <c r="AG3" s="9">
        <f>IF(AG4="","",INT((AG4-1+MOD(WEEKDAY(DATE(근태!$B$1,근태!$B$2,1))+5,7))/7)+1)</f>
        <v/>
      </c>
      <c r="AH3" s="9">
        <f>IF(AH4="","",INT((AH4-1+MOD(WEEKDAY(DATE(근태!$B$1,근태!$B$2,1))+5,7))/7)+1)</f>
        <v/>
      </c>
    </row>
    <row r="4">
      <c r="D4" s="12">
        <f>IF(MONTH(DATE(근태!$B$1,근태!$B$2,1))&lt;&gt;근태!$B$2,"",1)</f>
        <v/>
      </c>
      <c r="E4" s="12">
        <f>IF(MONTH(DATE(근태!$B$1,근태!$B$2,2))&lt;&gt;근태!$B$2,"",2)</f>
        <v/>
      </c>
      <c r="F4" s="12">
        <f>IF(MONTH(DATE(근태!$B$1,근태!$B$2,3))&lt;&gt;근태!$B$2,"",3)</f>
        <v/>
      </c>
      <c r="G4" s="12">
        <f>IF(MONTH(DATE(근태!$B$1,근태!$B$2,4))&lt;&gt;근태!$B$2,"",4)</f>
        <v/>
      </c>
      <c r="H4" s="12">
        <f>IF(MONTH(DATE(근태!$B$1,근태!$B$2,5))&lt;&gt;근태!$B$2,"",5)</f>
        <v/>
      </c>
      <c r="I4" s="12">
        <f>IF(MONTH(DATE(근태!$B$1,근태!$B$2,6))&lt;&gt;근태!$B$2,"",6)</f>
        <v/>
      </c>
      <c r="J4" s="12">
        <f>IF(MONTH(DATE(근태!$B$1,근태!$B$2,7))&lt;&gt;근태!$B$2,"",7)</f>
        <v/>
      </c>
      <c r="K4" s="12">
        <f>IF(MONTH(DATE(근태!$B$1,근태!$B$2,8))&lt;&gt;근태!$B$2,"",8)</f>
        <v/>
      </c>
      <c r="L4" s="12">
        <f>IF(MONTH(DATE(근태!$B$1,근태!$B$2,9))&lt;&gt;근태!$B$2,"",9)</f>
        <v/>
      </c>
      <c r="M4" s="12">
        <f>IF(MONTH(DATE(근태!$B$1,근태!$B$2,10))&lt;&gt;근태!$B$2,"",10)</f>
        <v/>
      </c>
      <c r="N4" s="12">
        <f>IF(MONTH(DATE(근태!$B$1,근태!$B$2,11))&lt;&gt;근태!$B$2,"",11)</f>
        <v/>
      </c>
      <c r="O4" s="12">
        <f>IF(MONTH(DATE(근태!$B$1,근태!$B$2,12))&lt;&gt;근태!$B$2,"",12)</f>
        <v/>
      </c>
      <c r="P4" s="12">
        <f>IF(MONTH(DATE(근태!$B$1,근태!$B$2,13))&lt;&gt;근태!$B$2,"",13)</f>
        <v/>
      </c>
      <c r="Q4" s="12">
        <f>IF(MONTH(DATE(근태!$B$1,근태!$B$2,14))&lt;&gt;근태!$B$2,"",14)</f>
        <v/>
      </c>
      <c r="R4" s="12">
        <f>IF(MONTH(DATE(근태!$B$1,근태!$B$2,15))&lt;&gt;근태!$B$2,"",15)</f>
        <v/>
      </c>
      <c r="S4" s="12">
        <f>IF(MONTH(DATE(근태!$B$1,근태!$B$2,16))&lt;&gt;근태!$B$2,"",16)</f>
        <v/>
      </c>
      <c r="T4" s="12">
        <f>IF(MONTH(DATE(근태!$B$1,근태!$B$2,17))&lt;&gt;근태!$B$2,"",17)</f>
        <v/>
      </c>
      <c r="U4" s="12">
        <f>IF(MONTH(DATE(근태!$B$1,근태!$B$2,18))&lt;&gt;근태!$B$2,"",18)</f>
        <v/>
      </c>
      <c r="V4" s="12">
        <f>IF(MONTH(DATE(근태!$B$1,근태!$B$2,19))&lt;&gt;근태!$B$2,"",19)</f>
        <v/>
      </c>
      <c r="W4" s="12">
        <f>IF(MONTH(DATE(근태!$B$1,근태!$B$2,20))&lt;&gt;근태!$B$2,"",20)</f>
        <v/>
      </c>
      <c r="X4" s="12">
        <f>IF(MONTH(DATE(근태!$B$1,근태!$B$2,21))&lt;&gt;근태!$B$2,"",21)</f>
        <v/>
      </c>
      <c r="Y4" s="12">
        <f>IF(MONTH(DATE(근태!$B$1,근태!$B$2,22))&lt;&gt;근태!$B$2,"",22)</f>
        <v/>
      </c>
      <c r="Z4" s="12">
        <f>IF(MONTH(DATE(근태!$B$1,근태!$B$2,23))&lt;&gt;근태!$B$2,"",23)</f>
        <v/>
      </c>
      <c r="AA4" s="12">
        <f>IF(MONTH(DATE(근태!$B$1,근태!$B$2,24))&lt;&gt;근태!$B$2,"",24)</f>
        <v/>
      </c>
      <c r="AB4" s="12">
        <f>IF(MONTH(DATE(근태!$B$1,근태!$B$2,25))&lt;&gt;근태!$B$2,"",25)</f>
        <v/>
      </c>
      <c r="AC4" s="12">
        <f>IF(MONTH(DATE(근태!$B$1,근태!$B$2,26))&lt;&gt;근태!$B$2,"",26)</f>
        <v/>
      </c>
      <c r="AD4" s="12">
        <f>IF(MONTH(DATE(근태!$B$1,근태!$B$2,27))&lt;&gt;근태!$B$2,"",27)</f>
        <v/>
      </c>
      <c r="AE4" s="12">
        <f>IF(MONTH(DATE(근태!$B$1,근태!$B$2,28))&lt;&gt;근태!$B$2,"",28)</f>
        <v/>
      </c>
      <c r="AF4" s="12">
        <f>IF(MONTH(DATE(근태!$B$1,근태!$B$2,29))&lt;&gt;근태!$B$2,"",29)</f>
        <v/>
      </c>
      <c r="AG4" s="12">
        <f>IF(MONTH(DATE(근태!$B$1,근태!$B$2,30))&lt;&gt;근태!$B$2,"",30)</f>
        <v/>
      </c>
      <c r="AH4" s="12">
        <f>IF(MONTH(DATE(근태!$B$1,근태!$B$2,31))&lt;&gt;근태!$B$2,"",31)</f>
        <v/>
      </c>
    </row>
    <row r="5">
      <c r="D5" s="13">
        <f>IF(D$4="","",INDEX(코드!$M$2:$M$8,WEEKDAY(DATE(근태!$B$1,근태!$B$2,D$4))))</f>
        <v/>
      </c>
      <c r="E5" s="13">
        <f>IF(E$4="","",INDEX(코드!$M$2:$M$8,WEEKDAY(DATE(근태!$B$1,근태!$B$2,E$4))))</f>
        <v/>
      </c>
      <c r="F5" s="13">
        <f>IF(F$4="","",INDEX(코드!$M$2:$M$8,WEEKDAY(DATE(근태!$B$1,근태!$B$2,F$4))))</f>
        <v/>
      </c>
      <c r="G5" s="13">
        <f>IF(G$4="","",INDEX(코드!$M$2:$M$8,WEEKDAY(DATE(근태!$B$1,근태!$B$2,G$4))))</f>
        <v/>
      </c>
      <c r="H5" s="13">
        <f>IF(H$4="","",INDEX(코드!$M$2:$M$8,WEEKDAY(DATE(근태!$B$1,근태!$B$2,H$4))))</f>
        <v/>
      </c>
      <c r="I5" s="13">
        <f>IF(I$4="","",INDEX(코드!$M$2:$M$8,WEEKDAY(DATE(근태!$B$1,근태!$B$2,I$4))))</f>
        <v/>
      </c>
      <c r="J5" s="13">
        <f>IF(J$4="","",INDEX(코드!$M$2:$M$8,WEEKDAY(DATE(근태!$B$1,근태!$B$2,J$4))))</f>
        <v/>
      </c>
      <c r="K5" s="13">
        <f>IF(K$4="","",INDEX(코드!$M$2:$M$8,WEEKDAY(DATE(근태!$B$1,근태!$B$2,K$4))))</f>
        <v/>
      </c>
      <c r="L5" s="13">
        <f>IF(L$4="","",INDEX(코드!$M$2:$M$8,WEEKDAY(DATE(근태!$B$1,근태!$B$2,L$4))))</f>
        <v/>
      </c>
      <c r="M5" s="13">
        <f>IF(M$4="","",INDEX(코드!$M$2:$M$8,WEEKDAY(DATE(근태!$B$1,근태!$B$2,M$4))))</f>
        <v/>
      </c>
      <c r="N5" s="13">
        <f>IF(N$4="","",INDEX(코드!$M$2:$M$8,WEEKDAY(DATE(근태!$B$1,근태!$B$2,N$4))))</f>
        <v/>
      </c>
      <c r="O5" s="13">
        <f>IF(O$4="","",INDEX(코드!$M$2:$M$8,WEEKDAY(DATE(근태!$B$1,근태!$B$2,O$4))))</f>
        <v/>
      </c>
      <c r="P5" s="13">
        <f>IF(P$4="","",INDEX(코드!$M$2:$M$8,WEEKDAY(DATE(근태!$B$1,근태!$B$2,P$4))))</f>
        <v/>
      </c>
      <c r="Q5" s="13">
        <f>IF(Q$4="","",INDEX(코드!$M$2:$M$8,WEEKDAY(DATE(근태!$B$1,근태!$B$2,Q$4))))</f>
        <v/>
      </c>
      <c r="R5" s="13">
        <f>IF(R$4="","",INDEX(코드!$M$2:$M$8,WEEKDAY(DATE(근태!$B$1,근태!$B$2,R$4))))</f>
        <v/>
      </c>
      <c r="S5" s="13">
        <f>IF(S$4="","",INDEX(코드!$M$2:$M$8,WEEKDAY(DATE(근태!$B$1,근태!$B$2,S$4))))</f>
        <v/>
      </c>
      <c r="T5" s="13">
        <f>IF(T$4="","",INDEX(코드!$M$2:$M$8,WEEKDAY(DATE(근태!$B$1,근태!$B$2,T$4))))</f>
        <v/>
      </c>
      <c r="U5" s="13">
        <f>IF(U$4="","",INDEX(코드!$M$2:$M$8,WEEKDAY(DATE(근태!$B$1,근태!$B$2,U$4))))</f>
        <v/>
      </c>
      <c r="V5" s="13">
        <f>IF(V$4="","",INDEX(코드!$M$2:$M$8,WEEKDAY(DATE(근태!$B$1,근태!$B$2,V$4))))</f>
        <v/>
      </c>
      <c r="W5" s="13">
        <f>IF(W$4="","",INDEX(코드!$M$2:$M$8,WEEKDAY(DATE(근태!$B$1,근태!$B$2,W$4))))</f>
        <v/>
      </c>
      <c r="X5" s="13">
        <f>IF(X$4="","",INDEX(코드!$M$2:$M$8,WEEKDAY(DATE(근태!$B$1,근태!$B$2,X$4))))</f>
        <v/>
      </c>
      <c r="Y5" s="13">
        <f>IF(Y$4="","",INDEX(코드!$M$2:$M$8,WEEKDAY(DATE(근태!$B$1,근태!$B$2,Y$4))))</f>
        <v/>
      </c>
      <c r="Z5" s="13">
        <f>IF(Z$4="","",INDEX(코드!$M$2:$M$8,WEEKDAY(DATE(근태!$B$1,근태!$B$2,Z$4))))</f>
        <v/>
      </c>
      <c r="AA5" s="13">
        <f>IF(AA$4="","",INDEX(코드!$M$2:$M$8,WEEKDAY(DATE(근태!$B$1,근태!$B$2,AA$4))))</f>
        <v/>
      </c>
      <c r="AB5" s="13">
        <f>IF(AB$4="","",INDEX(코드!$M$2:$M$8,WEEKDAY(DATE(근태!$B$1,근태!$B$2,AB$4))))</f>
        <v/>
      </c>
      <c r="AC5" s="13">
        <f>IF(AC$4="","",INDEX(코드!$M$2:$M$8,WEEKDAY(DATE(근태!$B$1,근태!$B$2,AC$4))))</f>
        <v/>
      </c>
      <c r="AD5" s="13">
        <f>IF(AD$4="","",INDEX(코드!$M$2:$M$8,WEEKDAY(DATE(근태!$B$1,근태!$B$2,AD$4))))</f>
        <v/>
      </c>
      <c r="AE5" s="13">
        <f>IF(AE$4="","",INDEX(코드!$M$2:$M$8,WEEKDAY(DATE(근태!$B$1,근태!$B$2,AE$4))))</f>
        <v/>
      </c>
      <c r="AF5" s="13">
        <f>IF(AF$4="","",INDEX(코드!$M$2:$M$8,WEEKDAY(DATE(근태!$B$1,근태!$B$2,AF$4))))</f>
        <v/>
      </c>
      <c r="AG5" s="13">
        <f>IF(AG$4="","",INDEX(코드!$M$2:$M$8,WEEKDAY(DATE(근태!$B$1,근태!$B$2,AG$4))))</f>
        <v/>
      </c>
      <c r="AH5" s="13">
        <f>IF(AH$4="","",INDEX(코드!$M$2:$M$8,WEEKDAY(DATE(근태!$B$1,근태!$B$2,AH$4))))</f>
        <v/>
      </c>
    </row>
    <row r="6">
      <c r="D6" s="9">
        <f>IF(D$4="","",IF(OR(WEEKDAY(DATE(근태!$B$1,근태!$B$2,D$4),2)&gt;5,COUNTIF(공휴일!$A$2:$A$400,DATE(근태!$B$1,근태!$B$2,D$4))&gt;0),"휴일",""))</f>
        <v/>
      </c>
      <c r="E6" s="9">
        <f>IF(E$4="","",IF(OR(WEEKDAY(DATE(근태!$B$1,근태!$B$2,E$4),2)&gt;5,COUNTIF(공휴일!$A$2:$A$400,DATE(근태!$B$1,근태!$B$2,E$4))&gt;0),"휴일",""))</f>
        <v/>
      </c>
      <c r="F6" s="9">
        <f>IF(F$4="","",IF(OR(WEEKDAY(DATE(근태!$B$1,근태!$B$2,F$4),2)&gt;5,COUNTIF(공휴일!$A$2:$A$400,DATE(근태!$B$1,근태!$B$2,F$4))&gt;0),"휴일",""))</f>
        <v/>
      </c>
      <c r="G6" s="9">
        <f>IF(G$4="","",IF(OR(WEEKDAY(DATE(근태!$B$1,근태!$B$2,G$4),2)&gt;5,COUNTIF(공휴일!$A$2:$A$400,DATE(근태!$B$1,근태!$B$2,G$4))&gt;0),"휴일",""))</f>
        <v/>
      </c>
      <c r="H6" s="9">
        <f>IF(H$4="","",IF(OR(WEEKDAY(DATE(근태!$B$1,근태!$B$2,H$4),2)&gt;5,COUNTIF(공휴일!$A$2:$A$400,DATE(근태!$B$1,근태!$B$2,H$4))&gt;0),"휴일",""))</f>
        <v/>
      </c>
      <c r="I6" s="9">
        <f>IF(I$4="","",IF(OR(WEEKDAY(DATE(근태!$B$1,근태!$B$2,I$4),2)&gt;5,COUNTIF(공휴일!$A$2:$A$400,DATE(근태!$B$1,근태!$B$2,I$4))&gt;0),"휴일",""))</f>
        <v/>
      </c>
      <c r="J6" s="9">
        <f>IF(J$4="","",IF(OR(WEEKDAY(DATE(근태!$B$1,근태!$B$2,J$4),2)&gt;5,COUNTIF(공휴일!$A$2:$A$400,DATE(근태!$B$1,근태!$B$2,J$4))&gt;0),"휴일",""))</f>
        <v/>
      </c>
      <c r="K6" s="9">
        <f>IF(K$4="","",IF(OR(WEEKDAY(DATE(근태!$B$1,근태!$B$2,K$4),2)&gt;5,COUNTIF(공휴일!$A$2:$A$400,DATE(근태!$B$1,근태!$B$2,K$4))&gt;0),"휴일",""))</f>
        <v/>
      </c>
      <c r="L6" s="9">
        <f>IF(L$4="","",IF(OR(WEEKDAY(DATE(근태!$B$1,근태!$B$2,L$4),2)&gt;5,COUNTIF(공휴일!$A$2:$A$400,DATE(근태!$B$1,근태!$B$2,L$4))&gt;0),"휴일",""))</f>
        <v/>
      </c>
      <c r="M6" s="9">
        <f>IF(M$4="","",IF(OR(WEEKDAY(DATE(근태!$B$1,근태!$B$2,M$4),2)&gt;5,COUNTIF(공휴일!$A$2:$A$400,DATE(근태!$B$1,근태!$B$2,M$4))&gt;0),"휴일",""))</f>
        <v/>
      </c>
      <c r="N6" s="9">
        <f>IF(N$4="","",IF(OR(WEEKDAY(DATE(근태!$B$1,근태!$B$2,N$4),2)&gt;5,COUNTIF(공휴일!$A$2:$A$400,DATE(근태!$B$1,근태!$B$2,N$4))&gt;0),"휴일",""))</f>
        <v/>
      </c>
      <c r="O6" s="9">
        <f>IF(O$4="","",IF(OR(WEEKDAY(DATE(근태!$B$1,근태!$B$2,O$4),2)&gt;5,COUNTIF(공휴일!$A$2:$A$400,DATE(근태!$B$1,근태!$B$2,O$4))&gt;0),"휴일",""))</f>
        <v/>
      </c>
      <c r="P6" s="9">
        <f>IF(P$4="","",IF(OR(WEEKDAY(DATE(근태!$B$1,근태!$B$2,P$4),2)&gt;5,COUNTIF(공휴일!$A$2:$A$400,DATE(근태!$B$1,근태!$B$2,P$4))&gt;0),"휴일",""))</f>
        <v/>
      </c>
      <c r="Q6" s="9">
        <f>IF(Q$4="","",IF(OR(WEEKDAY(DATE(근태!$B$1,근태!$B$2,Q$4),2)&gt;5,COUNTIF(공휴일!$A$2:$A$400,DATE(근태!$B$1,근태!$B$2,Q$4))&gt;0),"휴일",""))</f>
        <v/>
      </c>
      <c r="R6" s="9">
        <f>IF(R$4="","",IF(OR(WEEKDAY(DATE(근태!$B$1,근태!$B$2,R$4),2)&gt;5,COUNTIF(공휴일!$A$2:$A$400,DATE(근태!$B$1,근태!$B$2,R$4))&gt;0),"휴일",""))</f>
        <v/>
      </c>
      <c r="S6" s="9">
        <f>IF(S$4="","",IF(OR(WEEKDAY(DATE(근태!$B$1,근태!$B$2,S$4),2)&gt;5,COUNTIF(공휴일!$A$2:$A$400,DATE(근태!$B$1,근태!$B$2,S$4))&gt;0),"휴일",""))</f>
        <v/>
      </c>
      <c r="T6" s="9">
        <f>IF(T$4="","",IF(OR(WEEKDAY(DATE(근태!$B$1,근태!$B$2,T$4),2)&gt;5,COUNTIF(공휴일!$A$2:$A$400,DATE(근태!$B$1,근태!$B$2,T$4))&gt;0),"휴일",""))</f>
        <v/>
      </c>
      <c r="U6" s="9">
        <f>IF(U$4="","",IF(OR(WEEKDAY(DATE(근태!$B$1,근태!$B$2,U$4),2)&gt;5,COUNTIF(공휴일!$A$2:$A$400,DATE(근태!$B$1,근태!$B$2,U$4))&gt;0),"휴일",""))</f>
        <v/>
      </c>
      <c r="V6" s="9">
        <f>IF(V$4="","",IF(OR(WEEKDAY(DATE(근태!$B$1,근태!$B$2,V$4),2)&gt;5,COUNTIF(공휴일!$A$2:$A$400,DATE(근태!$B$1,근태!$B$2,V$4))&gt;0),"휴일",""))</f>
        <v/>
      </c>
      <c r="W6" s="9">
        <f>IF(W$4="","",IF(OR(WEEKDAY(DATE(근태!$B$1,근태!$B$2,W$4),2)&gt;5,COUNTIF(공휴일!$A$2:$A$400,DATE(근태!$B$1,근태!$B$2,W$4))&gt;0),"휴일",""))</f>
        <v/>
      </c>
      <c r="X6" s="9">
        <f>IF(X$4="","",IF(OR(WEEKDAY(DATE(근태!$B$1,근태!$B$2,X$4),2)&gt;5,COUNTIF(공휴일!$A$2:$A$400,DATE(근태!$B$1,근태!$B$2,X$4))&gt;0),"휴일",""))</f>
        <v/>
      </c>
      <c r="Y6" s="9">
        <f>IF(Y$4="","",IF(OR(WEEKDAY(DATE(근태!$B$1,근태!$B$2,Y$4),2)&gt;5,COUNTIF(공휴일!$A$2:$A$400,DATE(근태!$B$1,근태!$B$2,Y$4))&gt;0),"휴일",""))</f>
        <v/>
      </c>
      <c r="Z6" s="9">
        <f>IF(Z$4="","",IF(OR(WEEKDAY(DATE(근태!$B$1,근태!$B$2,Z$4),2)&gt;5,COUNTIF(공휴일!$A$2:$A$400,DATE(근태!$B$1,근태!$B$2,Z$4))&gt;0),"휴일",""))</f>
        <v/>
      </c>
      <c r="AA6" s="9">
        <f>IF(AA$4="","",IF(OR(WEEKDAY(DATE(근태!$B$1,근태!$B$2,AA$4),2)&gt;5,COUNTIF(공휴일!$A$2:$A$400,DATE(근태!$B$1,근태!$B$2,AA$4))&gt;0),"휴일",""))</f>
        <v/>
      </c>
      <c r="AB6" s="9">
        <f>IF(AB$4="","",IF(OR(WEEKDAY(DATE(근태!$B$1,근태!$B$2,AB$4),2)&gt;5,COUNTIF(공휴일!$A$2:$A$400,DATE(근태!$B$1,근태!$B$2,AB$4))&gt;0),"휴일",""))</f>
        <v/>
      </c>
      <c r="AC6" s="9">
        <f>IF(AC$4="","",IF(OR(WEEKDAY(DATE(근태!$B$1,근태!$B$2,AC$4),2)&gt;5,COUNTIF(공휴일!$A$2:$A$400,DATE(근태!$B$1,근태!$B$2,AC$4))&gt;0),"휴일",""))</f>
        <v/>
      </c>
      <c r="AD6" s="9">
        <f>IF(AD$4="","",IF(OR(WEEKDAY(DATE(근태!$B$1,근태!$B$2,AD$4),2)&gt;5,COUNTIF(공휴일!$A$2:$A$400,DATE(근태!$B$1,근태!$B$2,AD$4))&gt;0),"휴일",""))</f>
        <v/>
      </c>
      <c r="AE6" s="9">
        <f>IF(AE$4="","",IF(OR(WEEKDAY(DATE(근태!$B$1,근태!$B$2,AE$4),2)&gt;5,COUNTIF(공휴일!$A$2:$A$400,DATE(근태!$B$1,근태!$B$2,AE$4))&gt;0),"휴일",""))</f>
        <v/>
      </c>
      <c r="AF6" s="9">
        <f>IF(AF$4="","",IF(OR(WEEKDAY(DATE(근태!$B$1,근태!$B$2,AF$4),2)&gt;5,COUNTIF(공휴일!$A$2:$A$400,DATE(근태!$B$1,근태!$B$2,AF$4))&gt;0),"휴일",""))</f>
        <v/>
      </c>
      <c r="AG6" s="9">
        <f>IF(AG$4="","",IF(OR(WEEKDAY(DATE(근태!$B$1,근태!$B$2,AG$4),2)&gt;5,COUNTIF(공휴일!$A$2:$A$400,DATE(근태!$B$1,근태!$B$2,AG$4))&gt;0),"휴일",""))</f>
        <v/>
      </c>
      <c r="AH6" s="9">
        <f>IF(AH$4="","",IF(OR(WEEKDAY(DATE(근태!$B$1,근태!$B$2,AH$4),2)&gt;5,COUNTIF(공휴일!$A$2:$A$400,DATE(근태!$B$1,근태!$B$2,AH$4))&gt;0),"휴일",""))</f>
        <v/>
      </c>
    </row>
    <row r="7">
      <c r="A7" s="12" t="inlineStr">
        <is>
          <t>이름</t>
        </is>
      </c>
      <c r="B7" s="12" t="inlineStr">
        <is>
          <t>파트</t>
        </is>
      </c>
      <c r="C7" s="12" t="inlineStr">
        <is>
          <t>그룹</t>
        </is>
      </c>
    </row>
    <row r="8">
      <c r="A8" s="15">
        <f>IF(명부!A2="","",명부!A2)</f>
        <v/>
      </c>
      <c r="B8" s="16">
        <f>IF(명부!C2="","",명부!C2)</f>
        <v/>
      </c>
      <c r="C8" s="17">
        <f>IF(명부!E2="","",명부!E2)</f>
        <v/>
      </c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5" t="n"/>
    </row>
    <row r="9">
      <c r="A9" s="15">
        <f>IF(명부!A3="","",명부!A3)</f>
        <v/>
      </c>
      <c r="B9" s="16">
        <f>IF(명부!C3="","",명부!C3)</f>
        <v/>
      </c>
      <c r="C9" s="17">
        <f>IF(명부!E3="","",명부!E3)</f>
        <v/>
      </c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  <c r="AD9" s="25" t="n"/>
      <c r="AE9" s="25" t="n"/>
      <c r="AF9" s="25" t="n"/>
      <c r="AG9" s="25" t="n"/>
      <c r="AH9" s="25" t="n"/>
    </row>
    <row r="10">
      <c r="A10" s="15">
        <f>IF(명부!A4="","",명부!A4)</f>
        <v/>
      </c>
      <c r="B10" s="16">
        <f>IF(명부!C4="","",명부!C4)</f>
        <v/>
      </c>
      <c r="C10" s="17">
        <f>IF(명부!E4="","",명부!E4)</f>
        <v/>
      </c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</row>
    <row r="11">
      <c r="A11" s="15">
        <f>IF(명부!A5="","",명부!A5)</f>
        <v/>
      </c>
      <c r="B11" s="16">
        <f>IF(명부!C5="","",명부!C5)</f>
        <v/>
      </c>
      <c r="C11" s="17">
        <f>IF(명부!E5="","",명부!E5)</f>
        <v/>
      </c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  <c r="AD11" s="25" t="n"/>
      <c r="AE11" s="25" t="n"/>
      <c r="AF11" s="25" t="n"/>
      <c r="AG11" s="25" t="n"/>
      <c r="AH11" s="25" t="n"/>
    </row>
    <row r="12">
      <c r="A12" s="15">
        <f>IF(명부!A6="","",명부!A6)</f>
        <v/>
      </c>
      <c r="B12" s="16">
        <f>IF(명부!C6="","",명부!C6)</f>
        <v/>
      </c>
      <c r="C12" s="17">
        <f>IF(명부!E6="","",명부!E6)</f>
        <v/>
      </c>
      <c r="D12" s="25" t="n"/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  <c r="AD12" s="25" t="n"/>
      <c r="AE12" s="25" t="n"/>
      <c r="AF12" s="25" t="n"/>
      <c r="AG12" s="25" t="n"/>
      <c r="AH12" s="25" t="n"/>
    </row>
    <row r="13">
      <c r="A13" s="15">
        <f>IF(명부!A7="","",명부!A7)</f>
        <v/>
      </c>
      <c r="B13" s="16">
        <f>IF(명부!C7="","",명부!C7)</f>
        <v/>
      </c>
      <c r="C13" s="17">
        <f>IF(명부!E7="","",명부!E7)</f>
        <v/>
      </c>
      <c r="D13" s="25" t="n"/>
      <c r="E13" s="25" t="n"/>
      <c r="F13" s="25" t="n"/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</row>
    <row r="14">
      <c r="A14" s="15">
        <f>IF(명부!A8="","",명부!A8)</f>
        <v/>
      </c>
      <c r="B14" s="16">
        <f>IF(명부!C8="","",명부!C8)</f>
        <v/>
      </c>
      <c r="C14" s="17">
        <f>IF(명부!E8="","",명부!E8)</f>
        <v/>
      </c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</row>
    <row r="15">
      <c r="A15" s="15">
        <f>IF(명부!A9="","",명부!A9)</f>
        <v/>
      </c>
      <c r="B15" s="16">
        <f>IF(명부!C9="","",명부!C9)</f>
        <v/>
      </c>
      <c r="C15" s="17">
        <f>IF(명부!E9="","",명부!E9)</f>
        <v/>
      </c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</row>
    <row r="16">
      <c r="A16" s="15">
        <f>IF(명부!A10="","",명부!A10)</f>
        <v/>
      </c>
      <c r="B16" s="16">
        <f>IF(명부!C10="","",명부!C10)</f>
        <v/>
      </c>
      <c r="C16" s="17">
        <f>IF(명부!E10="","",명부!E10)</f>
        <v/>
      </c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</row>
    <row r="17">
      <c r="A17" s="15">
        <f>IF(명부!A11="","",명부!A11)</f>
        <v/>
      </c>
      <c r="B17" s="16">
        <f>IF(명부!C11="","",명부!C11)</f>
        <v/>
      </c>
      <c r="C17" s="17">
        <f>IF(명부!E11="","",명부!E11)</f>
        <v/>
      </c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5" t="n"/>
    </row>
    <row r="18">
      <c r="A18" s="15">
        <f>IF(명부!A12="","",명부!A12)</f>
        <v/>
      </c>
      <c r="B18" s="16">
        <f>IF(명부!C12="","",명부!C12)</f>
        <v/>
      </c>
      <c r="C18" s="17">
        <f>IF(명부!E12="","",명부!E12)</f>
        <v/>
      </c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</row>
    <row r="19">
      <c r="A19" s="15">
        <f>IF(명부!A13="","",명부!A13)</f>
        <v/>
      </c>
      <c r="B19" s="16">
        <f>IF(명부!C13="","",명부!C13)</f>
        <v/>
      </c>
      <c r="C19" s="17">
        <f>IF(명부!E13="","",명부!E13)</f>
        <v/>
      </c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  <c r="AD19" s="25" t="n"/>
      <c r="AE19" s="25" t="n"/>
      <c r="AF19" s="25" t="n"/>
      <c r="AG19" s="25" t="n"/>
      <c r="AH19" s="25" t="n"/>
    </row>
    <row r="20">
      <c r="A20" s="15">
        <f>IF(명부!A14="","",명부!A14)</f>
        <v/>
      </c>
      <c r="B20" s="16">
        <f>IF(명부!C14="","",명부!C14)</f>
        <v/>
      </c>
      <c r="C20" s="17">
        <f>IF(명부!E14="","",명부!E14)</f>
        <v/>
      </c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</row>
    <row r="21">
      <c r="A21" s="15">
        <f>IF(명부!A15="","",명부!A15)</f>
        <v/>
      </c>
      <c r="B21" s="16">
        <f>IF(명부!C15="","",명부!C15)</f>
        <v/>
      </c>
      <c r="C21" s="17">
        <f>IF(명부!E15="","",명부!E15)</f>
        <v/>
      </c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5" t="n"/>
      <c r="AG21" s="25" t="n"/>
      <c r="AH21" s="25" t="n"/>
    </row>
    <row r="22">
      <c r="A22" s="15">
        <f>IF(명부!A16="","",명부!A16)</f>
        <v/>
      </c>
      <c r="B22" s="16">
        <f>IF(명부!C16="","",명부!C16)</f>
        <v/>
      </c>
      <c r="C22" s="17">
        <f>IF(명부!E16="","",명부!E16)</f>
        <v/>
      </c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</row>
    <row r="23">
      <c r="A23" s="15">
        <f>IF(명부!A17="","",명부!A17)</f>
        <v/>
      </c>
      <c r="B23" s="16">
        <f>IF(명부!C17="","",명부!C17)</f>
        <v/>
      </c>
      <c r="C23" s="17">
        <f>IF(명부!E17="","",명부!E17)</f>
        <v/>
      </c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5" t="n"/>
      <c r="AG23" s="25" t="n"/>
      <c r="AH23" s="25" t="n"/>
    </row>
    <row r="24">
      <c r="A24" s="15">
        <f>IF(명부!A18="","",명부!A18)</f>
        <v/>
      </c>
      <c r="B24" s="16">
        <f>IF(명부!C18="","",명부!C18)</f>
        <v/>
      </c>
      <c r="C24" s="17">
        <f>IF(명부!E18="","",명부!E18)</f>
        <v/>
      </c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  <c r="AD24" s="25" t="n"/>
      <c r="AE24" s="25" t="n"/>
      <c r="AF24" s="25" t="n"/>
      <c r="AG24" s="25" t="n"/>
      <c r="AH24" s="25" t="n"/>
    </row>
    <row r="25">
      <c r="A25" s="15">
        <f>IF(명부!A19="","",명부!A19)</f>
        <v/>
      </c>
      <c r="B25" s="16">
        <f>IF(명부!C19="","",명부!C19)</f>
        <v/>
      </c>
      <c r="C25" s="17">
        <f>IF(명부!E19="","",명부!E19)</f>
        <v/>
      </c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  <c r="AD25" s="25" t="n"/>
      <c r="AE25" s="25" t="n"/>
      <c r="AF25" s="25" t="n"/>
      <c r="AG25" s="25" t="n"/>
      <c r="AH25" s="25" t="n"/>
    </row>
    <row r="26">
      <c r="A26" s="15">
        <f>IF(명부!A20="","",명부!A20)</f>
        <v/>
      </c>
      <c r="B26" s="16">
        <f>IF(명부!C20="","",명부!C20)</f>
        <v/>
      </c>
      <c r="C26" s="17">
        <f>IF(명부!E20="","",명부!E20)</f>
        <v/>
      </c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5" t="n"/>
    </row>
    <row r="27">
      <c r="A27" s="15">
        <f>IF(명부!A21="","",명부!A21)</f>
        <v/>
      </c>
      <c r="B27" s="16">
        <f>IF(명부!C21="","",명부!C21)</f>
        <v/>
      </c>
      <c r="C27" s="17">
        <f>IF(명부!E21="","",명부!E21)</f>
        <v/>
      </c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  <c r="AD27" s="25" t="n"/>
      <c r="AE27" s="25" t="n"/>
      <c r="AF27" s="25" t="n"/>
      <c r="AG27" s="25" t="n"/>
      <c r="AH27" s="25" t="n"/>
    </row>
    <row r="28">
      <c r="A28" s="15">
        <f>IF(명부!A22="","",명부!A22)</f>
        <v/>
      </c>
      <c r="B28" s="16">
        <f>IF(명부!C22="","",명부!C22)</f>
        <v/>
      </c>
      <c r="C28" s="17">
        <f>IF(명부!E22="","",명부!E22)</f>
        <v/>
      </c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  <c r="AD28" s="25" t="n"/>
      <c r="AE28" s="25" t="n"/>
      <c r="AF28" s="25" t="n"/>
      <c r="AG28" s="25" t="n"/>
      <c r="AH28" s="25" t="n"/>
    </row>
    <row r="29">
      <c r="A29" s="15">
        <f>IF(명부!A23="","",명부!A23)</f>
        <v/>
      </c>
      <c r="B29" s="16">
        <f>IF(명부!C23="","",명부!C23)</f>
        <v/>
      </c>
      <c r="C29" s="17">
        <f>IF(명부!E23="","",명부!E23)</f>
        <v/>
      </c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  <c r="AD29" s="25" t="n"/>
      <c r="AE29" s="25" t="n"/>
      <c r="AF29" s="25" t="n"/>
      <c r="AG29" s="25" t="n"/>
      <c r="AH29" s="25" t="n"/>
    </row>
    <row r="30">
      <c r="A30" s="15">
        <f>IF(명부!A24="","",명부!A24)</f>
        <v/>
      </c>
      <c r="B30" s="16">
        <f>IF(명부!C24="","",명부!C24)</f>
        <v/>
      </c>
      <c r="C30" s="17">
        <f>IF(명부!E24="","",명부!E24)</f>
        <v/>
      </c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25" t="n"/>
      <c r="AH30" s="25" t="n"/>
    </row>
    <row r="31">
      <c r="A31" s="15">
        <f>IF(명부!A25="","",명부!A25)</f>
        <v/>
      </c>
      <c r="B31" s="16">
        <f>IF(명부!C25="","",명부!C25)</f>
        <v/>
      </c>
      <c r="C31" s="17">
        <f>IF(명부!E25="","",명부!E25)</f>
        <v/>
      </c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25" t="n"/>
      <c r="AH31" s="25" t="n"/>
    </row>
    <row r="34">
      <c r="A34" s="5" t="inlineStr">
        <is>
          <t>선택근로 시간과 OT 시간은 나눠서 관리합니다. 자정을 넘긴 OT 도 시간만 합쳐서 넣으면 됩니다.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D8:AH31">
    <cfRule type="cellIs" priority="1" operator="greaterThan" dxfId="3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8" t="inlineStr">
        <is>
          <t>개인요약 — 월 총량 · OT 잔여 · 주별 근로시간</t>
        </is>
      </c>
    </row>
    <row r="2">
      <c r="A2" s="5" t="inlineStr">
        <is>
          <t>「근태」 시트의 연·월을 따릅니다. 노란 칸(OT 기본 가능시간)만 직접 넣으세요 — 휴가를 쓰면 그 시간만큼 OT 한도가 자동으로 늘어납니다.</t>
        </is>
      </c>
    </row>
    <row r="7">
      <c r="A7" s="12" t="inlineStr">
        <is>
          <t>이름</t>
        </is>
      </c>
      <c r="B7" s="12" t="inlineStr">
        <is>
          <t>파트</t>
        </is>
      </c>
      <c r="C7" s="12" t="inlineStr">
        <is>
          <t>그룹</t>
        </is>
      </c>
      <c r="D7" s="12" t="inlineStr">
        <is>
          <t>소정근로일</t>
        </is>
      </c>
      <c r="E7" s="12" t="inlineStr">
        <is>
          <t>기본 총량</t>
        </is>
      </c>
      <c r="F7" s="12" t="inlineStr">
        <is>
          <t>휴가</t>
        </is>
      </c>
      <c r="G7" s="12" t="inlineStr">
        <is>
          <t>조정 총량</t>
        </is>
      </c>
      <c r="H7" s="12" t="inlineStr">
        <is>
          <t>실근로</t>
        </is>
      </c>
      <c r="I7" s="12" t="inlineStr">
        <is>
          <t>총량 대비</t>
        </is>
      </c>
      <c r="J7" s="12" t="inlineStr">
        <is>
          <t>OT 합계</t>
        </is>
      </c>
      <c r="K7" s="12" t="inlineStr">
        <is>
          <t>OT 기본</t>
        </is>
      </c>
      <c r="L7" s="12" t="inlineStr">
        <is>
          <t>OT 한도</t>
        </is>
      </c>
      <c r="M7" s="12" t="inlineStr">
        <is>
          <t>OT 잔여</t>
        </is>
      </c>
      <c r="N7" s="12" t="inlineStr">
        <is>
          <t>8시간 일수</t>
        </is>
      </c>
      <c r="O7" s="12" t="inlineStr">
        <is>
          <t>1주</t>
        </is>
      </c>
      <c r="P7" s="12" t="inlineStr">
        <is>
          <t>2주</t>
        </is>
      </c>
      <c r="Q7" s="12" t="inlineStr">
        <is>
          <t>3주</t>
        </is>
      </c>
      <c r="R7" s="12" t="inlineStr">
        <is>
          <t>4주</t>
        </is>
      </c>
      <c r="S7" s="12" t="inlineStr">
        <is>
          <t>5주</t>
        </is>
      </c>
      <c r="T7" s="12" t="inlineStr">
        <is>
          <t>6주</t>
        </is>
      </c>
      <c r="U7" s="12" t="inlineStr">
        <is>
          <t>최대 주</t>
        </is>
      </c>
      <c r="V7" s="12" t="inlineStr">
        <is>
          <t>주 64h</t>
        </is>
      </c>
    </row>
    <row r="8">
      <c r="A8" s="15">
        <f>IF(명부!A2="","",명부!A2)</f>
        <v/>
      </c>
      <c r="B8" s="16">
        <f>IF(명부!C2="","",명부!C2)</f>
        <v/>
      </c>
      <c r="C8" s="17">
        <f>IF(명부!E2="","",명부!E2)</f>
        <v/>
      </c>
      <c r="D8" s="24">
        <f>SUMPRODUCT((시간!$D$4:$AH$4&lt;&gt;"")*(시간!$D$6:$AH$6=""))</f>
        <v/>
      </c>
      <c r="E8" s="26">
        <f>D8*8</f>
        <v/>
      </c>
      <c r="F8" s="26">
        <f>SUM(시간!$D$64:$AH$64)</f>
        <v/>
      </c>
      <c r="G8" s="27">
        <f>E8-F8</f>
        <v/>
      </c>
      <c r="H8" s="27">
        <f>SUM(시간!$D$36:$AH$36)</f>
        <v/>
      </c>
      <c r="I8" s="28">
        <f>H8-G8</f>
        <v/>
      </c>
      <c r="J8" s="26">
        <f>SUM(OT!$D$8:$AH$8)</f>
        <v/>
      </c>
      <c r="K8" s="29" t="n"/>
      <c r="L8" s="30">
        <f>K8+F8</f>
        <v/>
      </c>
      <c r="M8" s="31">
        <f>L8-J8</f>
        <v/>
      </c>
      <c r="N8" s="24">
        <f>SUM(시간!$D$92:$AH$92)</f>
        <v/>
      </c>
      <c r="O8" s="32">
        <f>SUMPRODUCT((시간!$D$3:$AH$3=1)*(시간!$D$36:$AH$36))+SUMPRODUCT((시간!$D$3:$AH$3=1)*(OT!$D$8:$AH$8))</f>
        <v/>
      </c>
      <c r="P8" s="32">
        <f>SUMPRODUCT((시간!$D$3:$AH$3=2)*(시간!$D$36:$AH$36))+SUMPRODUCT((시간!$D$3:$AH$3=2)*(OT!$D$8:$AH$8))</f>
        <v/>
      </c>
      <c r="Q8" s="32">
        <f>SUMPRODUCT((시간!$D$3:$AH$3=3)*(시간!$D$36:$AH$36))+SUMPRODUCT((시간!$D$3:$AH$3=3)*(OT!$D$8:$AH$8))</f>
        <v/>
      </c>
      <c r="R8" s="32">
        <f>SUMPRODUCT((시간!$D$3:$AH$3=4)*(시간!$D$36:$AH$36))+SUMPRODUCT((시간!$D$3:$AH$3=4)*(OT!$D$8:$AH$8))</f>
        <v/>
      </c>
      <c r="S8" s="32">
        <f>SUMPRODUCT((시간!$D$3:$AH$3=5)*(시간!$D$36:$AH$36))+SUMPRODUCT((시간!$D$3:$AH$3=5)*(OT!$D$8:$AH$8))</f>
        <v/>
      </c>
      <c r="T8" s="32">
        <f>SUMPRODUCT((시간!$D$3:$AH$3=6)*(시간!$D$36:$AH$36))+SUMPRODUCT((시간!$D$3:$AH$3=6)*(OT!$D$8:$AH$8))</f>
        <v/>
      </c>
      <c r="U8" s="31">
        <f>MAX(O8:T8)</f>
        <v/>
      </c>
      <c r="V8" s="24">
        <f>IF(U8&gt;64,"초과","적합")</f>
        <v/>
      </c>
    </row>
    <row r="9">
      <c r="A9" s="15">
        <f>IF(명부!A3="","",명부!A3)</f>
        <v/>
      </c>
      <c r="B9" s="16">
        <f>IF(명부!C3="","",명부!C3)</f>
        <v/>
      </c>
      <c r="C9" s="17">
        <f>IF(명부!E3="","",명부!E3)</f>
        <v/>
      </c>
      <c r="D9" s="24">
        <f>SUMPRODUCT((시간!$D$4:$AH$4&lt;&gt;"")*(시간!$D$6:$AH$6=""))</f>
        <v/>
      </c>
      <c r="E9" s="26">
        <f>D9*8</f>
        <v/>
      </c>
      <c r="F9" s="26">
        <f>SUM(시간!$D$65:$AH$65)</f>
        <v/>
      </c>
      <c r="G9" s="27">
        <f>E9-F9</f>
        <v/>
      </c>
      <c r="H9" s="27">
        <f>SUM(시간!$D$37:$AH$37)</f>
        <v/>
      </c>
      <c r="I9" s="28">
        <f>H9-G9</f>
        <v/>
      </c>
      <c r="J9" s="26">
        <f>SUM(OT!$D$9:$AH$9)</f>
        <v/>
      </c>
      <c r="K9" s="29" t="n"/>
      <c r="L9" s="30">
        <f>K9+F9</f>
        <v/>
      </c>
      <c r="M9" s="31">
        <f>L9-J9</f>
        <v/>
      </c>
      <c r="N9" s="24">
        <f>SUM(시간!$D$93:$AH$93)</f>
        <v/>
      </c>
      <c r="O9" s="32">
        <f>SUMPRODUCT((시간!$D$3:$AH$3=1)*(시간!$D$37:$AH$37))+SUMPRODUCT((시간!$D$3:$AH$3=1)*(OT!$D$9:$AH$9))</f>
        <v/>
      </c>
      <c r="P9" s="32">
        <f>SUMPRODUCT((시간!$D$3:$AH$3=2)*(시간!$D$37:$AH$37))+SUMPRODUCT((시간!$D$3:$AH$3=2)*(OT!$D$9:$AH$9))</f>
        <v/>
      </c>
      <c r="Q9" s="32">
        <f>SUMPRODUCT((시간!$D$3:$AH$3=3)*(시간!$D$37:$AH$37))+SUMPRODUCT((시간!$D$3:$AH$3=3)*(OT!$D$9:$AH$9))</f>
        <v/>
      </c>
      <c r="R9" s="32">
        <f>SUMPRODUCT((시간!$D$3:$AH$3=4)*(시간!$D$37:$AH$37))+SUMPRODUCT((시간!$D$3:$AH$3=4)*(OT!$D$9:$AH$9))</f>
        <v/>
      </c>
      <c r="S9" s="32">
        <f>SUMPRODUCT((시간!$D$3:$AH$3=5)*(시간!$D$37:$AH$37))+SUMPRODUCT((시간!$D$3:$AH$3=5)*(OT!$D$9:$AH$9))</f>
        <v/>
      </c>
      <c r="T9" s="32">
        <f>SUMPRODUCT((시간!$D$3:$AH$3=6)*(시간!$D$37:$AH$37))+SUMPRODUCT((시간!$D$3:$AH$3=6)*(OT!$D$9:$AH$9))</f>
        <v/>
      </c>
      <c r="U9" s="31">
        <f>MAX(O9:T9)</f>
        <v/>
      </c>
      <c r="V9" s="24">
        <f>IF(U9&gt;64,"초과","적합")</f>
        <v/>
      </c>
    </row>
    <row r="10">
      <c r="A10" s="15">
        <f>IF(명부!A4="","",명부!A4)</f>
        <v/>
      </c>
      <c r="B10" s="16">
        <f>IF(명부!C4="","",명부!C4)</f>
        <v/>
      </c>
      <c r="C10" s="17">
        <f>IF(명부!E4="","",명부!E4)</f>
        <v/>
      </c>
      <c r="D10" s="24">
        <f>SUMPRODUCT((시간!$D$4:$AH$4&lt;&gt;"")*(시간!$D$6:$AH$6=""))</f>
        <v/>
      </c>
      <c r="E10" s="26">
        <f>D10*8</f>
        <v/>
      </c>
      <c r="F10" s="26">
        <f>SUM(시간!$D$66:$AH$66)</f>
        <v/>
      </c>
      <c r="G10" s="27">
        <f>E10-F10</f>
        <v/>
      </c>
      <c r="H10" s="27">
        <f>SUM(시간!$D$38:$AH$38)</f>
        <v/>
      </c>
      <c r="I10" s="28">
        <f>H10-G10</f>
        <v/>
      </c>
      <c r="J10" s="26">
        <f>SUM(OT!$D$10:$AH$10)</f>
        <v/>
      </c>
      <c r="K10" s="29" t="n"/>
      <c r="L10" s="30">
        <f>K10+F10</f>
        <v/>
      </c>
      <c r="M10" s="31">
        <f>L10-J10</f>
        <v/>
      </c>
      <c r="N10" s="24">
        <f>SUM(시간!$D$94:$AH$94)</f>
        <v/>
      </c>
      <c r="O10" s="32">
        <f>SUMPRODUCT((시간!$D$3:$AH$3=1)*(시간!$D$38:$AH$38))+SUMPRODUCT((시간!$D$3:$AH$3=1)*(OT!$D$10:$AH$10))</f>
        <v/>
      </c>
      <c r="P10" s="32">
        <f>SUMPRODUCT((시간!$D$3:$AH$3=2)*(시간!$D$38:$AH$38))+SUMPRODUCT((시간!$D$3:$AH$3=2)*(OT!$D$10:$AH$10))</f>
        <v/>
      </c>
      <c r="Q10" s="32">
        <f>SUMPRODUCT((시간!$D$3:$AH$3=3)*(시간!$D$38:$AH$38))+SUMPRODUCT((시간!$D$3:$AH$3=3)*(OT!$D$10:$AH$10))</f>
        <v/>
      </c>
      <c r="R10" s="32">
        <f>SUMPRODUCT((시간!$D$3:$AH$3=4)*(시간!$D$38:$AH$38))+SUMPRODUCT((시간!$D$3:$AH$3=4)*(OT!$D$10:$AH$10))</f>
        <v/>
      </c>
      <c r="S10" s="32">
        <f>SUMPRODUCT((시간!$D$3:$AH$3=5)*(시간!$D$38:$AH$38))+SUMPRODUCT((시간!$D$3:$AH$3=5)*(OT!$D$10:$AH$10))</f>
        <v/>
      </c>
      <c r="T10" s="32">
        <f>SUMPRODUCT((시간!$D$3:$AH$3=6)*(시간!$D$38:$AH$38))+SUMPRODUCT((시간!$D$3:$AH$3=6)*(OT!$D$10:$AH$10))</f>
        <v/>
      </c>
      <c r="U10" s="31">
        <f>MAX(O10:T10)</f>
        <v/>
      </c>
      <c r="V10" s="24">
        <f>IF(U10&gt;64,"초과","적합")</f>
        <v/>
      </c>
    </row>
    <row r="11">
      <c r="A11" s="15">
        <f>IF(명부!A5="","",명부!A5)</f>
        <v/>
      </c>
      <c r="B11" s="16">
        <f>IF(명부!C5="","",명부!C5)</f>
        <v/>
      </c>
      <c r="C11" s="17">
        <f>IF(명부!E5="","",명부!E5)</f>
        <v/>
      </c>
      <c r="D11" s="24">
        <f>SUMPRODUCT((시간!$D$4:$AH$4&lt;&gt;"")*(시간!$D$6:$AH$6=""))</f>
        <v/>
      </c>
      <c r="E11" s="26">
        <f>D11*8</f>
        <v/>
      </c>
      <c r="F11" s="26">
        <f>SUM(시간!$D$67:$AH$67)</f>
        <v/>
      </c>
      <c r="G11" s="27">
        <f>E11-F11</f>
        <v/>
      </c>
      <c r="H11" s="27">
        <f>SUM(시간!$D$39:$AH$39)</f>
        <v/>
      </c>
      <c r="I11" s="28">
        <f>H11-G11</f>
        <v/>
      </c>
      <c r="J11" s="26">
        <f>SUM(OT!$D$11:$AH$11)</f>
        <v/>
      </c>
      <c r="K11" s="29" t="n"/>
      <c r="L11" s="30">
        <f>K11+F11</f>
        <v/>
      </c>
      <c r="M11" s="31">
        <f>L11-J11</f>
        <v/>
      </c>
      <c r="N11" s="24">
        <f>SUM(시간!$D$95:$AH$95)</f>
        <v/>
      </c>
      <c r="O11" s="32">
        <f>SUMPRODUCT((시간!$D$3:$AH$3=1)*(시간!$D$39:$AH$39))+SUMPRODUCT((시간!$D$3:$AH$3=1)*(OT!$D$11:$AH$11))</f>
        <v/>
      </c>
      <c r="P11" s="32">
        <f>SUMPRODUCT((시간!$D$3:$AH$3=2)*(시간!$D$39:$AH$39))+SUMPRODUCT((시간!$D$3:$AH$3=2)*(OT!$D$11:$AH$11))</f>
        <v/>
      </c>
      <c r="Q11" s="32">
        <f>SUMPRODUCT((시간!$D$3:$AH$3=3)*(시간!$D$39:$AH$39))+SUMPRODUCT((시간!$D$3:$AH$3=3)*(OT!$D$11:$AH$11))</f>
        <v/>
      </c>
      <c r="R11" s="32">
        <f>SUMPRODUCT((시간!$D$3:$AH$3=4)*(시간!$D$39:$AH$39))+SUMPRODUCT((시간!$D$3:$AH$3=4)*(OT!$D$11:$AH$11))</f>
        <v/>
      </c>
      <c r="S11" s="32">
        <f>SUMPRODUCT((시간!$D$3:$AH$3=5)*(시간!$D$39:$AH$39))+SUMPRODUCT((시간!$D$3:$AH$3=5)*(OT!$D$11:$AH$11))</f>
        <v/>
      </c>
      <c r="T11" s="32">
        <f>SUMPRODUCT((시간!$D$3:$AH$3=6)*(시간!$D$39:$AH$39))+SUMPRODUCT((시간!$D$3:$AH$3=6)*(OT!$D$11:$AH$11))</f>
        <v/>
      </c>
      <c r="U11" s="31">
        <f>MAX(O11:T11)</f>
        <v/>
      </c>
      <c r="V11" s="24">
        <f>IF(U11&gt;64,"초과","적합")</f>
        <v/>
      </c>
    </row>
    <row r="12">
      <c r="A12" s="15">
        <f>IF(명부!A6="","",명부!A6)</f>
        <v/>
      </c>
      <c r="B12" s="16">
        <f>IF(명부!C6="","",명부!C6)</f>
        <v/>
      </c>
      <c r="C12" s="17">
        <f>IF(명부!E6="","",명부!E6)</f>
        <v/>
      </c>
      <c r="D12" s="24">
        <f>SUMPRODUCT((시간!$D$4:$AH$4&lt;&gt;"")*(시간!$D$6:$AH$6=""))</f>
        <v/>
      </c>
      <c r="E12" s="26">
        <f>D12*8</f>
        <v/>
      </c>
      <c r="F12" s="26">
        <f>SUM(시간!$D$68:$AH$68)</f>
        <v/>
      </c>
      <c r="G12" s="27">
        <f>E12-F12</f>
        <v/>
      </c>
      <c r="H12" s="27">
        <f>SUM(시간!$D$40:$AH$40)</f>
        <v/>
      </c>
      <c r="I12" s="28">
        <f>H12-G12</f>
        <v/>
      </c>
      <c r="J12" s="26">
        <f>SUM(OT!$D$12:$AH$12)</f>
        <v/>
      </c>
      <c r="K12" s="29" t="n"/>
      <c r="L12" s="30">
        <f>K12+F12</f>
        <v/>
      </c>
      <c r="M12" s="31">
        <f>L12-J12</f>
        <v/>
      </c>
      <c r="N12" s="24">
        <f>SUM(시간!$D$96:$AH$96)</f>
        <v/>
      </c>
      <c r="O12" s="32">
        <f>SUMPRODUCT((시간!$D$3:$AH$3=1)*(시간!$D$40:$AH$40))+SUMPRODUCT((시간!$D$3:$AH$3=1)*(OT!$D$12:$AH$12))</f>
        <v/>
      </c>
      <c r="P12" s="32">
        <f>SUMPRODUCT((시간!$D$3:$AH$3=2)*(시간!$D$40:$AH$40))+SUMPRODUCT((시간!$D$3:$AH$3=2)*(OT!$D$12:$AH$12))</f>
        <v/>
      </c>
      <c r="Q12" s="32">
        <f>SUMPRODUCT((시간!$D$3:$AH$3=3)*(시간!$D$40:$AH$40))+SUMPRODUCT((시간!$D$3:$AH$3=3)*(OT!$D$12:$AH$12))</f>
        <v/>
      </c>
      <c r="R12" s="32">
        <f>SUMPRODUCT((시간!$D$3:$AH$3=4)*(시간!$D$40:$AH$40))+SUMPRODUCT((시간!$D$3:$AH$3=4)*(OT!$D$12:$AH$12))</f>
        <v/>
      </c>
      <c r="S12" s="32">
        <f>SUMPRODUCT((시간!$D$3:$AH$3=5)*(시간!$D$40:$AH$40))+SUMPRODUCT((시간!$D$3:$AH$3=5)*(OT!$D$12:$AH$12))</f>
        <v/>
      </c>
      <c r="T12" s="32">
        <f>SUMPRODUCT((시간!$D$3:$AH$3=6)*(시간!$D$40:$AH$40))+SUMPRODUCT((시간!$D$3:$AH$3=6)*(OT!$D$12:$AH$12))</f>
        <v/>
      </c>
      <c r="U12" s="31">
        <f>MAX(O12:T12)</f>
        <v/>
      </c>
      <c r="V12" s="24">
        <f>IF(U12&gt;64,"초과","적합")</f>
        <v/>
      </c>
    </row>
    <row r="13">
      <c r="A13" s="15">
        <f>IF(명부!A7="","",명부!A7)</f>
        <v/>
      </c>
      <c r="B13" s="16">
        <f>IF(명부!C7="","",명부!C7)</f>
        <v/>
      </c>
      <c r="C13" s="17">
        <f>IF(명부!E7="","",명부!E7)</f>
        <v/>
      </c>
      <c r="D13" s="24">
        <f>SUMPRODUCT((시간!$D$4:$AH$4&lt;&gt;"")*(시간!$D$6:$AH$6=""))</f>
        <v/>
      </c>
      <c r="E13" s="26">
        <f>D13*8</f>
        <v/>
      </c>
      <c r="F13" s="26">
        <f>SUM(시간!$D$69:$AH$69)</f>
        <v/>
      </c>
      <c r="G13" s="27">
        <f>E13-F13</f>
        <v/>
      </c>
      <c r="H13" s="27">
        <f>SUM(시간!$D$41:$AH$41)</f>
        <v/>
      </c>
      <c r="I13" s="28">
        <f>H13-G13</f>
        <v/>
      </c>
      <c r="J13" s="26">
        <f>SUM(OT!$D$13:$AH$13)</f>
        <v/>
      </c>
      <c r="K13" s="29" t="n"/>
      <c r="L13" s="30">
        <f>K13+F13</f>
        <v/>
      </c>
      <c r="M13" s="31">
        <f>L13-J13</f>
        <v/>
      </c>
      <c r="N13" s="24">
        <f>SUM(시간!$D$97:$AH$97)</f>
        <v/>
      </c>
      <c r="O13" s="32">
        <f>SUMPRODUCT((시간!$D$3:$AH$3=1)*(시간!$D$41:$AH$41))+SUMPRODUCT((시간!$D$3:$AH$3=1)*(OT!$D$13:$AH$13))</f>
        <v/>
      </c>
      <c r="P13" s="32">
        <f>SUMPRODUCT((시간!$D$3:$AH$3=2)*(시간!$D$41:$AH$41))+SUMPRODUCT((시간!$D$3:$AH$3=2)*(OT!$D$13:$AH$13))</f>
        <v/>
      </c>
      <c r="Q13" s="32">
        <f>SUMPRODUCT((시간!$D$3:$AH$3=3)*(시간!$D$41:$AH$41))+SUMPRODUCT((시간!$D$3:$AH$3=3)*(OT!$D$13:$AH$13))</f>
        <v/>
      </c>
      <c r="R13" s="32">
        <f>SUMPRODUCT((시간!$D$3:$AH$3=4)*(시간!$D$41:$AH$41))+SUMPRODUCT((시간!$D$3:$AH$3=4)*(OT!$D$13:$AH$13))</f>
        <v/>
      </c>
      <c r="S13" s="32">
        <f>SUMPRODUCT((시간!$D$3:$AH$3=5)*(시간!$D$41:$AH$41))+SUMPRODUCT((시간!$D$3:$AH$3=5)*(OT!$D$13:$AH$13))</f>
        <v/>
      </c>
      <c r="T13" s="32">
        <f>SUMPRODUCT((시간!$D$3:$AH$3=6)*(시간!$D$41:$AH$41))+SUMPRODUCT((시간!$D$3:$AH$3=6)*(OT!$D$13:$AH$13))</f>
        <v/>
      </c>
      <c r="U13" s="31">
        <f>MAX(O13:T13)</f>
        <v/>
      </c>
      <c r="V13" s="24">
        <f>IF(U13&gt;64,"초과","적합")</f>
        <v/>
      </c>
    </row>
    <row r="14">
      <c r="A14" s="15">
        <f>IF(명부!A8="","",명부!A8)</f>
        <v/>
      </c>
      <c r="B14" s="16">
        <f>IF(명부!C8="","",명부!C8)</f>
        <v/>
      </c>
      <c r="C14" s="17">
        <f>IF(명부!E8="","",명부!E8)</f>
        <v/>
      </c>
      <c r="D14" s="24">
        <f>SUMPRODUCT((시간!$D$4:$AH$4&lt;&gt;"")*(시간!$D$6:$AH$6=""))</f>
        <v/>
      </c>
      <c r="E14" s="26">
        <f>D14*8</f>
        <v/>
      </c>
      <c r="F14" s="26">
        <f>SUM(시간!$D$70:$AH$70)</f>
        <v/>
      </c>
      <c r="G14" s="27">
        <f>E14-F14</f>
        <v/>
      </c>
      <c r="H14" s="27">
        <f>SUM(시간!$D$42:$AH$42)</f>
        <v/>
      </c>
      <c r="I14" s="28">
        <f>H14-G14</f>
        <v/>
      </c>
      <c r="J14" s="26">
        <f>SUM(OT!$D$14:$AH$14)</f>
        <v/>
      </c>
      <c r="K14" s="29" t="n"/>
      <c r="L14" s="30">
        <f>K14+F14</f>
        <v/>
      </c>
      <c r="M14" s="31">
        <f>L14-J14</f>
        <v/>
      </c>
      <c r="N14" s="24">
        <f>SUM(시간!$D$98:$AH$98)</f>
        <v/>
      </c>
      <c r="O14" s="32">
        <f>SUMPRODUCT((시간!$D$3:$AH$3=1)*(시간!$D$42:$AH$42))+SUMPRODUCT((시간!$D$3:$AH$3=1)*(OT!$D$14:$AH$14))</f>
        <v/>
      </c>
      <c r="P14" s="32">
        <f>SUMPRODUCT((시간!$D$3:$AH$3=2)*(시간!$D$42:$AH$42))+SUMPRODUCT((시간!$D$3:$AH$3=2)*(OT!$D$14:$AH$14))</f>
        <v/>
      </c>
      <c r="Q14" s="32">
        <f>SUMPRODUCT((시간!$D$3:$AH$3=3)*(시간!$D$42:$AH$42))+SUMPRODUCT((시간!$D$3:$AH$3=3)*(OT!$D$14:$AH$14))</f>
        <v/>
      </c>
      <c r="R14" s="32">
        <f>SUMPRODUCT((시간!$D$3:$AH$3=4)*(시간!$D$42:$AH$42))+SUMPRODUCT((시간!$D$3:$AH$3=4)*(OT!$D$14:$AH$14))</f>
        <v/>
      </c>
      <c r="S14" s="32">
        <f>SUMPRODUCT((시간!$D$3:$AH$3=5)*(시간!$D$42:$AH$42))+SUMPRODUCT((시간!$D$3:$AH$3=5)*(OT!$D$14:$AH$14))</f>
        <v/>
      </c>
      <c r="T14" s="32">
        <f>SUMPRODUCT((시간!$D$3:$AH$3=6)*(시간!$D$42:$AH$42))+SUMPRODUCT((시간!$D$3:$AH$3=6)*(OT!$D$14:$AH$14))</f>
        <v/>
      </c>
      <c r="U14" s="31">
        <f>MAX(O14:T14)</f>
        <v/>
      </c>
      <c r="V14" s="24">
        <f>IF(U14&gt;64,"초과","적합")</f>
        <v/>
      </c>
    </row>
    <row r="15">
      <c r="A15" s="15">
        <f>IF(명부!A9="","",명부!A9)</f>
        <v/>
      </c>
      <c r="B15" s="16">
        <f>IF(명부!C9="","",명부!C9)</f>
        <v/>
      </c>
      <c r="C15" s="17">
        <f>IF(명부!E9="","",명부!E9)</f>
        <v/>
      </c>
      <c r="D15" s="24">
        <f>SUMPRODUCT((시간!$D$4:$AH$4&lt;&gt;"")*(시간!$D$6:$AH$6=""))</f>
        <v/>
      </c>
      <c r="E15" s="26">
        <f>D15*8</f>
        <v/>
      </c>
      <c r="F15" s="26">
        <f>SUM(시간!$D$71:$AH$71)</f>
        <v/>
      </c>
      <c r="G15" s="27">
        <f>E15-F15</f>
        <v/>
      </c>
      <c r="H15" s="27">
        <f>SUM(시간!$D$43:$AH$43)</f>
        <v/>
      </c>
      <c r="I15" s="28">
        <f>H15-G15</f>
        <v/>
      </c>
      <c r="J15" s="26">
        <f>SUM(OT!$D$15:$AH$15)</f>
        <v/>
      </c>
      <c r="K15" s="29" t="n"/>
      <c r="L15" s="30">
        <f>K15+F15</f>
        <v/>
      </c>
      <c r="M15" s="31">
        <f>L15-J15</f>
        <v/>
      </c>
      <c r="N15" s="24">
        <f>SUM(시간!$D$99:$AH$99)</f>
        <v/>
      </c>
      <c r="O15" s="32">
        <f>SUMPRODUCT((시간!$D$3:$AH$3=1)*(시간!$D$43:$AH$43))+SUMPRODUCT((시간!$D$3:$AH$3=1)*(OT!$D$15:$AH$15))</f>
        <v/>
      </c>
      <c r="P15" s="32">
        <f>SUMPRODUCT((시간!$D$3:$AH$3=2)*(시간!$D$43:$AH$43))+SUMPRODUCT((시간!$D$3:$AH$3=2)*(OT!$D$15:$AH$15))</f>
        <v/>
      </c>
      <c r="Q15" s="32">
        <f>SUMPRODUCT((시간!$D$3:$AH$3=3)*(시간!$D$43:$AH$43))+SUMPRODUCT((시간!$D$3:$AH$3=3)*(OT!$D$15:$AH$15))</f>
        <v/>
      </c>
      <c r="R15" s="32">
        <f>SUMPRODUCT((시간!$D$3:$AH$3=4)*(시간!$D$43:$AH$43))+SUMPRODUCT((시간!$D$3:$AH$3=4)*(OT!$D$15:$AH$15))</f>
        <v/>
      </c>
      <c r="S15" s="32">
        <f>SUMPRODUCT((시간!$D$3:$AH$3=5)*(시간!$D$43:$AH$43))+SUMPRODUCT((시간!$D$3:$AH$3=5)*(OT!$D$15:$AH$15))</f>
        <v/>
      </c>
      <c r="T15" s="32">
        <f>SUMPRODUCT((시간!$D$3:$AH$3=6)*(시간!$D$43:$AH$43))+SUMPRODUCT((시간!$D$3:$AH$3=6)*(OT!$D$15:$AH$15))</f>
        <v/>
      </c>
      <c r="U15" s="31">
        <f>MAX(O15:T15)</f>
        <v/>
      </c>
      <c r="V15" s="24">
        <f>IF(U15&gt;64,"초과","적합")</f>
        <v/>
      </c>
    </row>
    <row r="16">
      <c r="A16" s="15">
        <f>IF(명부!A10="","",명부!A10)</f>
        <v/>
      </c>
      <c r="B16" s="16">
        <f>IF(명부!C10="","",명부!C10)</f>
        <v/>
      </c>
      <c r="C16" s="17">
        <f>IF(명부!E10="","",명부!E10)</f>
        <v/>
      </c>
      <c r="D16" s="24">
        <f>SUMPRODUCT((시간!$D$4:$AH$4&lt;&gt;"")*(시간!$D$6:$AH$6=""))</f>
        <v/>
      </c>
      <c r="E16" s="26">
        <f>D16*8</f>
        <v/>
      </c>
      <c r="F16" s="26">
        <f>SUM(시간!$D$72:$AH$72)</f>
        <v/>
      </c>
      <c r="G16" s="27">
        <f>E16-F16</f>
        <v/>
      </c>
      <c r="H16" s="27">
        <f>SUM(시간!$D$44:$AH$44)</f>
        <v/>
      </c>
      <c r="I16" s="28">
        <f>H16-G16</f>
        <v/>
      </c>
      <c r="J16" s="26">
        <f>SUM(OT!$D$16:$AH$16)</f>
        <v/>
      </c>
      <c r="K16" s="29" t="n"/>
      <c r="L16" s="30">
        <f>K16+F16</f>
        <v/>
      </c>
      <c r="M16" s="31">
        <f>L16-J16</f>
        <v/>
      </c>
      <c r="N16" s="24">
        <f>SUM(시간!$D$100:$AH$100)</f>
        <v/>
      </c>
      <c r="O16" s="32">
        <f>SUMPRODUCT((시간!$D$3:$AH$3=1)*(시간!$D$44:$AH$44))+SUMPRODUCT((시간!$D$3:$AH$3=1)*(OT!$D$16:$AH$16))</f>
        <v/>
      </c>
      <c r="P16" s="32">
        <f>SUMPRODUCT((시간!$D$3:$AH$3=2)*(시간!$D$44:$AH$44))+SUMPRODUCT((시간!$D$3:$AH$3=2)*(OT!$D$16:$AH$16))</f>
        <v/>
      </c>
      <c r="Q16" s="32">
        <f>SUMPRODUCT((시간!$D$3:$AH$3=3)*(시간!$D$44:$AH$44))+SUMPRODUCT((시간!$D$3:$AH$3=3)*(OT!$D$16:$AH$16))</f>
        <v/>
      </c>
      <c r="R16" s="32">
        <f>SUMPRODUCT((시간!$D$3:$AH$3=4)*(시간!$D$44:$AH$44))+SUMPRODUCT((시간!$D$3:$AH$3=4)*(OT!$D$16:$AH$16))</f>
        <v/>
      </c>
      <c r="S16" s="32">
        <f>SUMPRODUCT((시간!$D$3:$AH$3=5)*(시간!$D$44:$AH$44))+SUMPRODUCT((시간!$D$3:$AH$3=5)*(OT!$D$16:$AH$16))</f>
        <v/>
      </c>
      <c r="T16" s="32">
        <f>SUMPRODUCT((시간!$D$3:$AH$3=6)*(시간!$D$44:$AH$44))+SUMPRODUCT((시간!$D$3:$AH$3=6)*(OT!$D$16:$AH$16))</f>
        <v/>
      </c>
      <c r="U16" s="31">
        <f>MAX(O16:T16)</f>
        <v/>
      </c>
      <c r="V16" s="24">
        <f>IF(U16&gt;64,"초과","적합")</f>
        <v/>
      </c>
    </row>
    <row r="17">
      <c r="A17" s="15">
        <f>IF(명부!A11="","",명부!A11)</f>
        <v/>
      </c>
      <c r="B17" s="16">
        <f>IF(명부!C11="","",명부!C11)</f>
        <v/>
      </c>
      <c r="C17" s="17">
        <f>IF(명부!E11="","",명부!E11)</f>
        <v/>
      </c>
      <c r="D17" s="24">
        <f>SUMPRODUCT((시간!$D$4:$AH$4&lt;&gt;"")*(시간!$D$6:$AH$6=""))</f>
        <v/>
      </c>
      <c r="E17" s="26">
        <f>D17*8</f>
        <v/>
      </c>
      <c r="F17" s="26">
        <f>SUM(시간!$D$73:$AH$73)</f>
        <v/>
      </c>
      <c r="G17" s="27">
        <f>E17-F17</f>
        <v/>
      </c>
      <c r="H17" s="27">
        <f>SUM(시간!$D$45:$AH$45)</f>
        <v/>
      </c>
      <c r="I17" s="28">
        <f>H17-G17</f>
        <v/>
      </c>
      <c r="J17" s="26">
        <f>SUM(OT!$D$17:$AH$17)</f>
        <v/>
      </c>
      <c r="K17" s="29" t="n"/>
      <c r="L17" s="30">
        <f>K17+F17</f>
        <v/>
      </c>
      <c r="M17" s="31">
        <f>L17-J17</f>
        <v/>
      </c>
      <c r="N17" s="24">
        <f>SUM(시간!$D$101:$AH$101)</f>
        <v/>
      </c>
      <c r="O17" s="32">
        <f>SUMPRODUCT((시간!$D$3:$AH$3=1)*(시간!$D$45:$AH$45))+SUMPRODUCT((시간!$D$3:$AH$3=1)*(OT!$D$17:$AH$17))</f>
        <v/>
      </c>
      <c r="P17" s="32">
        <f>SUMPRODUCT((시간!$D$3:$AH$3=2)*(시간!$D$45:$AH$45))+SUMPRODUCT((시간!$D$3:$AH$3=2)*(OT!$D$17:$AH$17))</f>
        <v/>
      </c>
      <c r="Q17" s="32">
        <f>SUMPRODUCT((시간!$D$3:$AH$3=3)*(시간!$D$45:$AH$45))+SUMPRODUCT((시간!$D$3:$AH$3=3)*(OT!$D$17:$AH$17))</f>
        <v/>
      </c>
      <c r="R17" s="32">
        <f>SUMPRODUCT((시간!$D$3:$AH$3=4)*(시간!$D$45:$AH$45))+SUMPRODUCT((시간!$D$3:$AH$3=4)*(OT!$D$17:$AH$17))</f>
        <v/>
      </c>
      <c r="S17" s="32">
        <f>SUMPRODUCT((시간!$D$3:$AH$3=5)*(시간!$D$45:$AH$45))+SUMPRODUCT((시간!$D$3:$AH$3=5)*(OT!$D$17:$AH$17))</f>
        <v/>
      </c>
      <c r="T17" s="32">
        <f>SUMPRODUCT((시간!$D$3:$AH$3=6)*(시간!$D$45:$AH$45))+SUMPRODUCT((시간!$D$3:$AH$3=6)*(OT!$D$17:$AH$17))</f>
        <v/>
      </c>
      <c r="U17" s="31">
        <f>MAX(O17:T17)</f>
        <v/>
      </c>
      <c r="V17" s="24">
        <f>IF(U17&gt;64,"초과","적합")</f>
        <v/>
      </c>
    </row>
    <row r="18">
      <c r="A18" s="15">
        <f>IF(명부!A12="","",명부!A12)</f>
        <v/>
      </c>
      <c r="B18" s="16">
        <f>IF(명부!C12="","",명부!C12)</f>
        <v/>
      </c>
      <c r="C18" s="17">
        <f>IF(명부!E12="","",명부!E12)</f>
        <v/>
      </c>
      <c r="D18" s="24">
        <f>SUMPRODUCT((시간!$D$4:$AH$4&lt;&gt;"")*(시간!$D$6:$AH$6=""))</f>
        <v/>
      </c>
      <c r="E18" s="26">
        <f>D18*8</f>
        <v/>
      </c>
      <c r="F18" s="26">
        <f>SUM(시간!$D$74:$AH$74)</f>
        <v/>
      </c>
      <c r="G18" s="27">
        <f>E18-F18</f>
        <v/>
      </c>
      <c r="H18" s="27">
        <f>SUM(시간!$D$46:$AH$46)</f>
        <v/>
      </c>
      <c r="I18" s="28">
        <f>H18-G18</f>
        <v/>
      </c>
      <c r="J18" s="26">
        <f>SUM(OT!$D$18:$AH$18)</f>
        <v/>
      </c>
      <c r="K18" s="29" t="n"/>
      <c r="L18" s="30">
        <f>K18+F18</f>
        <v/>
      </c>
      <c r="M18" s="31">
        <f>L18-J18</f>
        <v/>
      </c>
      <c r="N18" s="24">
        <f>SUM(시간!$D$102:$AH$102)</f>
        <v/>
      </c>
      <c r="O18" s="32">
        <f>SUMPRODUCT((시간!$D$3:$AH$3=1)*(시간!$D$46:$AH$46))+SUMPRODUCT((시간!$D$3:$AH$3=1)*(OT!$D$18:$AH$18))</f>
        <v/>
      </c>
      <c r="P18" s="32">
        <f>SUMPRODUCT((시간!$D$3:$AH$3=2)*(시간!$D$46:$AH$46))+SUMPRODUCT((시간!$D$3:$AH$3=2)*(OT!$D$18:$AH$18))</f>
        <v/>
      </c>
      <c r="Q18" s="32">
        <f>SUMPRODUCT((시간!$D$3:$AH$3=3)*(시간!$D$46:$AH$46))+SUMPRODUCT((시간!$D$3:$AH$3=3)*(OT!$D$18:$AH$18))</f>
        <v/>
      </c>
      <c r="R18" s="32">
        <f>SUMPRODUCT((시간!$D$3:$AH$3=4)*(시간!$D$46:$AH$46))+SUMPRODUCT((시간!$D$3:$AH$3=4)*(OT!$D$18:$AH$18))</f>
        <v/>
      </c>
      <c r="S18" s="32">
        <f>SUMPRODUCT((시간!$D$3:$AH$3=5)*(시간!$D$46:$AH$46))+SUMPRODUCT((시간!$D$3:$AH$3=5)*(OT!$D$18:$AH$18))</f>
        <v/>
      </c>
      <c r="T18" s="32">
        <f>SUMPRODUCT((시간!$D$3:$AH$3=6)*(시간!$D$46:$AH$46))+SUMPRODUCT((시간!$D$3:$AH$3=6)*(OT!$D$18:$AH$18))</f>
        <v/>
      </c>
      <c r="U18" s="31">
        <f>MAX(O18:T18)</f>
        <v/>
      </c>
      <c r="V18" s="24">
        <f>IF(U18&gt;64,"초과","적합")</f>
        <v/>
      </c>
    </row>
    <row r="19">
      <c r="A19" s="15">
        <f>IF(명부!A13="","",명부!A13)</f>
        <v/>
      </c>
      <c r="B19" s="16">
        <f>IF(명부!C13="","",명부!C13)</f>
        <v/>
      </c>
      <c r="C19" s="17">
        <f>IF(명부!E13="","",명부!E13)</f>
        <v/>
      </c>
      <c r="D19" s="24">
        <f>SUMPRODUCT((시간!$D$4:$AH$4&lt;&gt;"")*(시간!$D$6:$AH$6=""))</f>
        <v/>
      </c>
      <c r="E19" s="26">
        <f>D19*8</f>
        <v/>
      </c>
      <c r="F19" s="26">
        <f>SUM(시간!$D$75:$AH$75)</f>
        <v/>
      </c>
      <c r="G19" s="27">
        <f>E19-F19</f>
        <v/>
      </c>
      <c r="H19" s="27">
        <f>SUM(시간!$D$47:$AH$47)</f>
        <v/>
      </c>
      <c r="I19" s="28">
        <f>H19-G19</f>
        <v/>
      </c>
      <c r="J19" s="26">
        <f>SUM(OT!$D$19:$AH$19)</f>
        <v/>
      </c>
      <c r="K19" s="29" t="n"/>
      <c r="L19" s="30">
        <f>K19+F19</f>
        <v/>
      </c>
      <c r="M19" s="31">
        <f>L19-J19</f>
        <v/>
      </c>
      <c r="N19" s="24">
        <f>SUM(시간!$D$103:$AH$103)</f>
        <v/>
      </c>
      <c r="O19" s="32">
        <f>SUMPRODUCT((시간!$D$3:$AH$3=1)*(시간!$D$47:$AH$47))+SUMPRODUCT((시간!$D$3:$AH$3=1)*(OT!$D$19:$AH$19))</f>
        <v/>
      </c>
      <c r="P19" s="32">
        <f>SUMPRODUCT((시간!$D$3:$AH$3=2)*(시간!$D$47:$AH$47))+SUMPRODUCT((시간!$D$3:$AH$3=2)*(OT!$D$19:$AH$19))</f>
        <v/>
      </c>
      <c r="Q19" s="32">
        <f>SUMPRODUCT((시간!$D$3:$AH$3=3)*(시간!$D$47:$AH$47))+SUMPRODUCT((시간!$D$3:$AH$3=3)*(OT!$D$19:$AH$19))</f>
        <v/>
      </c>
      <c r="R19" s="32">
        <f>SUMPRODUCT((시간!$D$3:$AH$3=4)*(시간!$D$47:$AH$47))+SUMPRODUCT((시간!$D$3:$AH$3=4)*(OT!$D$19:$AH$19))</f>
        <v/>
      </c>
      <c r="S19" s="32">
        <f>SUMPRODUCT((시간!$D$3:$AH$3=5)*(시간!$D$47:$AH$47))+SUMPRODUCT((시간!$D$3:$AH$3=5)*(OT!$D$19:$AH$19))</f>
        <v/>
      </c>
      <c r="T19" s="32">
        <f>SUMPRODUCT((시간!$D$3:$AH$3=6)*(시간!$D$47:$AH$47))+SUMPRODUCT((시간!$D$3:$AH$3=6)*(OT!$D$19:$AH$19))</f>
        <v/>
      </c>
      <c r="U19" s="31">
        <f>MAX(O19:T19)</f>
        <v/>
      </c>
      <c r="V19" s="24">
        <f>IF(U19&gt;64,"초과","적합")</f>
        <v/>
      </c>
    </row>
    <row r="20">
      <c r="A20" s="15">
        <f>IF(명부!A14="","",명부!A14)</f>
        <v/>
      </c>
      <c r="B20" s="16">
        <f>IF(명부!C14="","",명부!C14)</f>
        <v/>
      </c>
      <c r="C20" s="17">
        <f>IF(명부!E14="","",명부!E14)</f>
        <v/>
      </c>
      <c r="D20" s="24">
        <f>SUMPRODUCT((시간!$D$4:$AH$4&lt;&gt;"")*(시간!$D$6:$AH$6=""))</f>
        <v/>
      </c>
      <c r="E20" s="26">
        <f>D20*8</f>
        <v/>
      </c>
      <c r="F20" s="26">
        <f>SUM(시간!$D$76:$AH$76)</f>
        <v/>
      </c>
      <c r="G20" s="27">
        <f>E20-F20</f>
        <v/>
      </c>
      <c r="H20" s="27">
        <f>SUM(시간!$D$48:$AH$48)</f>
        <v/>
      </c>
      <c r="I20" s="28">
        <f>H20-G20</f>
        <v/>
      </c>
      <c r="J20" s="26">
        <f>SUM(OT!$D$20:$AH$20)</f>
        <v/>
      </c>
      <c r="K20" s="29" t="n"/>
      <c r="L20" s="30">
        <f>K20+F20</f>
        <v/>
      </c>
      <c r="M20" s="31">
        <f>L20-J20</f>
        <v/>
      </c>
      <c r="N20" s="24">
        <f>SUM(시간!$D$104:$AH$104)</f>
        <v/>
      </c>
      <c r="O20" s="32">
        <f>SUMPRODUCT((시간!$D$3:$AH$3=1)*(시간!$D$48:$AH$48))+SUMPRODUCT((시간!$D$3:$AH$3=1)*(OT!$D$20:$AH$20))</f>
        <v/>
      </c>
      <c r="P20" s="32">
        <f>SUMPRODUCT((시간!$D$3:$AH$3=2)*(시간!$D$48:$AH$48))+SUMPRODUCT((시간!$D$3:$AH$3=2)*(OT!$D$20:$AH$20))</f>
        <v/>
      </c>
      <c r="Q20" s="32">
        <f>SUMPRODUCT((시간!$D$3:$AH$3=3)*(시간!$D$48:$AH$48))+SUMPRODUCT((시간!$D$3:$AH$3=3)*(OT!$D$20:$AH$20))</f>
        <v/>
      </c>
      <c r="R20" s="32">
        <f>SUMPRODUCT((시간!$D$3:$AH$3=4)*(시간!$D$48:$AH$48))+SUMPRODUCT((시간!$D$3:$AH$3=4)*(OT!$D$20:$AH$20))</f>
        <v/>
      </c>
      <c r="S20" s="32">
        <f>SUMPRODUCT((시간!$D$3:$AH$3=5)*(시간!$D$48:$AH$48))+SUMPRODUCT((시간!$D$3:$AH$3=5)*(OT!$D$20:$AH$20))</f>
        <v/>
      </c>
      <c r="T20" s="32">
        <f>SUMPRODUCT((시간!$D$3:$AH$3=6)*(시간!$D$48:$AH$48))+SUMPRODUCT((시간!$D$3:$AH$3=6)*(OT!$D$20:$AH$20))</f>
        <v/>
      </c>
      <c r="U20" s="31">
        <f>MAX(O20:T20)</f>
        <v/>
      </c>
      <c r="V20" s="24">
        <f>IF(U20&gt;64,"초과","적합")</f>
        <v/>
      </c>
    </row>
    <row r="21">
      <c r="A21" s="15">
        <f>IF(명부!A15="","",명부!A15)</f>
        <v/>
      </c>
      <c r="B21" s="16">
        <f>IF(명부!C15="","",명부!C15)</f>
        <v/>
      </c>
      <c r="C21" s="17">
        <f>IF(명부!E15="","",명부!E15)</f>
        <v/>
      </c>
      <c r="D21" s="24">
        <f>SUMPRODUCT((시간!$D$4:$AH$4&lt;&gt;"")*(시간!$D$6:$AH$6=""))</f>
        <v/>
      </c>
      <c r="E21" s="26">
        <f>D21*8</f>
        <v/>
      </c>
      <c r="F21" s="26">
        <f>SUM(시간!$D$77:$AH$77)</f>
        <v/>
      </c>
      <c r="G21" s="27">
        <f>E21-F21</f>
        <v/>
      </c>
      <c r="H21" s="27">
        <f>SUM(시간!$D$49:$AH$49)</f>
        <v/>
      </c>
      <c r="I21" s="28">
        <f>H21-G21</f>
        <v/>
      </c>
      <c r="J21" s="26">
        <f>SUM(OT!$D$21:$AH$21)</f>
        <v/>
      </c>
      <c r="K21" s="29" t="n"/>
      <c r="L21" s="30">
        <f>K21+F21</f>
        <v/>
      </c>
      <c r="M21" s="31">
        <f>L21-J21</f>
        <v/>
      </c>
      <c r="N21" s="24">
        <f>SUM(시간!$D$105:$AH$105)</f>
        <v/>
      </c>
      <c r="O21" s="32">
        <f>SUMPRODUCT((시간!$D$3:$AH$3=1)*(시간!$D$49:$AH$49))+SUMPRODUCT((시간!$D$3:$AH$3=1)*(OT!$D$21:$AH$21))</f>
        <v/>
      </c>
      <c r="P21" s="32">
        <f>SUMPRODUCT((시간!$D$3:$AH$3=2)*(시간!$D$49:$AH$49))+SUMPRODUCT((시간!$D$3:$AH$3=2)*(OT!$D$21:$AH$21))</f>
        <v/>
      </c>
      <c r="Q21" s="32">
        <f>SUMPRODUCT((시간!$D$3:$AH$3=3)*(시간!$D$49:$AH$49))+SUMPRODUCT((시간!$D$3:$AH$3=3)*(OT!$D$21:$AH$21))</f>
        <v/>
      </c>
      <c r="R21" s="32">
        <f>SUMPRODUCT((시간!$D$3:$AH$3=4)*(시간!$D$49:$AH$49))+SUMPRODUCT((시간!$D$3:$AH$3=4)*(OT!$D$21:$AH$21))</f>
        <v/>
      </c>
      <c r="S21" s="32">
        <f>SUMPRODUCT((시간!$D$3:$AH$3=5)*(시간!$D$49:$AH$49))+SUMPRODUCT((시간!$D$3:$AH$3=5)*(OT!$D$21:$AH$21))</f>
        <v/>
      </c>
      <c r="T21" s="32">
        <f>SUMPRODUCT((시간!$D$3:$AH$3=6)*(시간!$D$49:$AH$49))+SUMPRODUCT((시간!$D$3:$AH$3=6)*(OT!$D$21:$AH$21))</f>
        <v/>
      </c>
      <c r="U21" s="31">
        <f>MAX(O21:T21)</f>
        <v/>
      </c>
      <c r="V21" s="24">
        <f>IF(U21&gt;64,"초과","적합")</f>
        <v/>
      </c>
    </row>
    <row r="22">
      <c r="A22" s="15">
        <f>IF(명부!A16="","",명부!A16)</f>
        <v/>
      </c>
      <c r="B22" s="16">
        <f>IF(명부!C16="","",명부!C16)</f>
        <v/>
      </c>
      <c r="C22" s="17">
        <f>IF(명부!E16="","",명부!E16)</f>
        <v/>
      </c>
      <c r="D22" s="24">
        <f>SUMPRODUCT((시간!$D$4:$AH$4&lt;&gt;"")*(시간!$D$6:$AH$6=""))</f>
        <v/>
      </c>
      <c r="E22" s="26">
        <f>D22*8</f>
        <v/>
      </c>
      <c r="F22" s="26">
        <f>SUM(시간!$D$78:$AH$78)</f>
        <v/>
      </c>
      <c r="G22" s="27">
        <f>E22-F22</f>
        <v/>
      </c>
      <c r="H22" s="27">
        <f>SUM(시간!$D$50:$AH$50)</f>
        <v/>
      </c>
      <c r="I22" s="28">
        <f>H22-G22</f>
        <v/>
      </c>
      <c r="J22" s="26">
        <f>SUM(OT!$D$22:$AH$22)</f>
        <v/>
      </c>
      <c r="K22" s="29" t="n"/>
      <c r="L22" s="30">
        <f>K22+F22</f>
        <v/>
      </c>
      <c r="M22" s="31">
        <f>L22-J22</f>
        <v/>
      </c>
      <c r="N22" s="24">
        <f>SUM(시간!$D$106:$AH$106)</f>
        <v/>
      </c>
      <c r="O22" s="32">
        <f>SUMPRODUCT((시간!$D$3:$AH$3=1)*(시간!$D$50:$AH$50))+SUMPRODUCT((시간!$D$3:$AH$3=1)*(OT!$D$22:$AH$22))</f>
        <v/>
      </c>
      <c r="P22" s="32">
        <f>SUMPRODUCT((시간!$D$3:$AH$3=2)*(시간!$D$50:$AH$50))+SUMPRODUCT((시간!$D$3:$AH$3=2)*(OT!$D$22:$AH$22))</f>
        <v/>
      </c>
      <c r="Q22" s="32">
        <f>SUMPRODUCT((시간!$D$3:$AH$3=3)*(시간!$D$50:$AH$50))+SUMPRODUCT((시간!$D$3:$AH$3=3)*(OT!$D$22:$AH$22))</f>
        <v/>
      </c>
      <c r="R22" s="32">
        <f>SUMPRODUCT((시간!$D$3:$AH$3=4)*(시간!$D$50:$AH$50))+SUMPRODUCT((시간!$D$3:$AH$3=4)*(OT!$D$22:$AH$22))</f>
        <v/>
      </c>
      <c r="S22" s="32">
        <f>SUMPRODUCT((시간!$D$3:$AH$3=5)*(시간!$D$50:$AH$50))+SUMPRODUCT((시간!$D$3:$AH$3=5)*(OT!$D$22:$AH$22))</f>
        <v/>
      </c>
      <c r="T22" s="32">
        <f>SUMPRODUCT((시간!$D$3:$AH$3=6)*(시간!$D$50:$AH$50))+SUMPRODUCT((시간!$D$3:$AH$3=6)*(OT!$D$22:$AH$22))</f>
        <v/>
      </c>
      <c r="U22" s="31">
        <f>MAX(O22:T22)</f>
        <v/>
      </c>
      <c r="V22" s="24">
        <f>IF(U22&gt;64,"초과","적합")</f>
        <v/>
      </c>
    </row>
    <row r="23">
      <c r="A23" s="15">
        <f>IF(명부!A17="","",명부!A17)</f>
        <v/>
      </c>
      <c r="B23" s="16">
        <f>IF(명부!C17="","",명부!C17)</f>
        <v/>
      </c>
      <c r="C23" s="17">
        <f>IF(명부!E17="","",명부!E17)</f>
        <v/>
      </c>
      <c r="D23" s="24">
        <f>SUMPRODUCT((시간!$D$4:$AH$4&lt;&gt;"")*(시간!$D$6:$AH$6=""))</f>
        <v/>
      </c>
      <c r="E23" s="26">
        <f>D23*8</f>
        <v/>
      </c>
      <c r="F23" s="26">
        <f>SUM(시간!$D$79:$AH$79)</f>
        <v/>
      </c>
      <c r="G23" s="27">
        <f>E23-F23</f>
        <v/>
      </c>
      <c r="H23" s="27">
        <f>SUM(시간!$D$51:$AH$51)</f>
        <v/>
      </c>
      <c r="I23" s="28">
        <f>H23-G23</f>
        <v/>
      </c>
      <c r="J23" s="26">
        <f>SUM(OT!$D$23:$AH$23)</f>
        <v/>
      </c>
      <c r="K23" s="29" t="n"/>
      <c r="L23" s="30">
        <f>K23+F23</f>
        <v/>
      </c>
      <c r="M23" s="31">
        <f>L23-J23</f>
        <v/>
      </c>
      <c r="N23" s="24">
        <f>SUM(시간!$D$107:$AH$107)</f>
        <v/>
      </c>
      <c r="O23" s="32">
        <f>SUMPRODUCT((시간!$D$3:$AH$3=1)*(시간!$D$51:$AH$51))+SUMPRODUCT((시간!$D$3:$AH$3=1)*(OT!$D$23:$AH$23))</f>
        <v/>
      </c>
      <c r="P23" s="32">
        <f>SUMPRODUCT((시간!$D$3:$AH$3=2)*(시간!$D$51:$AH$51))+SUMPRODUCT((시간!$D$3:$AH$3=2)*(OT!$D$23:$AH$23))</f>
        <v/>
      </c>
      <c r="Q23" s="32">
        <f>SUMPRODUCT((시간!$D$3:$AH$3=3)*(시간!$D$51:$AH$51))+SUMPRODUCT((시간!$D$3:$AH$3=3)*(OT!$D$23:$AH$23))</f>
        <v/>
      </c>
      <c r="R23" s="32">
        <f>SUMPRODUCT((시간!$D$3:$AH$3=4)*(시간!$D$51:$AH$51))+SUMPRODUCT((시간!$D$3:$AH$3=4)*(OT!$D$23:$AH$23))</f>
        <v/>
      </c>
      <c r="S23" s="32">
        <f>SUMPRODUCT((시간!$D$3:$AH$3=5)*(시간!$D$51:$AH$51))+SUMPRODUCT((시간!$D$3:$AH$3=5)*(OT!$D$23:$AH$23))</f>
        <v/>
      </c>
      <c r="T23" s="32">
        <f>SUMPRODUCT((시간!$D$3:$AH$3=6)*(시간!$D$51:$AH$51))+SUMPRODUCT((시간!$D$3:$AH$3=6)*(OT!$D$23:$AH$23))</f>
        <v/>
      </c>
      <c r="U23" s="31">
        <f>MAX(O23:T23)</f>
        <v/>
      </c>
      <c r="V23" s="24">
        <f>IF(U23&gt;64,"초과","적합")</f>
        <v/>
      </c>
    </row>
    <row r="24">
      <c r="A24" s="15">
        <f>IF(명부!A18="","",명부!A18)</f>
        <v/>
      </c>
      <c r="B24" s="16">
        <f>IF(명부!C18="","",명부!C18)</f>
        <v/>
      </c>
      <c r="C24" s="17">
        <f>IF(명부!E18="","",명부!E18)</f>
        <v/>
      </c>
      <c r="D24" s="24">
        <f>SUMPRODUCT((시간!$D$4:$AH$4&lt;&gt;"")*(시간!$D$6:$AH$6=""))</f>
        <v/>
      </c>
      <c r="E24" s="26">
        <f>D24*8</f>
        <v/>
      </c>
      <c r="F24" s="26">
        <f>SUM(시간!$D$80:$AH$80)</f>
        <v/>
      </c>
      <c r="G24" s="27">
        <f>E24-F24</f>
        <v/>
      </c>
      <c r="H24" s="27">
        <f>SUM(시간!$D$52:$AH$52)</f>
        <v/>
      </c>
      <c r="I24" s="28">
        <f>H24-G24</f>
        <v/>
      </c>
      <c r="J24" s="26">
        <f>SUM(OT!$D$24:$AH$24)</f>
        <v/>
      </c>
      <c r="K24" s="29" t="n"/>
      <c r="L24" s="30">
        <f>K24+F24</f>
        <v/>
      </c>
      <c r="M24" s="31">
        <f>L24-J24</f>
        <v/>
      </c>
      <c r="N24" s="24">
        <f>SUM(시간!$D$108:$AH$108)</f>
        <v/>
      </c>
      <c r="O24" s="32">
        <f>SUMPRODUCT((시간!$D$3:$AH$3=1)*(시간!$D$52:$AH$52))+SUMPRODUCT((시간!$D$3:$AH$3=1)*(OT!$D$24:$AH$24))</f>
        <v/>
      </c>
      <c r="P24" s="32">
        <f>SUMPRODUCT((시간!$D$3:$AH$3=2)*(시간!$D$52:$AH$52))+SUMPRODUCT((시간!$D$3:$AH$3=2)*(OT!$D$24:$AH$24))</f>
        <v/>
      </c>
      <c r="Q24" s="32">
        <f>SUMPRODUCT((시간!$D$3:$AH$3=3)*(시간!$D$52:$AH$52))+SUMPRODUCT((시간!$D$3:$AH$3=3)*(OT!$D$24:$AH$24))</f>
        <v/>
      </c>
      <c r="R24" s="32">
        <f>SUMPRODUCT((시간!$D$3:$AH$3=4)*(시간!$D$52:$AH$52))+SUMPRODUCT((시간!$D$3:$AH$3=4)*(OT!$D$24:$AH$24))</f>
        <v/>
      </c>
      <c r="S24" s="32">
        <f>SUMPRODUCT((시간!$D$3:$AH$3=5)*(시간!$D$52:$AH$52))+SUMPRODUCT((시간!$D$3:$AH$3=5)*(OT!$D$24:$AH$24))</f>
        <v/>
      </c>
      <c r="T24" s="32">
        <f>SUMPRODUCT((시간!$D$3:$AH$3=6)*(시간!$D$52:$AH$52))+SUMPRODUCT((시간!$D$3:$AH$3=6)*(OT!$D$24:$AH$24))</f>
        <v/>
      </c>
      <c r="U24" s="31">
        <f>MAX(O24:T24)</f>
        <v/>
      </c>
      <c r="V24" s="24">
        <f>IF(U24&gt;64,"초과","적합")</f>
        <v/>
      </c>
    </row>
    <row r="25">
      <c r="A25" s="15">
        <f>IF(명부!A19="","",명부!A19)</f>
        <v/>
      </c>
      <c r="B25" s="16">
        <f>IF(명부!C19="","",명부!C19)</f>
        <v/>
      </c>
      <c r="C25" s="17">
        <f>IF(명부!E19="","",명부!E19)</f>
        <v/>
      </c>
      <c r="D25" s="24">
        <f>SUMPRODUCT((시간!$D$4:$AH$4&lt;&gt;"")*(시간!$D$6:$AH$6=""))</f>
        <v/>
      </c>
      <c r="E25" s="26">
        <f>D25*8</f>
        <v/>
      </c>
      <c r="F25" s="26">
        <f>SUM(시간!$D$81:$AH$81)</f>
        <v/>
      </c>
      <c r="G25" s="27">
        <f>E25-F25</f>
        <v/>
      </c>
      <c r="H25" s="27">
        <f>SUM(시간!$D$53:$AH$53)</f>
        <v/>
      </c>
      <c r="I25" s="28">
        <f>H25-G25</f>
        <v/>
      </c>
      <c r="J25" s="26">
        <f>SUM(OT!$D$25:$AH$25)</f>
        <v/>
      </c>
      <c r="K25" s="29" t="n"/>
      <c r="L25" s="30">
        <f>K25+F25</f>
        <v/>
      </c>
      <c r="M25" s="31">
        <f>L25-J25</f>
        <v/>
      </c>
      <c r="N25" s="24">
        <f>SUM(시간!$D$109:$AH$109)</f>
        <v/>
      </c>
      <c r="O25" s="32">
        <f>SUMPRODUCT((시간!$D$3:$AH$3=1)*(시간!$D$53:$AH$53))+SUMPRODUCT((시간!$D$3:$AH$3=1)*(OT!$D$25:$AH$25))</f>
        <v/>
      </c>
      <c r="P25" s="32">
        <f>SUMPRODUCT((시간!$D$3:$AH$3=2)*(시간!$D$53:$AH$53))+SUMPRODUCT((시간!$D$3:$AH$3=2)*(OT!$D$25:$AH$25))</f>
        <v/>
      </c>
      <c r="Q25" s="32">
        <f>SUMPRODUCT((시간!$D$3:$AH$3=3)*(시간!$D$53:$AH$53))+SUMPRODUCT((시간!$D$3:$AH$3=3)*(OT!$D$25:$AH$25))</f>
        <v/>
      </c>
      <c r="R25" s="32">
        <f>SUMPRODUCT((시간!$D$3:$AH$3=4)*(시간!$D$53:$AH$53))+SUMPRODUCT((시간!$D$3:$AH$3=4)*(OT!$D$25:$AH$25))</f>
        <v/>
      </c>
      <c r="S25" s="32">
        <f>SUMPRODUCT((시간!$D$3:$AH$3=5)*(시간!$D$53:$AH$53))+SUMPRODUCT((시간!$D$3:$AH$3=5)*(OT!$D$25:$AH$25))</f>
        <v/>
      </c>
      <c r="T25" s="32">
        <f>SUMPRODUCT((시간!$D$3:$AH$3=6)*(시간!$D$53:$AH$53))+SUMPRODUCT((시간!$D$3:$AH$3=6)*(OT!$D$25:$AH$25))</f>
        <v/>
      </c>
      <c r="U25" s="31">
        <f>MAX(O25:T25)</f>
        <v/>
      </c>
      <c r="V25" s="24">
        <f>IF(U25&gt;64,"초과","적합")</f>
        <v/>
      </c>
    </row>
    <row r="26">
      <c r="A26" s="15">
        <f>IF(명부!A20="","",명부!A20)</f>
        <v/>
      </c>
      <c r="B26" s="16">
        <f>IF(명부!C20="","",명부!C20)</f>
        <v/>
      </c>
      <c r="C26" s="17">
        <f>IF(명부!E20="","",명부!E20)</f>
        <v/>
      </c>
      <c r="D26" s="24">
        <f>SUMPRODUCT((시간!$D$4:$AH$4&lt;&gt;"")*(시간!$D$6:$AH$6=""))</f>
        <v/>
      </c>
      <c r="E26" s="26">
        <f>D26*8</f>
        <v/>
      </c>
      <c r="F26" s="26">
        <f>SUM(시간!$D$82:$AH$82)</f>
        <v/>
      </c>
      <c r="G26" s="27">
        <f>E26-F26</f>
        <v/>
      </c>
      <c r="H26" s="27">
        <f>SUM(시간!$D$54:$AH$54)</f>
        <v/>
      </c>
      <c r="I26" s="28">
        <f>H26-G26</f>
        <v/>
      </c>
      <c r="J26" s="26">
        <f>SUM(OT!$D$26:$AH$26)</f>
        <v/>
      </c>
      <c r="K26" s="29" t="n"/>
      <c r="L26" s="30">
        <f>K26+F26</f>
        <v/>
      </c>
      <c r="M26" s="31">
        <f>L26-J26</f>
        <v/>
      </c>
      <c r="N26" s="24">
        <f>SUM(시간!$D$110:$AH$110)</f>
        <v/>
      </c>
      <c r="O26" s="32">
        <f>SUMPRODUCT((시간!$D$3:$AH$3=1)*(시간!$D$54:$AH$54))+SUMPRODUCT((시간!$D$3:$AH$3=1)*(OT!$D$26:$AH$26))</f>
        <v/>
      </c>
      <c r="P26" s="32">
        <f>SUMPRODUCT((시간!$D$3:$AH$3=2)*(시간!$D$54:$AH$54))+SUMPRODUCT((시간!$D$3:$AH$3=2)*(OT!$D$26:$AH$26))</f>
        <v/>
      </c>
      <c r="Q26" s="32">
        <f>SUMPRODUCT((시간!$D$3:$AH$3=3)*(시간!$D$54:$AH$54))+SUMPRODUCT((시간!$D$3:$AH$3=3)*(OT!$D$26:$AH$26))</f>
        <v/>
      </c>
      <c r="R26" s="32">
        <f>SUMPRODUCT((시간!$D$3:$AH$3=4)*(시간!$D$54:$AH$54))+SUMPRODUCT((시간!$D$3:$AH$3=4)*(OT!$D$26:$AH$26))</f>
        <v/>
      </c>
      <c r="S26" s="32">
        <f>SUMPRODUCT((시간!$D$3:$AH$3=5)*(시간!$D$54:$AH$54))+SUMPRODUCT((시간!$D$3:$AH$3=5)*(OT!$D$26:$AH$26))</f>
        <v/>
      </c>
      <c r="T26" s="32">
        <f>SUMPRODUCT((시간!$D$3:$AH$3=6)*(시간!$D$54:$AH$54))+SUMPRODUCT((시간!$D$3:$AH$3=6)*(OT!$D$26:$AH$26))</f>
        <v/>
      </c>
      <c r="U26" s="31">
        <f>MAX(O26:T26)</f>
        <v/>
      </c>
      <c r="V26" s="24">
        <f>IF(U26&gt;64,"초과","적합")</f>
        <v/>
      </c>
    </row>
    <row r="27">
      <c r="A27" s="15">
        <f>IF(명부!A21="","",명부!A21)</f>
        <v/>
      </c>
      <c r="B27" s="16">
        <f>IF(명부!C21="","",명부!C21)</f>
        <v/>
      </c>
      <c r="C27" s="17">
        <f>IF(명부!E21="","",명부!E21)</f>
        <v/>
      </c>
      <c r="D27" s="24">
        <f>SUMPRODUCT((시간!$D$4:$AH$4&lt;&gt;"")*(시간!$D$6:$AH$6=""))</f>
        <v/>
      </c>
      <c r="E27" s="26">
        <f>D27*8</f>
        <v/>
      </c>
      <c r="F27" s="26">
        <f>SUM(시간!$D$83:$AH$83)</f>
        <v/>
      </c>
      <c r="G27" s="27">
        <f>E27-F27</f>
        <v/>
      </c>
      <c r="H27" s="27">
        <f>SUM(시간!$D$55:$AH$55)</f>
        <v/>
      </c>
      <c r="I27" s="28">
        <f>H27-G27</f>
        <v/>
      </c>
      <c r="J27" s="26">
        <f>SUM(OT!$D$27:$AH$27)</f>
        <v/>
      </c>
      <c r="K27" s="29" t="n"/>
      <c r="L27" s="30">
        <f>K27+F27</f>
        <v/>
      </c>
      <c r="M27" s="31">
        <f>L27-J27</f>
        <v/>
      </c>
      <c r="N27" s="24">
        <f>SUM(시간!$D$111:$AH$111)</f>
        <v/>
      </c>
      <c r="O27" s="32">
        <f>SUMPRODUCT((시간!$D$3:$AH$3=1)*(시간!$D$55:$AH$55))+SUMPRODUCT((시간!$D$3:$AH$3=1)*(OT!$D$27:$AH$27))</f>
        <v/>
      </c>
      <c r="P27" s="32">
        <f>SUMPRODUCT((시간!$D$3:$AH$3=2)*(시간!$D$55:$AH$55))+SUMPRODUCT((시간!$D$3:$AH$3=2)*(OT!$D$27:$AH$27))</f>
        <v/>
      </c>
      <c r="Q27" s="32">
        <f>SUMPRODUCT((시간!$D$3:$AH$3=3)*(시간!$D$55:$AH$55))+SUMPRODUCT((시간!$D$3:$AH$3=3)*(OT!$D$27:$AH$27))</f>
        <v/>
      </c>
      <c r="R27" s="32">
        <f>SUMPRODUCT((시간!$D$3:$AH$3=4)*(시간!$D$55:$AH$55))+SUMPRODUCT((시간!$D$3:$AH$3=4)*(OT!$D$27:$AH$27))</f>
        <v/>
      </c>
      <c r="S27" s="32">
        <f>SUMPRODUCT((시간!$D$3:$AH$3=5)*(시간!$D$55:$AH$55))+SUMPRODUCT((시간!$D$3:$AH$3=5)*(OT!$D$27:$AH$27))</f>
        <v/>
      </c>
      <c r="T27" s="32">
        <f>SUMPRODUCT((시간!$D$3:$AH$3=6)*(시간!$D$55:$AH$55))+SUMPRODUCT((시간!$D$3:$AH$3=6)*(OT!$D$27:$AH$27))</f>
        <v/>
      </c>
      <c r="U27" s="31">
        <f>MAX(O27:T27)</f>
        <v/>
      </c>
      <c r="V27" s="24">
        <f>IF(U27&gt;64,"초과","적합")</f>
        <v/>
      </c>
    </row>
    <row r="28">
      <c r="A28" s="15">
        <f>IF(명부!A22="","",명부!A22)</f>
        <v/>
      </c>
      <c r="B28" s="16">
        <f>IF(명부!C22="","",명부!C22)</f>
        <v/>
      </c>
      <c r="C28" s="17">
        <f>IF(명부!E22="","",명부!E22)</f>
        <v/>
      </c>
      <c r="D28" s="24">
        <f>SUMPRODUCT((시간!$D$4:$AH$4&lt;&gt;"")*(시간!$D$6:$AH$6=""))</f>
        <v/>
      </c>
      <c r="E28" s="26">
        <f>D28*8</f>
        <v/>
      </c>
      <c r="F28" s="26">
        <f>SUM(시간!$D$84:$AH$84)</f>
        <v/>
      </c>
      <c r="G28" s="27">
        <f>E28-F28</f>
        <v/>
      </c>
      <c r="H28" s="27">
        <f>SUM(시간!$D$56:$AH$56)</f>
        <v/>
      </c>
      <c r="I28" s="28">
        <f>H28-G28</f>
        <v/>
      </c>
      <c r="J28" s="26">
        <f>SUM(OT!$D$28:$AH$28)</f>
        <v/>
      </c>
      <c r="K28" s="29" t="n"/>
      <c r="L28" s="30">
        <f>K28+F28</f>
        <v/>
      </c>
      <c r="M28" s="31">
        <f>L28-J28</f>
        <v/>
      </c>
      <c r="N28" s="24">
        <f>SUM(시간!$D$112:$AH$112)</f>
        <v/>
      </c>
      <c r="O28" s="32">
        <f>SUMPRODUCT((시간!$D$3:$AH$3=1)*(시간!$D$56:$AH$56))+SUMPRODUCT((시간!$D$3:$AH$3=1)*(OT!$D$28:$AH$28))</f>
        <v/>
      </c>
      <c r="P28" s="32">
        <f>SUMPRODUCT((시간!$D$3:$AH$3=2)*(시간!$D$56:$AH$56))+SUMPRODUCT((시간!$D$3:$AH$3=2)*(OT!$D$28:$AH$28))</f>
        <v/>
      </c>
      <c r="Q28" s="32">
        <f>SUMPRODUCT((시간!$D$3:$AH$3=3)*(시간!$D$56:$AH$56))+SUMPRODUCT((시간!$D$3:$AH$3=3)*(OT!$D$28:$AH$28))</f>
        <v/>
      </c>
      <c r="R28" s="32">
        <f>SUMPRODUCT((시간!$D$3:$AH$3=4)*(시간!$D$56:$AH$56))+SUMPRODUCT((시간!$D$3:$AH$3=4)*(OT!$D$28:$AH$28))</f>
        <v/>
      </c>
      <c r="S28" s="32">
        <f>SUMPRODUCT((시간!$D$3:$AH$3=5)*(시간!$D$56:$AH$56))+SUMPRODUCT((시간!$D$3:$AH$3=5)*(OT!$D$28:$AH$28))</f>
        <v/>
      </c>
      <c r="T28" s="32">
        <f>SUMPRODUCT((시간!$D$3:$AH$3=6)*(시간!$D$56:$AH$56))+SUMPRODUCT((시간!$D$3:$AH$3=6)*(OT!$D$28:$AH$28))</f>
        <v/>
      </c>
      <c r="U28" s="31">
        <f>MAX(O28:T28)</f>
        <v/>
      </c>
      <c r="V28" s="24">
        <f>IF(U28&gt;64,"초과","적합")</f>
        <v/>
      </c>
    </row>
    <row r="29">
      <c r="A29" s="15">
        <f>IF(명부!A23="","",명부!A23)</f>
        <v/>
      </c>
      <c r="B29" s="16">
        <f>IF(명부!C23="","",명부!C23)</f>
        <v/>
      </c>
      <c r="C29" s="17">
        <f>IF(명부!E23="","",명부!E23)</f>
        <v/>
      </c>
      <c r="D29" s="24">
        <f>SUMPRODUCT((시간!$D$4:$AH$4&lt;&gt;"")*(시간!$D$6:$AH$6=""))</f>
        <v/>
      </c>
      <c r="E29" s="26">
        <f>D29*8</f>
        <v/>
      </c>
      <c r="F29" s="26">
        <f>SUM(시간!$D$85:$AH$85)</f>
        <v/>
      </c>
      <c r="G29" s="27">
        <f>E29-F29</f>
        <v/>
      </c>
      <c r="H29" s="27">
        <f>SUM(시간!$D$57:$AH$57)</f>
        <v/>
      </c>
      <c r="I29" s="28">
        <f>H29-G29</f>
        <v/>
      </c>
      <c r="J29" s="26">
        <f>SUM(OT!$D$29:$AH$29)</f>
        <v/>
      </c>
      <c r="K29" s="29" t="n"/>
      <c r="L29" s="30">
        <f>K29+F29</f>
        <v/>
      </c>
      <c r="M29" s="31">
        <f>L29-J29</f>
        <v/>
      </c>
      <c r="N29" s="24">
        <f>SUM(시간!$D$113:$AH$113)</f>
        <v/>
      </c>
      <c r="O29" s="32">
        <f>SUMPRODUCT((시간!$D$3:$AH$3=1)*(시간!$D$57:$AH$57))+SUMPRODUCT((시간!$D$3:$AH$3=1)*(OT!$D$29:$AH$29))</f>
        <v/>
      </c>
      <c r="P29" s="32">
        <f>SUMPRODUCT((시간!$D$3:$AH$3=2)*(시간!$D$57:$AH$57))+SUMPRODUCT((시간!$D$3:$AH$3=2)*(OT!$D$29:$AH$29))</f>
        <v/>
      </c>
      <c r="Q29" s="32">
        <f>SUMPRODUCT((시간!$D$3:$AH$3=3)*(시간!$D$57:$AH$57))+SUMPRODUCT((시간!$D$3:$AH$3=3)*(OT!$D$29:$AH$29))</f>
        <v/>
      </c>
      <c r="R29" s="32">
        <f>SUMPRODUCT((시간!$D$3:$AH$3=4)*(시간!$D$57:$AH$57))+SUMPRODUCT((시간!$D$3:$AH$3=4)*(OT!$D$29:$AH$29))</f>
        <v/>
      </c>
      <c r="S29" s="32">
        <f>SUMPRODUCT((시간!$D$3:$AH$3=5)*(시간!$D$57:$AH$57))+SUMPRODUCT((시간!$D$3:$AH$3=5)*(OT!$D$29:$AH$29))</f>
        <v/>
      </c>
      <c r="T29" s="32">
        <f>SUMPRODUCT((시간!$D$3:$AH$3=6)*(시간!$D$57:$AH$57))+SUMPRODUCT((시간!$D$3:$AH$3=6)*(OT!$D$29:$AH$29))</f>
        <v/>
      </c>
      <c r="U29" s="31">
        <f>MAX(O29:T29)</f>
        <v/>
      </c>
      <c r="V29" s="24">
        <f>IF(U29&gt;64,"초과","적합")</f>
        <v/>
      </c>
    </row>
    <row r="30">
      <c r="A30" s="15">
        <f>IF(명부!A24="","",명부!A24)</f>
        <v/>
      </c>
      <c r="B30" s="16">
        <f>IF(명부!C24="","",명부!C24)</f>
        <v/>
      </c>
      <c r="C30" s="17">
        <f>IF(명부!E24="","",명부!E24)</f>
        <v/>
      </c>
      <c r="D30" s="24">
        <f>SUMPRODUCT((시간!$D$4:$AH$4&lt;&gt;"")*(시간!$D$6:$AH$6=""))</f>
        <v/>
      </c>
      <c r="E30" s="26">
        <f>D30*8</f>
        <v/>
      </c>
      <c r="F30" s="26">
        <f>SUM(시간!$D$86:$AH$86)</f>
        <v/>
      </c>
      <c r="G30" s="27">
        <f>E30-F30</f>
        <v/>
      </c>
      <c r="H30" s="27">
        <f>SUM(시간!$D$58:$AH$58)</f>
        <v/>
      </c>
      <c r="I30" s="28">
        <f>H30-G30</f>
        <v/>
      </c>
      <c r="J30" s="26">
        <f>SUM(OT!$D$30:$AH$30)</f>
        <v/>
      </c>
      <c r="K30" s="29" t="n"/>
      <c r="L30" s="30">
        <f>K30+F30</f>
        <v/>
      </c>
      <c r="M30" s="31">
        <f>L30-J30</f>
        <v/>
      </c>
      <c r="N30" s="24">
        <f>SUM(시간!$D$114:$AH$114)</f>
        <v/>
      </c>
      <c r="O30" s="32">
        <f>SUMPRODUCT((시간!$D$3:$AH$3=1)*(시간!$D$58:$AH$58))+SUMPRODUCT((시간!$D$3:$AH$3=1)*(OT!$D$30:$AH$30))</f>
        <v/>
      </c>
      <c r="P30" s="32">
        <f>SUMPRODUCT((시간!$D$3:$AH$3=2)*(시간!$D$58:$AH$58))+SUMPRODUCT((시간!$D$3:$AH$3=2)*(OT!$D$30:$AH$30))</f>
        <v/>
      </c>
      <c r="Q30" s="32">
        <f>SUMPRODUCT((시간!$D$3:$AH$3=3)*(시간!$D$58:$AH$58))+SUMPRODUCT((시간!$D$3:$AH$3=3)*(OT!$D$30:$AH$30))</f>
        <v/>
      </c>
      <c r="R30" s="32">
        <f>SUMPRODUCT((시간!$D$3:$AH$3=4)*(시간!$D$58:$AH$58))+SUMPRODUCT((시간!$D$3:$AH$3=4)*(OT!$D$30:$AH$30))</f>
        <v/>
      </c>
      <c r="S30" s="32">
        <f>SUMPRODUCT((시간!$D$3:$AH$3=5)*(시간!$D$58:$AH$58))+SUMPRODUCT((시간!$D$3:$AH$3=5)*(OT!$D$30:$AH$30))</f>
        <v/>
      </c>
      <c r="T30" s="32">
        <f>SUMPRODUCT((시간!$D$3:$AH$3=6)*(시간!$D$58:$AH$58))+SUMPRODUCT((시간!$D$3:$AH$3=6)*(OT!$D$30:$AH$30))</f>
        <v/>
      </c>
      <c r="U30" s="31">
        <f>MAX(O30:T30)</f>
        <v/>
      </c>
      <c r="V30" s="24">
        <f>IF(U30&gt;64,"초과","적합")</f>
        <v/>
      </c>
    </row>
    <row r="31">
      <c r="A31" s="15">
        <f>IF(명부!A25="","",명부!A25)</f>
        <v/>
      </c>
      <c r="B31" s="16">
        <f>IF(명부!C25="","",명부!C25)</f>
        <v/>
      </c>
      <c r="C31" s="17">
        <f>IF(명부!E25="","",명부!E25)</f>
        <v/>
      </c>
      <c r="D31" s="24">
        <f>SUMPRODUCT((시간!$D$4:$AH$4&lt;&gt;"")*(시간!$D$6:$AH$6=""))</f>
        <v/>
      </c>
      <c r="E31" s="26">
        <f>D31*8</f>
        <v/>
      </c>
      <c r="F31" s="26">
        <f>SUM(시간!$D$87:$AH$87)</f>
        <v/>
      </c>
      <c r="G31" s="27">
        <f>E31-F31</f>
        <v/>
      </c>
      <c r="H31" s="27">
        <f>SUM(시간!$D$59:$AH$59)</f>
        <v/>
      </c>
      <c r="I31" s="28">
        <f>H31-G31</f>
        <v/>
      </c>
      <c r="J31" s="26">
        <f>SUM(OT!$D$31:$AH$31)</f>
        <v/>
      </c>
      <c r="K31" s="29" t="n"/>
      <c r="L31" s="30">
        <f>K31+F31</f>
        <v/>
      </c>
      <c r="M31" s="31">
        <f>L31-J31</f>
        <v/>
      </c>
      <c r="N31" s="24">
        <f>SUM(시간!$D$115:$AH$115)</f>
        <v/>
      </c>
      <c r="O31" s="32">
        <f>SUMPRODUCT((시간!$D$3:$AH$3=1)*(시간!$D$59:$AH$59))+SUMPRODUCT((시간!$D$3:$AH$3=1)*(OT!$D$31:$AH$31))</f>
        <v/>
      </c>
      <c r="P31" s="32">
        <f>SUMPRODUCT((시간!$D$3:$AH$3=2)*(시간!$D$59:$AH$59))+SUMPRODUCT((시간!$D$3:$AH$3=2)*(OT!$D$31:$AH$31))</f>
        <v/>
      </c>
      <c r="Q31" s="32">
        <f>SUMPRODUCT((시간!$D$3:$AH$3=3)*(시간!$D$59:$AH$59))+SUMPRODUCT((시간!$D$3:$AH$3=3)*(OT!$D$31:$AH$31))</f>
        <v/>
      </c>
      <c r="R31" s="32">
        <f>SUMPRODUCT((시간!$D$3:$AH$3=4)*(시간!$D$59:$AH$59))+SUMPRODUCT((시간!$D$3:$AH$3=4)*(OT!$D$31:$AH$31))</f>
        <v/>
      </c>
      <c r="S31" s="32">
        <f>SUMPRODUCT((시간!$D$3:$AH$3=5)*(시간!$D$59:$AH$59))+SUMPRODUCT((시간!$D$3:$AH$3=5)*(OT!$D$31:$AH$31))</f>
        <v/>
      </c>
      <c r="T31" s="32">
        <f>SUMPRODUCT((시간!$D$3:$AH$3=6)*(시간!$D$59:$AH$59))+SUMPRODUCT((시간!$D$3:$AH$3=6)*(OT!$D$31:$AH$31))</f>
        <v/>
      </c>
      <c r="U31" s="31">
        <f>MAX(O31:T31)</f>
        <v/>
      </c>
      <c r="V31" s="24">
        <f>IF(U31&gt;64,"초과","적합")</f>
        <v/>
      </c>
    </row>
    <row r="34">
      <c r="A34" s="5" t="inlineStr">
        <is>
          <t>주별 근로시간은 정규 + OT 이고 64시간을 넘으면 빨갛게 표시됩니다. 탄력근무 3개월 평균 52시간 판정은 달을 넘겨야 하므로 index.html 의 「탄력근무 52/64」 탭에서 확인하세요.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I8:I31">
    <cfRule type="cellIs" priority="1" operator="lessThan" dxfId="5">
      <formula>0</formula>
    </cfRule>
  </conditionalFormatting>
  <conditionalFormatting sqref="M8:M31">
    <cfRule type="cellIs" priority="2" operator="lessThan" dxfId="2">
      <formula>0</formula>
    </cfRule>
  </conditionalFormatting>
  <conditionalFormatting sqref="V8:V31">
    <cfRule type="cellIs" priority="3" operator="equal" dxfId="2">
      <formula>"초과"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8" customWidth="1" min="4" max="4"/>
    <col width="6" customWidth="1" min="5" max="5"/>
    <col width="6" customWidth="1" min="6" max="6"/>
  </cols>
  <sheetData>
    <row r="1">
      <c r="A1" s="12" t="inlineStr">
        <is>
          <t>이름</t>
        </is>
      </c>
      <c r="B1" s="12" t="inlineStr">
        <is>
          <t>팀</t>
        </is>
      </c>
      <c r="C1" s="12" t="inlineStr">
        <is>
          <t>파트</t>
        </is>
      </c>
      <c r="D1" s="12" t="inlineStr">
        <is>
          <t>직책</t>
        </is>
      </c>
      <c r="E1" s="12" t="inlineStr">
        <is>
          <t>그룹</t>
        </is>
      </c>
      <c r="F1" s="12" t="inlineStr">
        <is>
          <t>휴직</t>
        </is>
      </c>
    </row>
    <row r="2">
      <c r="A2" s="33" t="inlineStr">
        <is>
          <t>김동환</t>
        </is>
      </c>
      <c r="B2" s="33" t="inlineStr">
        <is>
          <t>발전운영팀</t>
        </is>
      </c>
      <c r="C2" s="33" t="inlineStr">
        <is>
          <t>발전팀장</t>
        </is>
      </c>
      <c r="D2" s="33" t="inlineStr">
        <is>
          <t>팀장</t>
        </is>
      </c>
      <c r="E2" s="34" t="inlineStr">
        <is>
          <t>A</t>
        </is>
      </c>
      <c r="F2" s="34" t="inlineStr"/>
    </row>
    <row r="3">
      <c r="A3" s="33" t="inlineStr">
        <is>
          <t>고재민</t>
        </is>
      </c>
      <c r="B3" s="33" t="inlineStr">
        <is>
          <t>정비기술팀</t>
        </is>
      </c>
      <c r="C3" s="33" t="inlineStr">
        <is>
          <t>정비팀장</t>
        </is>
      </c>
      <c r="D3" s="33" t="inlineStr">
        <is>
          <t>팀장</t>
        </is>
      </c>
      <c r="E3" s="34" t="inlineStr">
        <is>
          <t>A</t>
        </is>
      </c>
      <c r="F3" s="34" t="inlineStr"/>
    </row>
    <row r="4">
      <c r="A4" s="33" t="inlineStr">
        <is>
          <t>임태균</t>
        </is>
      </c>
      <c r="B4" s="33" t="inlineStr">
        <is>
          <t>발전운영팀</t>
        </is>
      </c>
      <c r="C4" s="33" t="inlineStr">
        <is>
          <t>발전지원</t>
        </is>
      </c>
      <c r="D4" s="33" t="inlineStr">
        <is>
          <t>파트장</t>
        </is>
      </c>
      <c r="E4" s="34" t="inlineStr">
        <is>
          <t>A</t>
        </is>
      </c>
      <c r="F4" s="34" t="inlineStr"/>
    </row>
    <row r="5">
      <c r="A5" s="33" t="inlineStr">
        <is>
          <t>정병철</t>
        </is>
      </c>
      <c r="B5" s="33" t="inlineStr">
        <is>
          <t>정비기술팀</t>
        </is>
      </c>
      <c r="C5" s="33" t="inlineStr">
        <is>
          <t>기계</t>
        </is>
      </c>
      <c r="D5" s="33" t="inlineStr">
        <is>
          <t>파트장</t>
        </is>
      </c>
      <c r="E5" s="34" t="inlineStr">
        <is>
          <t>A</t>
        </is>
      </c>
      <c r="F5" s="34" t="inlineStr"/>
    </row>
    <row r="6">
      <c r="A6" s="33" t="inlineStr">
        <is>
          <t>민준홍</t>
        </is>
      </c>
      <c r="B6" s="33" t="inlineStr">
        <is>
          <t>정비기술팀</t>
        </is>
      </c>
      <c r="C6" s="33" t="inlineStr">
        <is>
          <t>전기</t>
        </is>
      </c>
      <c r="D6" s="33" t="inlineStr">
        <is>
          <t>파트장</t>
        </is>
      </c>
      <c r="E6" s="34" t="inlineStr">
        <is>
          <t>A</t>
        </is>
      </c>
      <c r="F6" s="34" t="inlineStr"/>
    </row>
    <row r="7">
      <c r="A7" s="33" t="inlineStr">
        <is>
          <t>한승백</t>
        </is>
      </c>
      <c r="B7" s="33" t="inlineStr">
        <is>
          <t>정비기술팀</t>
        </is>
      </c>
      <c r="C7" s="33" t="inlineStr">
        <is>
          <t>제어</t>
        </is>
      </c>
      <c r="D7" s="33" t="inlineStr">
        <is>
          <t>파트장</t>
        </is>
      </c>
      <c r="E7" s="34" t="inlineStr">
        <is>
          <t>A</t>
        </is>
      </c>
      <c r="F7" s="34" t="inlineStr"/>
    </row>
    <row r="8">
      <c r="A8" s="33" t="inlineStr">
        <is>
          <t>박상호</t>
        </is>
      </c>
      <c r="B8" s="33" t="inlineStr">
        <is>
          <t>정비기술팀</t>
        </is>
      </c>
      <c r="C8" s="33" t="inlineStr">
        <is>
          <t>기계</t>
        </is>
      </c>
      <c r="D8" s="33" t="inlineStr">
        <is>
          <t>구성원</t>
        </is>
      </c>
      <c r="E8" s="34" t="inlineStr">
        <is>
          <t>B</t>
        </is>
      </c>
      <c r="F8" s="34" t="inlineStr"/>
    </row>
    <row r="9">
      <c r="A9" s="33" t="inlineStr">
        <is>
          <t>최규석</t>
        </is>
      </c>
      <c r="B9" s="33" t="inlineStr">
        <is>
          <t>정비기술팀</t>
        </is>
      </c>
      <c r="C9" s="33" t="inlineStr">
        <is>
          <t>기계</t>
        </is>
      </c>
      <c r="D9" s="33" t="inlineStr">
        <is>
          <t>구성원</t>
        </is>
      </c>
      <c r="E9" s="34" t="inlineStr">
        <is>
          <t>B</t>
        </is>
      </c>
      <c r="F9" s="34" t="inlineStr"/>
    </row>
    <row r="10">
      <c r="A10" s="33" t="inlineStr">
        <is>
          <t>김성진</t>
        </is>
      </c>
      <c r="B10" s="33" t="inlineStr">
        <is>
          <t>정비기술팀</t>
        </is>
      </c>
      <c r="C10" s="33" t="inlineStr">
        <is>
          <t>기계</t>
        </is>
      </c>
      <c r="D10" s="33" t="inlineStr">
        <is>
          <t>구성원</t>
        </is>
      </c>
      <c r="E10" s="34" t="inlineStr">
        <is>
          <t>B</t>
        </is>
      </c>
      <c r="F10" s="34" t="inlineStr"/>
    </row>
    <row r="11">
      <c r="A11" s="33" t="inlineStr">
        <is>
          <t>윤병권</t>
        </is>
      </c>
      <c r="B11" s="33" t="inlineStr">
        <is>
          <t>정비기술팀</t>
        </is>
      </c>
      <c r="C11" s="33" t="inlineStr">
        <is>
          <t>기계</t>
        </is>
      </c>
      <c r="D11" s="33" t="inlineStr">
        <is>
          <t>구성원</t>
        </is>
      </c>
      <c r="E11" s="34" t="inlineStr">
        <is>
          <t>B</t>
        </is>
      </c>
      <c r="F11" s="34" t="inlineStr"/>
    </row>
    <row r="12">
      <c r="A12" s="33" t="inlineStr">
        <is>
          <t>정상우</t>
        </is>
      </c>
      <c r="B12" s="33" t="inlineStr">
        <is>
          <t>정비기술팀</t>
        </is>
      </c>
      <c r="C12" s="33" t="inlineStr">
        <is>
          <t>기계</t>
        </is>
      </c>
      <c r="D12" s="33" t="inlineStr">
        <is>
          <t>구성원</t>
        </is>
      </c>
      <c r="E12" s="34" t="inlineStr">
        <is>
          <t>B</t>
        </is>
      </c>
      <c r="F12" s="34" t="inlineStr"/>
    </row>
    <row r="13">
      <c r="A13" s="33" t="inlineStr">
        <is>
          <t>김형준</t>
        </is>
      </c>
      <c r="B13" s="33" t="inlineStr">
        <is>
          <t>정비기술팀</t>
        </is>
      </c>
      <c r="C13" s="33" t="inlineStr">
        <is>
          <t>전기</t>
        </is>
      </c>
      <c r="D13" s="33" t="inlineStr">
        <is>
          <t>구성원</t>
        </is>
      </c>
      <c r="E13" s="34" t="inlineStr">
        <is>
          <t>B</t>
        </is>
      </c>
      <c r="F13" s="34" t="inlineStr"/>
    </row>
    <row r="14">
      <c r="A14" s="33" t="inlineStr">
        <is>
          <t>손현덕</t>
        </is>
      </c>
      <c r="B14" s="33" t="inlineStr">
        <is>
          <t>정비기술팀</t>
        </is>
      </c>
      <c r="C14" s="33" t="inlineStr">
        <is>
          <t>전기</t>
        </is>
      </c>
      <c r="D14" s="33" t="inlineStr">
        <is>
          <t>구성원</t>
        </is>
      </c>
      <c r="E14" s="34" t="inlineStr">
        <is>
          <t>B</t>
        </is>
      </c>
      <c r="F14" s="34" t="inlineStr"/>
    </row>
    <row r="15">
      <c r="A15" s="33" t="inlineStr">
        <is>
          <t>오승원</t>
        </is>
      </c>
      <c r="B15" s="33" t="inlineStr">
        <is>
          <t>정비기술팀</t>
        </is>
      </c>
      <c r="C15" s="33" t="inlineStr">
        <is>
          <t>전기</t>
        </is>
      </c>
      <c r="D15" s="33" t="inlineStr">
        <is>
          <t>구성원</t>
        </is>
      </c>
      <c r="E15" s="34" t="inlineStr">
        <is>
          <t>B</t>
        </is>
      </c>
      <c r="F15" s="34" t="inlineStr"/>
    </row>
    <row r="16">
      <c r="A16" s="33" t="inlineStr">
        <is>
          <t>주현</t>
        </is>
      </c>
      <c r="B16" s="33" t="inlineStr">
        <is>
          <t>정비기술팀</t>
        </is>
      </c>
      <c r="C16" s="33" t="inlineStr">
        <is>
          <t>제어</t>
        </is>
      </c>
      <c r="D16" s="33" t="inlineStr">
        <is>
          <t>구성원</t>
        </is>
      </c>
      <c r="E16" s="34" t="inlineStr">
        <is>
          <t>B</t>
        </is>
      </c>
      <c r="F16" s="34" t="inlineStr"/>
    </row>
    <row r="17">
      <c r="A17" s="33" t="inlineStr">
        <is>
          <t>조주형</t>
        </is>
      </c>
      <c r="B17" s="33" t="inlineStr">
        <is>
          <t>정비기술팀</t>
        </is>
      </c>
      <c r="C17" s="33" t="inlineStr">
        <is>
          <t>제어</t>
        </is>
      </c>
      <c r="D17" s="33" t="inlineStr">
        <is>
          <t>구성원</t>
        </is>
      </c>
      <c r="E17" s="34" t="inlineStr">
        <is>
          <t>B</t>
        </is>
      </c>
      <c r="F17" s="34" t="inlineStr"/>
    </row>
    <row r="18">
      <c r="A18" s="33" t="inlineStr">
        <is>
          <t>양종수</t>
        </is>
      </c>
      <c r="B18" s="33" t="inlineStr">
        <is>
          <t>정비기술팀</t>
        </is>
      </c>
      <c r="C18" s="33" t="inlineStr">
        <is>
          <t>정비지원</t>
        </is>
      </c>
      <c r="D18" s="33" t="inlineStr">
        <is>
          <t>구성원</t>
        </is>
      </c>
      <c r="E18" s="34" t="inlineStr">
        <is>
          <t>B</t>
        </is>
      </c>
      <c r="F18" s="34" t="inlineStr"/>
    </row>
    <row r="19">
      <c r="A19" s="33" t="inlineStr">
        <is>
          <t>강인성</t>
        </is>
      </c>
      <c r="B19" s="33" t="inlineStr">
        <is>
          <t>정비기술팀</t>
        </is>
      </c>
      <c r="C19" s="33" t="inlineStr">
        <is>
          <t>정비지원</t>
        </is>
      </c>
      <c r="D19" s="33" t="inlineStr">
        <is>
          <t>구성원</t>
        </is>
      </c>
      <c r="E19" s="34" t="inlineStr">
        <is>
          <t>B</t>
        </is>
      </c>
      <c r="F19" s="34" t="inlineStr"/>
    </row>
    <row r="20">
      <c r="A20" s="33" t="inlineStr">
        <is>
          <t>권오선</t>
        </is>
      </c>
      <c r="B20" s="33" t="inlineStr">
        <is>
          <t>정비기술팀</t>
        </is>
      </c>
      <c r="C20" s="33" t="inlineStr">
        <is>
          <t>정비지원</t>
        </is>
      </c>
      <c r="D20" s="33" t="inlineStr">
        <is>
          <t>구성원</t>
        </is>
      </c>
      <c r="E20" s="34" t="inlineStr">
        <is>
          <t>B</t>
        </is>
      </c>
      <c r="F20" s="34" t="inlineStr"/>
    </row>
    <row r="21">
      <c r="A21" s="33" t="inlineStr">
        <is>
          <t>정소망</t>
        </is>
      </c>
      <c r="B21" s="33" t="inlineStr">
        <is>
          <t>정비기술팀</t>
        </is>
      </c>
      <c r="C21" s="33" t="inlineStr">
        <is>
          <t>정비지원</t>
        </is>
      </c>
      <c r="D21" s="33" t="inlineStr">
        <is>
          <t>구성원</t>
        </is>
      </c>
      <c r="E21" s="34" t="inlineStr">
        <is>
          <t>B</t>
        </is>
      </c>
      <c r="F21" s="34" t="inlineStr"/>
    </row>
    <row r="22">
      <c r="A22" s="33" t="inlineStr">
        <is>
          <t>윤승현</t>
        </is>
      </c>
      <c r="B22" s="33" t="inlineStr">
        <is>
          <t>정비기술팀</t>
        </is>
      </c>
      <c r="C22" s="33" t="inlineStr">
        <is>
          <t>정비지원</t>
        </is>
      </c>
      <c r="D22" s="33" t="inlineStr">
        <is>
          <t>구성원</t>
        </is>
      </c>
      <c r="E22" s="34" t="inlineStr">
        <is>
          <t>B</t>
        </is>
      </c>
      <c r="F22" s="34" t="inlineStr">
        <is>
          <t>Y</t>
        </is>
      </c>
    </row>
    <row r="23">
      <c r="A23" s="33" t="inlineStr">
        <is>
          <t>양시웅</t>
        </is>
      </c>
      <c r="B23" s="33" t="inlineStr">
        <is>
          <t>발전운영팀</t>
        </is>
      </c>
      <c r="C23" s="33" t="inlineStr">
        <is>
          <t>발전지원</t>
        </is>
      </c>
      <c r="D23" s="33" t="inlineStr">
        <is>
          <t>구성원</t>
        </is>
      </c>
      <c r="E23" s="34" t="inlineStr">
        <is>
          <t>C</t>
        </is>
      </c>
      <c r="F23" s="34" t="inlineStr"/>
    </row>
    <row r="24">
      <c r="A24" s="33" t="inlineStr">
        <is>
          <t>한준우</t>
        </is>
      </c>
      <c r="B24" s="33" t="inlineStr">
        <is>
          <t>발전운영팀</t>
        </is>
      </c>
      <c r="C24" s="33" t="inlineStr">
        <is>
          <t>발전지원</t>
        </is>
      </c>
      <c r="D24" s="33" t="inlineStr">
        <is>
          <t>구성원</t>
        </is>
      </c>
      <c r="E24" s="34" t="inlineStr">
        <is>
          <t>C</t>
        </is>
      </c>
      <c r="F24" s="34" t="inlineStr"/>
    </row>
    <row r="25">
      <c r="A25" s="33" t="inlineStr">
        <is>
          <t>권민중</t>
        </is>
      </c>
      <c r="B25" s="33" t="inlineStr">
        <is>
          <t>발전운영팀</t>
        </is>
      </c>
      <c r="C25" s="33" t="inlineStr">
        <is>
          <t>발전지원</t>
        </is>
      </c>
      <c r="D25" s="33" t="inlineStr">
        <is>
          <t>구성원</t>
        </is>
      </c>
      <c r="E25" s="34" t="inlineStr">
        <is>
          <t>C</t>
        </is>
      </c>
      <c r="F25" s="34" t="inlineStr"/>
    </row>
    <row r="27">
      <c r="A27" s="35" t="inlineStr">
        <is>
          <t>활성 인원</t>
        </is>
      </c>
      <c r="B27" s="36">
        <f>COUNTA(A2:A25)-COUNTIF(F2:F25,"Y")</f>
        <v/>
      </c>
    </row>
    <row r="28">
      <c r="A28" s="35" t="inlineStr">
        <is>
          <t>30% 필요 인원</t>
        </is>
      </c>
      <c r="B28" s="36">
        <f>ROUNDUP(B27*0.3,0)</f>
        <v/>
      </c>
    </row>
    <row r="30">
      <c r="A30" s="5" t="inlineStr">
        <is>
          <t>휴직 열에 Y 를 넣으면 30% 모수에서 빠집니다. 순서를 바꾸면 다른 시트의 이름도 함께 바뀝니다.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s="12" t="inlineStr">
        <is>
          <t>날짜</t>
        </is>
      </c>
      <c r="B1" s="12" t="inlineStr">
        <is>
          <t>명칭</t>
        </is>
      </c>
    </row>
    <row r="2">
      <c r="A2" s="37" t="inlineStr">
        <is>
          <t>2026-01-01</t>
        </is>
      </c>
      <c r="B2" s="33" t="inlineStr">
        <is>
          <t>신정</t>
        </is>
      </c>
    </row>
    <row r="3">
      <c r="A3" s="37" t="inlineStr">
        <is>
          <t>2026-02-16</t>
        </is>
      </c>
      <c r="B3" s="33" t="inlineStr">
        <is>
          <t>설날 연휴</t>
        </is>
      </c>
    </row>
    <row r="4">
      <c r="A4" s="37" t="inlineStr">
        <is>
          <t>2026-02-17</t>
        </is>
      </c>
      <c r="B4" s="33" t="inlineStr">
        <is>
          <t>설날</t>
        </is>
      </c>
    </row>
    <row r="5">
      <c r="A5" s="37" t="inlineStr">
        <is>
          <t>2026-02-18</t>
        </is>
      </c>
      <c r="B5" s="33" t="inlineStr">
        <is>
          <t>설날 연휴</t>
        </is>
      </c>
    </row>
    <row r="6">
      <c r="A6" s="37" t="inlineStr">
        <is>
          <t>2026-03-01</t>
        </is>
      </c>
      <c r="B6" s="33" t="inlineStr">
        <is>
          <t>삼일절</t>
        </is>
      </c>
    </row>
    <row r="7">
      <c r="A7" s="37" t="inlineStr">
        <is>
          <t>2026-03-02</t>
        </is>
      </c>
      <c r="B7" s="33" t="inlineStr">
        <is>
          <t>삼일절 대체공휴일</t>
        </is>
      </c>
    </row>
    <row r="8">
      <c r="A8" s="37" t="inlineStr">
        <is>
          <t>2026-05-01</t>
        </is>
      </c>
      <c r="B8" s="33" t="inlineStr">
        <is>
          <t>근로자의 날</t>
        </is>
      </c>
    </row>
    <row r="9">
      <c r="A9" s="37" t="inlineStr">
        <is>
          <t>2026-05-05</t>
        </is>
      </c>
      <c r="B9" s="33" t="inlineStr">
        <is>
          <t>어린이날</t>
        </is>
      </c>
    </row>
    <row r="10">
      <c r="A10" s="37" t="inlineStr">
        <is>
          <t>2026-05-24</t>
        </is>
      </c>
      <c r="B10" s="33" t="inlineStr">
        <is>
          <t>부처님오신날</t>
        </is>
      </c>
    </row>
    <row r="11">
      <c r="A11" s="37" t="inlineStr">
        <is>
          <t>2026-05-25</t>
        </is>
      </c>
      <c r="B11" s="33" t="inlineStr">
        <is>
          <t>부처님오신날 대체공휴일</t>
        </is>
      </c>
    </row>
    <row r="12">
      <c r="A12" s="37" t="inlineStr">
        <is>
          <t>2026-06-06</t>
        </is>
      </c>
      <c r="B12" s="33" t="inlineStr">
        <is>
          <t>현충일</t>
        </is>
      </c>
    </row>
    <row r="13">
      <c r="A13" s="37" t="inlineStr">
        <is>
          <t>2026-08-15</t>
        </is>
      </c>
      <c r="B13" s="33" t="inlineStr">
        <is>
          <t>광복절</t>
        </is>
      </c>
    </row>
    <row r="14">
      <c r="A14" s="37" t="inlineStr">
        <is>
          <t>2026-08-17</t>
        </is>
      </c>
      <c r="B14" s="33" t="inlineStr">
        <is>
          <t>광복절 대체공휴일</t>
        </is>
      </c>
    </row>
    <row r="15">
      <c r="A15" s="37" t="inlineStr">
        <is>
          <t>2026-09-24</t>
        </is>
      </c>
      <c r="B15" s="33" t="inlineStr">
        <is>
          <t>추석 연휴</t>
        </is>
      </c>
    </row>
    <row r="16">
      <c r="A16" s="37" t="inlineStr">
        <is>
          <t>2026-09-25</t>
        </is>
      </c>
      <c r="B16" s="33" t="inlineStr">
        <is>
          <t>추석</t>
        </is>
      </c>
    </row>
    <row r="17">
      <c r="A17" s="37" t="inlineStr">
        <is>
          <t>2026-09-26</t>
        </is>
      </c>
      <c r="B17" s="33" t="inlineStr">
        <is>
          <t>추석 연휴</t>
        </is>
      </c>
    </row>
    <row r="18">
      <c r="A18" s="37" t="inlineStr">
        <is>
          <t>2026-10-03</t>
        </is>
      </c>
      <c r="B18" s="33" t="inlineStr">
        <is>
          <t>개천절</t>
        </is>
      </c>
    </row>
    <row r="19">
      <c r="A19" s="37" t="inlineStr">
        <is>
          <t>2026-10-05</t>
        </is>
      </c>
      <c r="B19" s="33" t="inlineStr">
        <is>
          <t>개천절 대체공휴일</t>
        </is>
      </c>
    </row>
    <row r="20">
      <c r="A20" s="37" t="inlineStr">
        <is>
          <t>2026-10-09</t>
        </is>
      </c>
      <c r="B20" s="33" t="inlineStr">
        <is>
          <t>한글날</t>
        </is>
      </c>
    </row>
    <row r="21">
      <c r="A21" s="37" t="inlineStr">
        <is>
          <t>2026-10-13</t>
        </is>
      </c>
      <c r="B21" s="33" t="inlineStr">
        <is>
          <t>회사 창립기념일</t>
        </is>
      </c>
    </row>
    <row r="22">
      <c r="A22" s="37" t="inlineStr">
        <is>
          <t>2026-12-25</t>
        </is>
      </c>
      <c r="B22" s="33" t="inlineStr">
        <is>
          <t>성탄절</t>
        </is>
      </c>
    </row>
    <row r="24">
      <c r="A24" s="5" t="inlineStr">
        <is>
          <t>날짜는 반드시 날짜 형식(2027-01-01)으로 넣으세요. 설날·추석·부처님오신날은 음력이라 매년 확인이 필요합니다. 사내 휴무일도 여기에 추가하세요.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7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3" customWidth="1" min="3" max="3"/>
    <col width="10" customWidth="1" min="4" max="4"/>
    <col width="9" customWidth="1" min="5" max="5"/>
    <col width="9" customWidth="1" min="6" max="6"/>
    <col width="14" customWidth="1" min="7" max="7"/>
    <col width="10" customWidth="1" min="8" max="8"/>
    <col width="17" customWidth="1" min="10" max="10"/>
    <col width="17" customWidth="1" min="11" max="11"/>
    <col width="6" customWidth="1" min="13" max="13"/>
    <col width="9" customWidth="1" min="15" max="15"/>
    <col width="9" customWidth="1" min="16" max="16"/>
    <col width="9" customWidth="1" min="17" max="17"/>
  </cols>
  <sheetData>
    <row r="1">
      <c r="A1" s="12" t="inlineStr">
        <is>
          <t>코드</t>
        </is>
      </c>
      <c r="B1" s="12" t="inlineStr">
        <is>
          <t>유형</t>
        </is>
      </c>
      <c r="C1" s="12" t="inlineStr">
        <is>
          <t>근무 시각</t>
        </is>
      </c>
      <c r="D1" s="12" t="inlineStr">
        <is>
          <t>실근로(h)</t>
        </is>
      </c>
      <c r="E1" s="12" t="inlineStr">
        <is>
          <t>휴가(h)</t>
        </is>
      </c>
      <c r="F1" s="12" t="inlineStr">
        <is>
          <t>30%충족</t>
        </is>
      </c>
      <c r="G1" s="12" t="inlineStr">
        <is>
          <t>휴가 블록</t>
        </is>
      </c>
      <c r="H1" s="12" t="inlineStr">
        <is>
          <t>구분</t>
        </is>
      </c>
      <c r="J1" s="12" t="inlineStr">
        <is>
          <t>30% 충족 코드</t>
        </is>
      </c>
      <c r="K1" s="12" t="inlineStr">
        <is>
          <t>조율 가능 코드</t>
        </is>
      </c>
      <c r="M1" s="12" t="inlineStr">
        <is>
          <t>요일</t>
        </is>
      </c>
      <c r="O1" s="12" t="inlineStr">
        <is>
          <t>유형</t>
        </is>
      </c>
      <c r="P1" s="12" t="inlineStr">
        <is>
          <t>출근</t>
        </is>
      </c>
      <c r="Q1" s="12" t="inlineStr">
        <is>
          <t>퇴근</t>
        </is>
      </c>
    </row>
    <row r="2">
      <c r="A2" s="38" t="inlineStr">
        <is>
          <t>근무 0730-1630</t>
        </is>
      </c>
      <c r="B2" s="24" t="inlineStr">
        <is>
          <t>근무</t>
        </is>
      </c>
      <c r="C2" s="17" t="inlineStr">
        <is>
          <t>07:30~16:30</t>
        </is>
      </c>
      <c r="D2" s="26" t="n">
        <v>8</v>
      </c>
      <c r="E2" s="26" t="n">
        <v>0</v>
      </c>
      <c r="F2" s="24" t="n">
        <v>1</v>
      </c>
      <c r="G2" s="17" t="inlineStr"/>
      <c r="H2" s="17" t="inlineStr">
        <is>
          <t>근무</t>
        </is>
      </c>
      <c r="J2" s="38" t="inlineStr">
        <is>
          <t>근무 0730-1630</t>
        </is>
      </c>
      <c r="K2" s="38" t="inlineStr">
        <is>
          <t>오후반 0730-1200</t>
        </is>
      </c>
      <c r="M2" s="24" t="inlineStr">
        <is>
          <t>일</t>
        </is>
      </c>
      <c r="O2" s="24" t="inlineStr">
        <is>
          <t>근무</t>
        </is>
      </c>
      <c r="P2" s="24" t="inlineStr">
        <is>
          <t>07:30</t>
        </is>
      </c>
      <c r="Q2" s="24" t="inlineStr">
        <is>
          <t>11:30</t>
        </is>
      </c>
    </row>
    <row r="3">
      <c r="A3" s="38" t="inlineStr">
        <is>
          <t>근무 0800-1700</t>
        </is>
      </c>
      <c r="B3" s="24" t="inlineStr">
        <is>
          <t>근무</t>
        </is>
      </c>
      <c r="C3" s="17" t="inlineStr">
        <is>
          <t>08:00~17:00</t>
        </is>
      </c>
      <c r="D3" s="26" t="n">
        <v>8</v>
      </c>
      <c r="E3" s="26" t="n">
        <v>0</v>
      </c>
      <c r="F3" s="24" t="n">
        <v>1</v>
      </c>
      <c r="G3" s="17" t="inlineStr"/>
      <c r="H3" s="17" t="inlineStr">
        <is>
          <t>근무</t>
        </is>
      </c>
      <c r="J3" s="38" t="inlineStr">
        <is>
          <t>근무 0800-1700</t>
        </is>
      </c>
      <c r="K3" s="38" t="inlineStr">
        <is>
          <t>오후반 0730-1300</t>
        </is>
      </c>
      <c r="M3" s="24" t="inlineStr">
        <is>
          <t>월</t>
        </is>
      </c>
      <c r="O3" s="24" t="inlineStr">
        <is>
          <t>오전반</t>
        </is>
      </c>
      <c r="P3" s="24" t="inlineStr">
        <is>
          <t>08:00</t>
        </is>
      </c>
      <c r="Q3" s="24" t="inlineStr">
        <is>
          <t>12:00</t>
        </is>
      </c>
    </row>
    <row r="4">
      <c r="A4" s="38" t="inlineStr">
        <is>
          <t>근무 0830-1730</t>
        </is>
      </c>
      <c r="B4" s="24" t="inlineStr">
        <is>
          <t>근무</t>
        </is>
      </c>
      <c r="C4" s="17" t="inlineStr">
        <is>
          <t>08:30~17:30</t>
        </is>
      </c>
      <c r="D4" s="26" t="n">
        <v>8</v>
      </c>
      <c r="E4" s="26" t="n">
        <v>0</v>
      </c>
      <c r="F4" s="24" t="n">
        <v>1</v>
      </c>
      <c r="G4" s="17" t="inlineStr"/>
      <c r="H4" s="17" t="inlineStr">
        <is>
          <t>근무</t>
        </is>
      </c>
      <c r="J4" s="38" t="inlineStr">
        <is>
          <t>근무 0830-1730</t>
        </is>
      </c>
      <c r="K4" s="38" t="inlineStr">
        <is>
          <t>오후반 0800-1200</t>
        </is>
      </c>
      <c r="M4" s="24" t="inlineStr">
        <is>
          <t>화</t>
        </is>
      </c>
      <c r="O4" s="24" t="inlineStr">
        <is>
          <t>오후반</t>
        </is>
      </c>
      <c r="P4" s="24" t="inlineStr">
        <is>
          <t>08:30</t>
        </is>
      </c>
      <c r="Q4" s="24" t="inlineStr">
        <is>
          <t>13:00</t>
        </is>
      </c>
    </row>
    <row r="5">
      <c r="A5" s="38" t="inlineStr">
        <is>
          <t>연차</t>
        </is>
      </c>
      <c r="B5" s="24" t="inlineStr">
        <is>
          <t>연차</t>
        </is>
      </c>
      <c r="C5" s="17" t="inlineStr"/>
      <c r="D5" s="26" t="n">
        <v>0</v>
      </c>
      <c r="E5" s="26" t="n">
        <v>8</v>
      </c>
      <c r="F5" s="24" t="n">
        <v>0</v>
      </c>
      <c r="G5" s="17" t="inlineStr"/>
      <c r="H5" s="17" t="inlineStr">
        <is>
          <t>휴가·사외</t>
        </is>
      </c>
      <c r="J5" s="38" t="inlineStr">
        <is>
          <t>근무 0730-1700</t>
        </is>
      </c>
      <c r="K5" s="38" t="inlineStr">
        <is>
          <t>오후반 0800-1300</t>
        </is>
      </c>
      <c r="M5" s="24" t="inlineStr">
        <is>
          <t>수</t>
        </is>
      </c>
      <c r="O5" s="24" t="inlineStr">
        <is>
          <t>오전반반</t>
        </is>
      </c>
      <c r="P5" s="24" t="inlineStr">
        <is>
          <t>10:30</t>
        </is>
      </c>
      <c r="Q5" s="24" t="inlineStr">
        <is>
          <t>13:30</t>
        </is>
      </c>
    </row>
    <row r="6">
      <c r="A6" s="38" t="inlineStr">
        <is>
          <t>출장</t>
        </is>
      </c>
      <c r="B6" s="24" t="inlineStr">
        <is>
          <t>출장</t>
        </is>
      </c>
      <c r="C6" s="17" t="inlineStr"/>
      <c r="D6" s="26" t="n">
        <v>8</v>
      </c>
      <c r="E6" s="26" t="n">
        <v>0</v>
      </c>
      <c r="F6" s="24" t="n">
        <v>0</v>
      </c>
      <c r="G6" s="17" t="inlineStr"/>
      <c r="H6" s="17" t="inlineStr">
        <is>
          <t>휴가·사외</t>
        </is>
      </c>
      <c r="J6" s="38" t="inlineStr">
        <is>
          <t>근무 0730-1730</t>
        </is>
      </c>
      <c r="K6" s="38" t="inlineStr">
        <is>
          <t>오후반 0800-1330</t>
        </is>
      </c>
      <c r="M6" s="24" t="inlineStr">
        <is>
          <t>목</t>
        </is>
      </c>
      <c r="O6" s="24" t="inlineStr">
        <is>
          <t>오후반반</t>
        </is>
      </c>
      <c r="P6" s="24" t="inlineStr">
        <is>
          <t>13:00</t>
        </is>
      </c>
      <c r="Q6" s="24" t="inlineStr">
        <is>
          <t>14:00</t>
        </is>
      </c>
    </row>
    <row r="7">
      <c r="A7" s="38" t="inlineStr">
        <is>
          <t>교육</t>
        </is>
      </c>
      <c r="B7" s="24" t="inlineStr">
        <is>
          <t>교육</t>
        </is>
      </c>
      <c r="C7" s="17" t="inlineStr"/>
      <c r="D7" s="26" t="n">
        <v>8</v>
      </c>
      <c r="E7" s="26" t="n">
        <v>0</v>
      </c>
      <c r="F7" s="24" t="n">
        <v>0</v>
      </c>
      <c r="G7" s="17" t="inlineStr"/>
      <c r="H7" s="17" t="inlineStr">
        <is>
          <t>휴가·사외</t>
        </is>
      </c>
      <c r="J7" s="38" t="inlineStr">
        <is>
          <t>근무 0730-1800</t>
        </is>
      </c>
      <c r="K7" s="38" t="inlineStr">
        <is>
          <t>오후반 0830-1200</t>
        </is>
      </c>
      <c r="M7" s="24" t="inlineStr">
        <is>
          <t>금</t>
        </is>
      </c>
      <c r="O7" s="24" t="inlineStr">
        <is>
          <t>검진</t>
        </is>
      </c>
      <c r="P7" s="24" t="inlineStr">
        <is>
          <t>13:30</t>
        </is>
      </c>
      <c r="Q7" s="24" t="inlineStr">
        <is>
          <t>14:30</t>
        </is>
      </c>
    </row>
    <row r="8">
      <c r="A8" s="38" t="inlineStr">
        <is>
          <t>기타</t>
        </is>
      </c>
      <c r="B8" s="24" t="inlineStr">
        <is>
          <t>기타</t>
        </is>
      </c>
      <c r="C8" s="17" t="inlineStr"/>
      <c r="D8" s="26" t="n">
        <v>8</v>
      </c>
      <c r="E8" s="26" t="n">
        <v>0</v>
      </c>
      <c r="F8" s="24" t="n">
        <v>0</v>
      </c>
      <c r="G8" s="17" t="inlineStr"/>
      <c r="H8" s="17" t="inlineStr">
        <is>
          <t>휴가·사외</t>
        </is>
      </c>
      <c r="J8" s="38" t="inlineStr">
        <is>
          <t>근무 0730-1830</t>
        </is>
      </c>
      <c r="K8" s="38" t="inlineStr">
        <is>
          <t>오후반 0830-1300</t>
        </is>
      </c>
      <c r="M8" s="24" t="inlineStr">
        <is>
          <t>토</t>
        </is>
      </c>
      <c r="O8" s="24" t="inlineStr">
        <is>
          <t>연차</t>
        </is>
      </c>
      <c r="Q8" s="24" t="inlineStr">
        <is>
          <t>15:00</t>
        </is>
      </c>
    </row>
    <row r="9">
      <c r="A9" s="38" t="inlineStr">
        <is>
          <t>오후반 0730-1200</t>
        </is>
      </c>
      <c r="B9" s="24" t="inlineStr">
        <is>
          <t>오후반</t>
        </is>
      </c>
      <c r="C9" s="17" t="inlineStr">
        <is>
          <t>07:30~12:00</t>
        </is>
      </c>
      <c r="D9" s="26" t="n">
        <v>4.5</v>
      </c>
      <c r="E9" s="26" t="n">
        <v>4</v>
      </c>
      <c r="F9" s="24" t="n">
        <v>0</v>
      </c>
      <c r="G9" s="17" t="inlineStr">
        <is>
          <t>12:00~17:00</t>
        </is>
      </c>
      <c r="H9" s="17" t="inlineStr">
        <is>
          <t>반차</t>
        </is>
      </c>
      <c r="J9" s="38" t="inlineStr">
        <is>
          <t>근무 0730-1900</t>
        </is>
      </c>
      <c r="K9" s="38" t="inlineStr">
        <is>
          <t>오후반 0830-1330</t>
        </is>
      </c>
      <c r="O9" s="24" t="inlineStr">
        <is>
          <t>출장</t>
        </is>
      </c>
      <c r="Q9" s="24" t="inlineStr">
        <is>
          <t>15:30</t>
        </is>
      </c>
    </row>
    <row r="10">
      <c r="A10" s="38" t="inlineStr">
        <is>
          <t>오후반 0730-1300</t>
        </is>
      </c>
      <c r="B10" s="24" t="inlineStr">
        <is>
          <t>오후반</t>
        </is>
      </c>
      <c r="C10" s="17" t="inlineStr">
        <is>
          <t>07:30~13:00</t>
        </is>
      </c>
      <c r="D10" s="26" t="n">
        <v>4.5</v>
      </c>
      <c r="E10" s="26" t="n">
        <v>4</v>
      </c>
      <c r="F10" s="24" t="n">
        <v>0</v>
      </c>
      <c r="G10" s="17" t="inlineStr">
        <is>
          <t>13:00~17:00</t>
        </is>
      </c>
      <c r="H10" s="17" t="inlineStr">
        <is>
          <t>반차</t>
        </is>
      </c>
      <c r="J10" s="38" t="inlineStr">
        <is>
          <t>근무 0730-1930</t>
        </is>
      </c>
      <c r="K10" s="38" t="inlineStr">
        <is>
          <t>오후반 0830-1400</t>
        </is>
      </c>
      <c r="O10" s="24" t="inlineStr">
        <is>
          <t>교육</t>
        </is>
      </c>
      <c r="Q10" s="24" t="inlineStr">
        <is>
          <t>16:00</t>
        </is>
      </c>
    </row>
    <row r="11">
      <c r="A11" s="38" t="inlineStr">
        <is>
          <t>오후반 0800-1200</t>
        </is>
      </c>
      <c r="B11" s="24" t="inlineStr">
        <is>
          <t>오후반</t>
        </is>
      </c>
      <c r="C11" s="17" t="inlineStr">
        <is>
          <t>08:00~12:00</t>
        </is>
      </c>
      <c r="D11" s="26" t="n">
        <v>4</v>
      </c>
      <c r="E11" s="26" t="n">
        <v>4</v>
      </c>
      <c r="F11" s="24" t="n">
        <v>0</v>
      </c>
      <c r="G11" s="17" t="inlineStr">
        <is>
          <t>12:00~17:00</t>
        </is>
      </c>
      <c r="H11" s="17" t="inlineStr">
        <is>
          <t>반차</t>
        </is>
      </c>
      <c r="J11" s="38" t="inlineStr">
        <is>
          <t>근무 0730-2000</t>
        </is>
      </c>
      <c r="K11" s="38" t="inlineStr">
        <is>
          <t>오전반 1300-1600</t>
        </is>
      </c>
      <c r="O11" s="24" t="inlineStr">
        <is>
          <t>기타</t>
        </is>
      </c>
      <c r="Q11" s="24" t="inlineStr">
        <is>
          <t>16:30</t>
        </is>
      </c>
    </row>
    <row r="12">
      <c r="A12" s="38" t="inlineStr">
        <is>
          <t>오후반 0800-1300</t>
        </is>
      </c>
      <c r="B12" s="24" t="inlineStr">
        <is>
          <t>오후반</t>
        </is>
      </c>
      <c r="C12" s="17" t="inlineStr">
        <is>
          <t>08:00~13:00</t>
        </is>
      </c>
      <c r="D12" s="26" t="n">
        <v>4</v>
      </c>
      <c r="E12" s="26" t="n">
        <v>4</v>
      </c>
      <c r="F12" s="24" t="n">
        <v>0</v>
      </c>
      <c r="G12" s="17" t="inlineStr">
        <is>
          <t>13:00~17:00</t>
        </is>
      </c>
      <c r="H12" s="17" t="inlineStr">
        <is>
          <t>반차</t>
        </is>
      </c>
      <c r="J12" s="38" t="inlineStr">
        <is>
          <t>근무 0730-2030</t>
        </is>
      </c>
      <c r="K12" s="38" t="inlineStr">
        <is>
          <t>오전반 1300-1630</t>
        </is>
      </c>
      <c r="O12" s="24" t="inlineStr">
        <is>
          <t>휴직</t>
        </is>
      </c>
      <c r="Q12" s="24" t="inlineStr">
        <is>
          <t>17:00</t>
        </is>
      </c>
    </row>
    <row r="13">
      <c r="A13" s="38" t="inlineStr">
        <is>
          <t>오후반 0800-1330</t>
        </is>
      </c>
      <c r="B13" s="24" t="inlineStr">
        <is>
          <t>오후반</t>
        </is>
      </c>
      <c r="C13" s="17" t="inlineStr">
        <is>
          <t>08:00~13:30</t>
        </is>
      </c>
      <c r="D13" s="26" t="n">
        <v>4.5</v>
      </c>
      <c r="E13" s="26" t="n">
        <v>4</v>
      </c>
      <c r="F13" s="24" t="n">
        <v>0</v>
      </c>
      <c r="G13" s="17" t="inlineStr">
        <is>
          <t>13:30~17:30</t>
        </is>
      </c>
      <c r="H13" s="17" t="inlineStr">
        <is>
          <t>반차</t>
        </is>
      </c>
      <c r="J13" s="38" t="inlineStr">
        <is>
          <t>근무 0800-1730</t>
        </is>
      </c>
      <c r="K13" s="38" t="inlineStr">
        <is>
          <t>오전반 1300-1700</t>
        </is>
      </c>
      <c r="Q13" s="24" t="inlineStr">
        <is>
          <t>17:30</t>
        </is>
      </c>
    </row>
    <row r="14">
      <c r="A14" s="38" t="inlineStr">
        <is>
          <t>오후반 0830-1200</t>
        </is>
      </c>
      <c r="B14" s="24" t="inlineStr">
        <is>
          <t>오후반</t>
        </is>
      </c>
      <c r="C14" s="17" t="inlineStr">
        <is>
          <t>08:30~12:00</t>
        </is>
      </c>
      <c r="D14" s="26" t="n">
        <v>3.5</v>
      </c>
      <c r="E14" s="26" t="n">
        <v>4</v>
      </c>
      <c r="F14" s="24" t="n">
        <v>0</v>
      </c>
      <c r="G14" s="17" t="inlineStr">
        <is>
          <t>12:00~17:00</t>
        </is>
      </c>
      <c r="H14" s="17" t="inlineStr">
        <is>
          <t>반차</t>
        </is>
      </c>
      <c r="J14" s="38" t="inlineStr">
        <is>
          <t>근무 0800-1800</t>
        </is>
      </c>
      <c r="K14" s="38" t="inlineStr">
        <is>
          <t>오전반 1300-1730</t>
        </is>
      </c>
      <c r="Q14" s="24" t="inlineStr">
        <is>
          <t>18:00</t>
        </is>
      </c>
    </row>
    <row r="15">
      <c r="A15" s="38" t="inlineStr">
        <is>
          <t>오후반 0830-1300</t>
        </is>
      </c>
      <c r="B15" s="24" t="inlineStr">
        <is>
          <t>오후반</t>
        </is>
      </c>
      <c r="C15" s="17" t="inlineStr">
        <is>
          <t>08:30~13:00</t>
        </is>
      </c>
      <c r="D15" s="26" t="n">
        <v>3.5</v>
      </c>
      <c r="E15" s="26" t="n">
        <v>4</v>
      </c>
      <c r="F15" s="24" t="n">
        <v>0</v>
      </c>
      <c r="G15" s="17" t="inlineStr">
        <is>
          <t>13:00~17:00</t>
        </is>
      </c>
      <c r="H15" s="17" t="inlineStr">
        <is>
          <t>반차</t>
        </is>
      </c>
      <c r="J15" s="38" t="inlineStr">
        <is>
          <t>근무 0800-1830</t>
        </is>
      </c>
      <c r="K15" s="38" t="inlineStr">
        <is>
          <t>오전반 1330-1630</t>
        </is>
      </c>
      <c r="Q15" s="24" t="inlineStr">
        <is>
          <t>18:30</t>
        </is>
      </c>
    </row>
    <row r="16">
      <c r="A16" s="38" t="inlineStr">
        <is>
          <t>오후반 0830-1330</t>
        </is>
      </c>
      <c r="B16" s="24" t="inlineStr">
        <is>
          <t>오후반</t>
        </is>
      </c>
      <c r="C16" s="17" t="inlineStr">
        <is>
          <t>08:30~13:30</t>
        </is>
      </c>
      <c r="D16" s="26" t="n">
        <v>4</v>
      </c>
      <c r="E16" s="26" t="n">
        <v>4</v>
      </c>
      <c r="F16" s="24" t="n">
        <v>0</v>
      </c>
      <c r="G16" s="17" t="inlineStr">
        <is>
          <t>13:30~17:30</t>
        </is>
      </c>
      <c r="H16" s="17" t="inlineStr">
        <is>
          <t>반차</t>
        </is>
      </c>
      <c r="J16" s="38" t="inlineStr">
        <is>
          <t>근무 0800-1900</t>
        </is>
      </c>
      <c r="K16" s="38" t="inlineStr">
        <is>
          <t>오전반 1330-1700</t>
        </is>
      </c>
      <c r="Q16" s="24" t="inlineStr">
        <is>
          <t>19:00</t>
        </is>
      </c>
    </row>
    <row r="17">
      <c r="A17" s="38" t="inlineStr">
        <is>
          <t>오후반 0830-1400</t>
        </is>
      </c>
      <c r="B17" s="24" t="inlineStr">
        <is>
          <t>오후반</t>
        </is>
      </c>
      <c r="C17" s="17" t="inlineStr">
        <is>
          <t>08:30~14:00</t>
        </is>
      </c>
      <c r="D17" s="26" t="n">
        <v>4.5</v>
      </c>
      <c r="E17" s="26" t="n">
        <v>4</v>
      </c>
      <c r="F17" s="24" t="n">
        <v>0</v>
      </c>
      <c r="G17" s="17" t="inlineStr">
        <is>
          <t>14:00~18:00</t>
        </is>
      </c>
      <c r="H17" s="17" t="inlineStr">
        <is>
          <t>반차</t>
        </is>
      </c>
      <c r="J17" s="38" t="inlineStr">
        <is>
          <t>근무 0800-1930</t>
        </is>
      </c>
      <c r="K17" s="38" t="inlineStr">
        <is>
          <t>오전반 1330-1730</t>
        </is>
      </c>
      <c r="Q17" s="24" t="inlineStr">
        <is>
          <t>19:30</t>
        </is>
      </c>
    </row>
    <row r="18">
      <c r="A18" s="38" t="inlineStr">
        <is>
          <t>오전반 1300-1600</t>
        </is>
      </c>
      <c r="B18" s="24" t="inlineStr">
        <is>
          <t>오전반</t>
        </is>
      </c>
      <c r="C18" s="17" t="inlineStr">
        <is>
          <t>13:00~16:00</t>
        </is>
      </c>
      <c r="D18" s="26" t="n">
        <v>3</v>
      </c>
      <c r="E18" s="26" t="n">
        <v>4</v>
      </c>
      <c r="F18" s="24" t="n">
        <v>0</v>
      </c>
      <c r="G18" s="17" t="inlineStr">
        <is>
          <t>08:00~13:00</t>
        </is>
      </c>
      <c r="H18" s="17" t="inlineStr">
        <is>
          <t>반차</t>
        </is>
      </c>
      <c r="J18" s="38" t="inlineStr">
        <is>
          <t>근무 0800-2000</t>
        </is>
      </c>
      <c r="K18" s="38" t="inlineStr">
        <is>
          <t>오전반 1330-1800</t>
        </is>
      </c>
      <c r="Q18" s="24" t="inlineStr">
        <is>
          <t>20:00</t>
        </is>
      </c>
    </row>
    <row r="19">
      <c r="A19" s="38" t="inlineStr">
        <is>
          <t>오전반 1300-1630</t>
        </is>
      </c>
      <c r="B19" s="24" t="inlineStr">
        <is>
          <t>오전반</t>
        </is>
      </c>
      <c r="C19" s="17" t="inlineStr">
        <is>
          <t>13:00~16:30</t>
        </is>
      </c>
      <c r="D19" s="26" t="n">
        <v>3.5</v>
      </c>
      <c r="E19" s="26" t="n">
        <v>4</v>
      </c>
      <c r="F19" s="24" t="n">
        <v>0</v>
      </c>
      <c r="G19" s="17" t="inlineStr">
        <is>
          <t>08:00~13:00</t>
        </is>
      </c>
      <c r="H19" s="17" t="inlineStr">
        <is>
          <t>반차</t>
        </is>
      </c>
      <c r="J19" s="38" t="inlineStr">
        <is>
          <t>근무 0800-2030</t>
        </is>
      </c>
      <c r="K19" s="38" t="inlineStr">
        <is>
          <t>오전반 1330-1830</t>
        </is>
      </c>
      <c r="Q19" s="24" t="inlineStr">
        <is>
          <t>20:30</t>
        </is>
      </c>
    </row>
    <row r="20">
      <c r="A20" s="38" t="inlineStr">
        <is>
          <t>오전반 1300-1700</t>
        </is>
      </c>
      <c r="B20" s="24" t="inlineStr">
        <is>
          <t>오전반</t>
        </is>
      </c>
      <c r="C20" s="17" t="inlineStr">
        <is>
          <t>13:00~17:00</t>
        </is>
      </c>
      <c r="D20" s="26" t="n">
        <v>4</v>
      </c>
      <c r="E20" s="26" t="n">
        <v>4</v>
      </c>
      <c r="F20" s="24" t="n">
        <v>0</v>
      </c>
      <c r="G20" s="17" t="inlineStr">
        <is>
          <t>08:00~13:00</t>
        </is>
      </c>
      <c r="H20" s="17" t="inlineStr">
        <is>
          <t>반차</t>
        </is>
      </c>
      <c r="J20" s="38" t="inlineStr">
        <is>
          <t>근무 0830-1800</t>
        </is>
      </c>
      <c r="K20" s="38" t="inlineStr">
        <is>
          <t>오후반반 0800-1530</t>
        </is>
      </c>
    </row>
    <row r="21">
      <c r="A21" s="38" t="inlineStr">
        <is>
          <t>오전반 1300-1730</t>
        </is>
      </c>
      <c r="B21" s="24" t="inlineStr">
        <is>
          <t>오전반</t>
        </is>
      </c>
      <c r="C21" s="17" t="inlineStr">
        <is>
          <t>13:00~17:30</t>
        </is>
      </c>
      <c r="D21" s="26" t="n">
        <v>4.5</v>
      </c>
      <c r="E21" s="26" t="n">
        <v>4</v>
      </c>
      <c r="F21" s="24" t="n">
        <v>0</v>
      </c>
      <c r="G21" s="17" t="inlineStr">
        <is>
          <t>08:00~13:00</t>
        </is>
      </c>
      <c r="H21" s="17" t="inlineStr">
        <is>
          <t>반차</t>
        </is>
      </c>
      <c r="J21" s="38" t="inlineStr">
        <is>
          <t>근무 0830-1830</t>
        </is>
      </c>
      <c r="K21" s="38" t="inlineStr">
        <is>
          <t>오후반반 0830-1530</t>
        </is>
      </c>
    </row>
    <row r="22">
      <c r="A22" s="38" t="inlineStr">
        <is>
          <t>오전반 1330-1630</t>
        </is>
      </c>
      <c r="B22" s="24" t="inlineStr">
        <is>
          <t>오전반</t>
        </is>
      </c>
      <c r="C22" s="17" t="inlineStr">
        <is>
          <t>13:30~16:30</t>
        </is>
      </c>
      <c r="D22" s="26" t="n">
        <v>3</v>
      </c>
      <c r="E22" s="26" t="n">
        <v>4</v>
      </c>
      <c r="F22" s="24" t="n">
        <v>0</v>
      </c>
      <c r="G22" s="17" t="inlineStr">
        <is>
          <t>08:30~13:30</t>
        </is>
      </c>
      <c r="H22" s="17" t="inlineStr">
        <is>
          <t>반차</t>
        </is>
      </c>
      <c r="J22" s="38" t="inlineStr">
        <is>
          <t>근무 0830-1900</t>
        </is>
      </c>
      <c r="K22" s="38" t="inlineStr">
        <is>
          <t>오전반반 1030-1430</t>
        </is>
      </c>
    </row>
    <row r="23">
      <c r="A23" s="38" t="inlineStr">
        <is>
          <t>오전반 1330-1700</t>
        </is>
      </c>
      <c r="B23" s="24" t="inlineStr">
        <is>
          <t>오전반</t>
        </is>
      </c>
      <c r="C23" s="17" t="inlineStr">
        <is>
          <t>13:30~17:00</t>
        </is>
      </c>
      <c r="D23" s="26" t="n">
        <v>3.5</v>
      </c>
      <c r="E23" s="26" t="n">
        <v>4</v>
      </c>
      <c r="F23" s="24" t="n">
        <v>0</v>
      </c>
      <c r="G23" s="17" t="inlineStr">
        <is>
          <t>08:30~13:30</t>
        </is>
      </c>
      <c r="H23" s="17" t="inlineStr">
        <is>
          <t>반차</t>
        </is>
      </c>
      <c r="J23" s="38" t="inlineStr">
        <is>
          <t>근무 0830-1930</t>
        </is>
      </c>
      <c r="K23" s="38" t="inlineStr">
        <is>
          <t>오전반반 1030-1500</t>
        </is>
      </c>
    </row>
    <row r="24">
      <c r="A24" s="38" t="inlineStr">
        <is>
          <t>오전반 1330-1730</t>
        </is>
      </c>
      <c r="B24" s="24" t="inlineStr">
        <is>
          <t>오전반</t>
        </is>
      </c>
      <c r="C24" s="17" t="inlineStr">
        <is>
          <t>13:30~17:30</t>
        </is>
      </c>
      <c r="D24" s="26" t="n">
        <v>4</v>
      </c>
      <c r="E24" s="26" t="n">
        <v>4</v>
      </c>
      <c r="F24" s="24" t="n">
        <v>0</v>
      </c>
      <c r="G24" s="17" t="inlineStr">
        <is>
          <t>08:30~13:30</t>
        </is>
      </c>
      <c r="H24" s="17" t="inlineStr">
        <is>
          <t>반차</t>
        </is>
      </c>
      <c r="J24" s="38" t="inlineStr">
        <is>
          <t>근무 0830-2000</t>
        </is>
      </c>
      <c r="K24" s="38" t="inlineStr">
        <is>
          <t>오전반반 1030-1530</t>
        </is>
      </c>
    </row>
    <row r="25">
      <c r="A25" s="38" t="inlineStr">
        <is>
          <t>오전반 1330-1800</t>
        </is>
      </c>
      <c r="B25" s="24" t="inlineStr">
        <is>
          <t>오전반</t>
        </is>
      </c>
      <c r="C25" s="17" t="inlineStr">
        <is>
          <t>13:30~18:00</t>
        </is>
      </c>
      <c r="D25" s="26" t="n">
        <v>4.5</v>
      </c>
      <c r="E25" s="26" t="n">
        <v>4</v>
      </c>
      <c r="F25" s="24" t="n">
        <v>0</v>
      </c>
      <c r="G25" s="17" t="inlineStr">
        <is>
          <t>08:30~13:30</t>
        </is>
      </c>
      <c r="H25" s="17" t="inlineStr">
        <is>
          <t>반차</t>
        </is>
      </c>
      <c r="J25" s="38" t="inlineStr">
        <is>
          <t>근무 0830-2030</t>
        </is>
      </c>
      <c r="K25" s="38" t="inlineStr">
        <is>
          <t>오전반반 1030-1600</t>
        </is>
      </c>
    </row>
    <row r="26">
      <c r="A26" s="38" t="inlineStr">
        <is>
          <t>오전반 1330-1830</t>
        </is>
      </c>
      <c r="B26" s="24" t="inlineStr">
        <is>
          <t>오전반</t>
        </is>
      </c>
      <c r="C26" s="17" t="inlineStr">
        <is>
          <t>13:30~18:30</t>
        </is>
      </c>
      <c r="D26" s="26" t="n">
        <v>4.5</v>
      </c>
      <c r="E26" s="26" t="n">
        <v>4</v>
      </c>
      <c r="F26" s="24" t="n">
        <v>0</v>
      </c>
      <c r="G26" s="17" t="inlineStr">
        <is>
          <t>08:30~13:30</t>
        </is>
      </c>
      <c r="H26" s="17" t="inlineStr">
        <is>
          <t>반차</t>
        </is>
      </c>
      <c r="K26" s="38" t="inlineStr">
        <is>
          <t>오전반반 1030-1630</t>
        </is>
      </c>
    </row>
    <row r="27">
      <c r="A27" s="38" t="inlineStr">
        <is>
          <t>오후반반 0800-1530</t>
        </is>
      </c>
      <c r="B27" s="24" t="inlineStr">
        <is>
          <t>오후반반</t>
        </is>
      </c>
      <c r="C27" s="17" t="inlineStr">
        <is>
          <t>08:00~15:30</t>
        </is>
      </c>
      <c r="D27" s="26" t="n">
        <v>6.5</v>
      </c>
      <c r="E27" s="26" t="n">
        <v>2</v>
      </c>
      <c r="F27" s="24" t="n">
        <v>0</v>
      </c>
      <c r="G27" s="17" t="inlineStr">
        <is>
          <t>15:30~17:30</t>
        </is>
      </c>
      <c r="H27" s="17" t="inlineStr">
        <is>
          <t>반반차</t>
        </is>
      </c>
      <c r="K27" s="38" t="inlineStr">
        <is>
          <t>오전반반 1030-1700</t>
        </is>
      </c>
    </row>
    <row r="28">
      <c r="A28" s="38" t="inlineStr">
        <is>
          <t>오후반반 0830-1530</t>
        </is>
      </c>
      <c r="B28" s="24" t="inlineStr">
        <is>
          <t>오후반반</t>
        </is>
      </c>
      <c r="C28" s="17" t="inlineStr">
        <is>
          <t>08:30~15:30</t>
        </is>
      </c>
      <c r="D28" s="26" t="n">
        <v>6</v>
      </c>
      <c r="E28" s="26" t="n">
        <v>2</v>
      </c>
      <c r="F28" s="24" t="n">
        <v>0</v>
      </c>
      <c r="G28" s="17" t="inlineStr">
        <is>
          <t>15:30~17:30</t>
        </is>
      </c>
      <c r="H28" s="17" t="inlineStr">
        <is>
          <t>반반차</t>
        </is>
      </c>
      <c r="K28" s="38" t="inlineStr">
        <is>
          <t>오전반반 1030-1730</t>
        </is>
      </c>
    </row>
    <row r="29">
      <c r="A29" s="38" t="inlineStr">
        <is>
          <t>오전반반 1030-1430</t>
        </is>
      </c>
      <c r="B29" s="24" t="inlineStr">
        <is>
          <t>오전반반</t>
        </is>
      </c>
      <c r="C29" s="17" t="inlineStr">
        <is>
          <t>10:30~14:30</t>
        </is>
      </c>
      <c r="D29" s="26" t="n">
        <v>3</v>
      </c>
      <c r="E29" s="26" t="n">
        <v>2</v>
      </c>
      <c r="F29" s="24" t="n">
        <v>0</v>
      </c>
      <c r="G29" s="17" t="inlineStr">
        <is>
          <t>08:30~10:30</t>
        </is>
      </c>
      <c r="H29" s="17" t="inlineStr">
        <is>
          <t>반반차</t>
        </is>
      </c>
      <c r="K29" s="38" t="inlineStr">
        <is>
          <t>오전반반 1030-1800</t>
        </is>
      </c>
    </row>
    <row r="30">
      <c r="A30" s="38" t="inlineStr">
        <is>
          <t>오전반반 1030-1500</t>
        </is>
      </c>
      <c r="B30" s="24" t="inlineStr">
        <is>
          <t>오전반반</t>
        </is>
      </c>
      <c r="C30" s="17" t="inlineStr">
        <is>
          <t>10:30~15:00</t>
        </is>
      </c>
      <c r="D30" s="26" t="n">
        <v>3.5</v>
      </c>
      <c r="E30" s="26" t="n">
        <v>2</v>
      </c>
      <c r="F30" s="24" t="n">
        <v>0</v>
      </c>
      <c r="G30" s="17" t="inlineStr">
        <is>
          <t>08:30~10:30</t>
        </is>
      </c>
      <c r="H30" s="17" t="inlineStr">
        <is>
          <t>반반차</t>
        </is>
      </c>
      <c r="K30" s="38" t="inlineStr">
        <is>
          <t>오전반반 1030-1830</t>
        </is>
      </c>
    </row>
    <row r="31">
      <c r="A31" s="38" t="inlineStr">
        <is>
          <t>오전반반 1030-1530</t>
        </is>
      </c>
      <c r="B31" s="24" t="inlineStr">
        <is>
          <t>오전반반</t>
        </is>
      </c>
      <c r="C31" s="17" t="inlineStr">
        <is>
          <t>10:30~15:30</t>
        </is>
      </c>
      <c r="D31" s="26" t="n">
        <v>4</v>
      </c>
      <c r="E31" s="26" t="n">
        <v>2</v>
      </c>
      <c r="F31" s="24" t="n">
        <v>0</v>
      </c>
      <c r="G31" s="17" t="inlineStr">
        <is>
          <t>08:30~10:30</t>
        </is>
      </c>
      <c r="H31" s="17" t="inlineStr">
        <is>
          <t>반반차</t>
        </is>
      </c>
      <c r="K31" s="38" t="inlineStr">
        <is>
          <t>근무 0730-1130</t>
        </is>
      </c>
    </row>
    <row r="32">
      <c r="A32" s="38" t="inlineStr">
        <is>
          <t>오전반반 1030-1600</t>
        </is>
      </c>
      <c r="B32" s="24" t="inlineStr">
        <is>
          <t>오전반반</t>
        </is>
      </c>
      <c r="C32" s="17" t="inlineStr">
        <is>
          <t>10:30~16:00</t>
        </is>
      </c>
      <c r="D32" s="26" t="n">
        <v>4.5</v>
      </c>
      <c r="E32" s="26" t="n">
        <v>2</v>
      </c>
      <c r="F32" s="24" t="n">
        <v>0</v>
      </c>
      <c r="G32" s="17" t="inlineStr">
        <is>
          <t>08:30~10:30</t>
        </is>
      </c>
      <c r="H32" s="17" t="inlineStr">
        <is>
          <t>반반차</t>
        </is>
      </c>
      <c r="K32" s="38" t="inlineStr">
        <is>
          <t>근무 0730-1200</t>
        </is>
      </c>
    </row>
    <row r="33">
      <c r="A33" s="38" t="inlineStr">
        <is>
          <t>오전반반 1030-1630</t>
        </is>
      </c>
      <c r="B33" s="24" t="inlineStr">
        <is>
          <t>오전반반</t>
        </is>
      </c>
      <c r="C33" s="17" t="inlineStr">
        <is>
          <t>10:30~16:30</t>
        </is>
      </c>
      <c r="D33" s="26" t="n">
        <v>5</v>
      </c>
      <c r="E33" s="26" t="n">
        <v>2</v>
      </c>
      <c r="F33" s="24" t="n">
        <v>0</v>
      </c>
      <c r="G33" s="17" t="inlineStr">
        <is>
          <t>08:30~10:30</t>
        </is>
      </c>
      <c r="H33" s="17" t="inlineStr">
        <is>
          <t>반반차</t>
        </is>
      </c>
      <c r="K33" s="38" t="inlineStr">
        <is>
          <t>근무 0730-1300</t>
        </is>
      </c>
    </row>
    <row r="34">
      <c r="A34" s="38" t="inlineStr">
        <is>
          <t>오전반반 1030-1700</t>
        </is>
      </c>
      <c r="B34" s="24" t="inlineStr">
        <is>
          <t>오전반반</t>
        </is>
      </c>
      <c r="C34" s="17" t="inlineStr">
        <is>
          <t>10:30~17:00</t>
        </is>
      </c>
      <c r="D34" s="26" t="n">
        <v>5.5</v>
      </c>
      <c r="E34" s="26" t="n">
        <v>2</v>
      </c>
      <c r="F34" s="24" t="n">
        <v>0</v>
      </c>
      <c r="G34" s="17" t="inlineStr">
        <is>
          <t>08:30~10:30</t>
        </is>
      </c>
      <c r="H34" s="17" t="inlineStr">
        <is>
          <t>반반차</t>
        </is>
      </c>
      <c r="K34" s="38" t="inlineStr">
        <is>
          <t>근무 0730-1330</t>
        </is>
      </c>
    </row>
    <row r="35">
      <c r="A35" s="38" t="inlineStr">
        <is>
          <t>오전반반 1030-1730</t>
        </is>
      </c>
      <c r="B35" s="24" t="inlineStr">
        <is>
          <t>오전반반</t>
        </is>
      </c>
      <c r="C35" s="17" t="inlineStr">
        <is>
          <t>10:30~17:30</t>
        </is>
      </c>
      <c r="D35" s="26" t="n">
        <v>6</v>
      </c>
      <c r="E35" s="26" t="n">
        <v>2</v>
      </c>
      <c r="F35" s="24" t="n">
        <v>0</v>
      </c>
      <c r="G35" s="17" t="inlineStr">
        <is>
          <t>08:30~10:30</t>
        </is>
      </c>
      <c r="H35" s="17" t="inlineStr">
        <is>
          <t>반반차</t>
        </is>
      </c>
      <c r="K35" s="38" t="inlineStr">
        <is>
          <t>근무 0730-1400</t>
        </is>
      </c>
    </row>
    <row r="36">
      <c r="A36" s="38" t="inlineStr">
        <is>
          <t>오전반반 1030-1800</t>
        </is>
      </c>
      <c r="B36" s="24" t="inlineStr">
        <is>
          <t>오전반반</t>
        </is>
      </c>
      <c r="C36" s="17" t="inlineStr">
        <is>
          <t>10:30~18:00</t>
        </is>
      </c>
      <c r="D36" s="26" t="n">
        <v>6.5</v>
      </c>
      <c r="E36" s="26" t="n">
        <v>2</v>
      </c>
      <c r="F36" s="24" t="n">
        <v>0</v>
      </c>
      <c r="G36" s="17" t="inlineStr">
        <is>
          <t>08:30~10:30</t>
        </is>
      </c>
      <c r="H36" s="17" t="inlineStr">
        <is>
          <t>반반차</t>
        </is>
      </c>
      <c r="K36" s="38" t="inlineStr">
        <is>
          <t>근무 0730-1430</t>
        </is>
      </c>
    </row>
    <row r="37">
      <c r="A37" s="38" t="inlineStr">
        <is>
          <t>오전반반 1030-1830</t>
        </is>
      </c>
      <c r="B37" s="24" t="inlineStr">
        <is>
          <t>오전반반</t>
        </is>
      </c>
      <c r="C37" s="17" t="inlineStr">
        <is>
          <t>10:30~18:30</t>
        </is>
      </c>
      <c r="D37" s="26" t="n">
        <v>6.5</v>
      </c>
      <c r="E37" s="26" t="n">
        <v>2</v>
      </c>
      <c r="F37" s="24" t="n">
        <v>0</v>
      </c>
      <c r="G37" s="17" t="inlineStr">
        <is>
          <t>08:30~10:30</t>
        </is>
      </c>
      <c r="H37" s="17" t="inlineStr">
        <is>
          <t>반반차</t>
        </is>
      </c>
      <c r="K37" s="38" t="inlineStr">
        <is>
          <t>근무 0730-1500</t>
        </is>
      </c>
    </row>
    <row r="38">
      <c r="A38" s="38" t="inlineStr">
        <is>
          <t>검진 0730-1200</t>
        </is>
      </c>
      <c r="B38" s="24" t="inlineStr">
        <is>
          <t>검진</t>
        </is>
      </c>
      <c r="C38" s="17" t="inlineStr">
        <is>
          <t>07:30~12:00</t>
        </is>
      </c>
      <c r="D38" s="26" t="n">
        <v>4.5</v>
      </c>
      <c r="E38" s="26" t="n">
        <v>4</v>
      </c>
      <c r="F38" s="24" t="n">
        <v>0</v>
      </c>
      <c r="G38" s="17" t="inlineStr">
        <is>
          <t>12:00~17:00</t>
        </is>
      </c>
      <c r="H38" s="17" t="inlineStr">
        <is>
          <t>건강검진</t>
        </is>
      </c>
      <c r="K38" s="38" t="inlineStr">
        <is>
          <t>근무 0730-1530</t>
        </is>
      </c>
    </row>
    <row r="39">
      <c r="A39" s="38" t="inlineStr">
        <is>
          <t>검진 0730-1300</t>
        </is>
      </c>
      <c r="B39" s="24" t="inlineStr">
        <is>
          <t>검진</t>
        </is>
      </c>
      <c r="C39" s="17" t="inlineStr">
        <is>
          <t>07:30~13:00</t>
        </is>
      </c>
      <c r="D39" s="26" t="n">
        <v>4.5</v>
      </c>
      <c r="E39" s="26" t="n">
        <v>4</v>
      </c>
      <c r="F39" s="24" t="n">
        <v>0</v>
      </c>
      <c r="G39" s="17" t="inlineStr">
        <is>
          <t>13:00~17:00</t>
        </is>
      </c>
      <c r="H39" s="17" t="inlineStr">
        <is>
          <t>건강검진</t>
        </is>
      </c>
      <c r="K39" s="38" t="inlineStr">
        <is>
          <t>근무 0730-1600</t>
        </is>
      </c>
    </row>
    <row r="40">
      <c r="A40" s="38" t="inlineStr">
        <is>
          <t>검진 0800-1200</t>
        </is>
      </c>
      <c r="B40" s="24" t="inlineStr">
        <is>
          <t>검진</t>
        </is>
      </c>
      <c r="C40" s="17" t="inlineStr">
        <is>
          <t>08:00~12:00</t>
        </is>
      </c>
      <c r="D40" s="26" t="n">
        <v>4</v>
      </c>
      <c r="E40" s="26" t="n">
        <v>4</v>
      </c>
      <c r="F40" s="24" t="n">
        <v>0</v>
      </c>
      <c r="G40" s="17" t="inlineStr">
        <is>
          <t>12:00~17:00</t>
        </is>
      </c>
      <c r="H40" s="17" t="inlineStr">
        <is>
          <t>건강검진</t>
        </is>
      </c>
      <c r="K40" s="38" t="inlineStr">
        <is>
          <t>근무 0800-1130</t>
        </is>
      </c>
    </row>
    <row r="41">
      <c r="A41" s="38" t="inlineStr">
        <is>
          <t>검진 0800-1300</t>
        </is>
      </c>
      <c r="B41" s="24" t="inlineStr">
        <is>
          <t>검진</t>
        </is>
      </c>
      <c r="C41" s="17" t="inlineStr">
        <is>
          <t>08:00~13:00</t>
        </is>
      </c>
      <c r="D41" s="26" t="n">
        <v>4</v>
      </c>
      <c r="E41" s="26" t="n">
        <v>4</v>
      </c>
      <c r="F41" s="24" t="n">
        <v>0</v>
      </c>
      <c r="G41" s="17" t="inlineStr">
        <is>
          <t>13:00~17:00</t>
        </is>
      </c>
      <c r="H41" s="17" t="inlineStr">
        <is>
          <t>건강검진</t>
        </is>
      </c>
      <c r="K41" s="38" t="inlineStr">
        <is>
          <t>근무 0800-1200</t>
        </is>
      </c>
    </row>
    <row r="42">
      <c r="A42" s="38" t="inlineStr">
        <is>
          <t>검진 0800-1330</t>
        </is>
      </c>
      <c r="B42" s="24" t="inlineStr">
        <is>
          <t>검진</t>
        </is>
      </c>
      <c r="C42" s="17" t="inlineStr">
        <is>
          <t>08:00~13:30</t>
        </is>
      </c>
      <c r="D42" s="26" t="n">
        <v>4.5</v>
      </c>
      <c r="E42" s="26" t="n">
        <v>4</v>
      </c>
      <c r="F42" s="24" t="n">
        <v>0</v>
      </c>
      <c r="G42" s="17" t="inlineStr">
        <is>
          <t>13:30~17:30</t>
        </is>
      </c>
      <c r="H42" s="17" t="inlineStr">
        <is>
          <t>건강검진</t>
        </is>
      </c>
      <c r="K42" s="38" t="inlineStr">
        <is>
          <t>근무 0800-1300</t>
        </is>
      </c>
    </row>
    <row r="43">
      <c r="A43" s="38" t="inlineStr">
        <is>
          <t>검진 0830-1200</t>
        </is>
      </c>
      <c r="B43" s="24" t="inlineStr">
        <is>
          <t>검진</t>
        </is>
      </c>
      <c r="C43" s="17" t="inlineStr">
        <is>
          <t>08:30~12:00</t>
        </is>
      </c>
      <c r="D43" s="26" t="n">
        <v>3.5</v>
      </c>
      <c r="E43" s="26" t="n">
        <v>4</v>
      </c>
      <c r="F43" s="24" t="n">
        <v>0</v>
      </c>
      <c r="G43" s="17" t="inlineStr">
        <is>
          <t>12:00~17:00</t>
        </is>
      </c>
      <c r="H43" s="17" t="inlineStr">
        <is>
          <t>건강검진</t>
        </is>
      </c>
      <c r="K43" s="38" t="inlineStr">
        <is>
          <t>근무 0800-1330</t>
        </is>
      </c>
    </row>
    <row r="44">
      <c r="A44" s="38" t="inlineStr">
        <is>
          <t>검진 0830-1300</t>
        </is>
      </c>
      <c r="B44" s="24" t="inlineStr">
        <is>
          <t>검진</t>
        </is>
      </c>
      <c r="C44" s="17" t="inlineStr">
        <is>
          <t>08:30~13:00</t>
        </is>
      </c>
      <c r="D44" s="26" t="n">
        <v>3.5</v>
      </c>
      <c r="E44" s="26" t="n">
        <v>4</v>
      </c>
      <c r="F44" s="24" t="n">
        <v>0</v>
      </c>
      <c r="G44" s="17" t="inlineStr">
        <is>
          <t>13:00~17:00</t>
        </is>
      </c>
      <c r="H44" s="17" t="inlineStr">
        <is>
          <t>건강검진</t>
        </is>
      </c>
      <c r="K44" s="38" t="inlineStr">
        <is>
          <t>근무 0800-1400</t>
        </is>
      </c>
    </row>
    <row r="45">
      <c r="A45" s="38" t="inlineStr">
        <is>
          <t>검진 0830-1330</t>
        </is>
      </c>
      <c r="B45" s="24" t="inlineStr">
        <is>
          <t>검진</t>
        </is>
      </c>
      <c r="C45" s="17" t="inlineStr">
        <is>
          <t>08:30~13:30</t>
        </is>
      </c>
      <c r="D45" s="26" t="n">
        <v>4</v>
      </c>
      <c r="E45" s="26" t="n">
        <v>4</v>
      </c>
      <c r="F45" s="24" t="n">
        <v>0</v>
      </c>
      <c r="G45" s="17" t="inlineStr">
        <is>
          <t>13:30~17:30</t>
        </is>
      </c>
      <c r="H45" s="17" t="inlineStr">
        <is>
          <t>건강검진</t>
        </is>
      </c>
      <c r="K45" s="38" t="inlineStr">
        <is>
          <t>근무 0800-1430</t>
        </is>
      </c>
    </row>
    <row r="46">
      <c r="A46" s="38" t="inlineStr">
        <is>
          <t>검진 0830-1400</t>
        </is>
      </c>
      <c r="B46" s="24" t="inlineStr">
        <is>
          <t>검진</t>
        </is>
      </c>
      <c r="C46" s="17" t="inlineStr">
        <is>
          <t>08:30~14:00</t>
        </is>
      </c>
      <c r="D46" s="26" t="n">
        <v>4.5</v>
      </c>
      <c r="E46" s="26" t="n">
        <v>4</v>
      </c>
      <c r="F46" s="24" t="n">
        <v>0</v>
      </c>
      <c r="G46" s="17" t="inlineStr">
        <is>
          <t>14:00~18:00</t>
        </is>
      </c>
      <c r="H46" s="17" t="inlineStr">
        <is>
          <t>건강검진</t>
        </is>
      </c>
      <c r="K46" s="38" t="inlineStr">
        <is>
          <t>근무 0800-1500</t>
        </is>
      </c>
    </row>
    <row r="47">
      <c r="A47" s="38" t="inlineStr">
        <is>
          <t>검진 1300-1600</t>
        </is>
      </c>
      <c r="B47" s="24" t="inlineStr">
        <is>
          <t>검진</t>
        </is>
      </c>
      <c r="C47" s="17" t="inlineStr">
        <is>
          <t>13:00~16:00</t>
        </is>
      </c>
      <c r="D47" s="26" t="n">
        <v>3</v>
      </c>
      <c r="E47" s="26" t="n">
        <v>4</v>
      </c>
      <c r="F47" s="24" t="n">
        <v>0</v>
      </c>
      <c r="G47" s="17" t="inlineStr">
        <is>
          <t>08:00~13:00</t>
        </is>
      </c>
      <c r="H47" s="17" t="inlineStr">
        <is>
          <t>건강검진</t>
        </is>
      </c>
      <c r="K47" s="38" t="inlineStr">
        <is>
          <t>근무 0800-1530</t>
        </is>
      </c>
    </row>
    <row r="48">
      <c r="A48" s="38" t="inlineStr">
        <is>
          <t>검진 1300-1630</t>
        </is>
      </c>
      <c r="B48" s="24" t="inlineStr">
        <is>
          <t>검진</t>
        </is>
      </c>
      <c r="C48" s="17" t="inlineStr">
        <is>
          <t>13:00~16:30</t>
        </is>
      </c>
      <c r="D48" s="26" t="n">
        <v>3.5</v>
      </c>
      <c r="E48" s="26" t="n">
        <v>4</v>
      </c>
      <c r="F48" s="24" t="n">
        <v>0</v>
      </c>
      <c r="G48" s="17" t="inlineStr">
        <is>
          <t>08:00~13:00</t>
        </is>
      </c>
      <c r="H48" s="17" t="inlineStr">
        <is>
          <t>건강검진</t>
        </is>
      </c>
      <c r="K48" s="38" t="inlineStr">
        <is>
          <t>근무 0800-1600</t>
        </is>
      </c>
    </row>
    <row r="49">
      <c r="A49" s="38" t="inlineStr">
        <is>
          <t>검진 1300-1700</t>
        </is>
      </c>
      <c r="B49" s="24" t="inlineStr">
        <is>
          <t>검진</t>
        </is>
      </c>
      <c r="C49" s="17" t="inlineStr">
        <is>
          <t>13:00~17:00</t>
        </is>
      </c>
      <c r="D49" s="26" t="n">
        <v>4</v>
      </c>
      <c r="E49" s="26" t="n">
        <v>4</v>
      </c>
      <c r="F49" s="24" t="n">
        <v>0</v>
      </c>
      <c r="G49" s="17" t="inlineStr">
        <is>
          <t>08:00~13:00</t>
        </is>
      </c>
      <c r="H49" s="17" t="inlineStr">
        <is>
          <t>건강검진</t>
        </is>
      </c>
      <c r="K49" s="38" t="inlineStr">
        <is>
          <t>근무 0800-1630</t>
        </is>
      </c>
    </row>
    <row r="50">
      <c r="A50" s="38" t="inlineStr">
        <is>
          <t>검진 1300-1730</t>
        </is>
      </c>
      <c r="B50" s="24" t="inlineStr">
        <is>
          <t>검진</t>
        </is>
      </c>
      <c r="C50" s="17" t="inlineStr">
        <is>
          <t>13:00~17:30</t>
        </is>
      </c>
      <c r="D50" s="26" t="n">
        <v>4.5</v>
      </c>
      <c r="E50" s="26" t="n">
        <v>4</v>
      </c>
      <c r="F50" s="24" t="n">
        <v>0</v>
      </c>
      <c r="G50" s="17" t="inlineStr">
        <is>
          <t>08:00~13:00</t>
        </is>
      </c>
      <c r="H50" s="17" t="inlineStr">
        <is>
          <t>건강검진</t>
        </is>
      </c>
      <c r="K50" s="38" t="inlineStr">
        <is>
          <t>근무 0830-1130</t>
        </is>
      </c>
    </row>
    <row r="51">
      <c r="A51" s="38" t="inlineStr">
        <is>
          <t>검진 1330-1630</t>
        </is>
      </c>
      <c r="B51" s="24" t="inlineStr">
        <is>
          <t>검진</t>
        </is>
      </c>
      <c r="C51" s="17" t="inlineStr">
        <is>
          <t>13:30~16:30</t>
        </is>
      </c>
      <c r="D51" s="26" t="n">
        <v>3</v>
      </c>
      <c r="E51" s="26" t="n">
        <v>4</v>
      </c>
      <c r="F51" s="24" t="n">
        <v>0</v>
      </c>
      <c r="G51" s="17" t="inlineStr">
        <is>
          <t>08:30~13:30</t>
        </is>
      </c>
      <c r="H51" s="17" t="inlineStr">
        <is>
          <t>건강검진</t>
        </is>
      </c>
      <c r="K51" s="38" t="inlineStr">
        <is>
          <t>근무 0830-1200</t>
        </is>
      </c>
    </row>
    <row r="52">
      <c r="A52" s="38" t="inlineStr">
        <is>
          <t>검진 1330-1700</t>
        </is>
      </c>
      <c r="B52" s="24" t="inlineStr">
        <is>
          <t>검진</t>
        </is>
      </c>
      <c r="C52" s="17" t="inlineStr">
        <is>
          <t>13:30~17:00</t>
        </is>
      </c>
      <c r="D52" s="26" t="n">
        <v>3.5</v>
      </c>
      <c r="E52" s="26" t="n">
        <v>4</v>
      </c>
      <c r="F52" s="24" t="n">
        <v>0</v>
      </c>
      <c r="G52" s="17" t="inlineStr">
        <is>
          <t>08:30~13:30</t>
        </is>
      </c>
      <c r="H52" s="17" t="inlineStr">
        <is>
          <t>건강검진</t>
        </is>
      </c>
      <c r="K52" s="38" t="inlineStr">
        <is>
          <t>근무 0830-1300</t>
        </is>
      </c>
    </row>
    <row r="53">
      <c r="A53" s="38" t="inlineStr">
        <is>
          <t>검진 1330-1730</t>
        </is>
      </c>
      <c r="B53" s="24" t="inlineStr">
        <is>
          <t>검진</t>
        </is>
      </c>
      <c r="C53" s="17" t="inlineStr">
        <is>
          <t>13:30~17:30</t>
        </is>
      </c>
      <c r="D53" s="26" t="n">
        <v>4</v>
      </c>
      <c r="E53" s="26" t="n">
        <v>4</v>
      </c>
      <c r="F53" s="24" t="n">
        <v>0</v>
      </c>
      <c r="G53" s="17" t="inlineStr">
        <is>
          <t>08:30~13:30</t>
        </is>
      </c>
      <c r="H53" s="17" t="inlineStr">
        <is>
          <t>건강검진</t>
        </is>
      </c>
      <c r="K53" s="38" t="inlineStr">
        <is>
          <t>근무 0830-1330</t>
        </is>
      </c>
    </row>
    <row r="54">
      <c r="A54" s="38" t="inlineStr">
        <is>
          <t>검진 1330-1800</t>
        </is>
      </c>
      <c r="B54" s="24" t="inlineStr">
        <is>
          <t>검진</t>
        </is>
      </c>
      <c r="C54" s="17" t="inlineStr">
        <is>
          <t>13:30~18:00</t>
        </is>
      </c>
      <c r="D54" s="26" t="n">
        <v>4.5</v>
      </c>
      <c r="E54" s="26" t="n">
        <v>4</v>
      </c>
      <c r="F54" s="24" t="n">
        <v>0</v>
      </c>
      <c r="G54" s="17" t="inlineStr">
        <is>
          <t>08:30~13:30</t>
        </is>
      </c>
      <c r="H54" s="17" t="inlineStr">
        <is>
          <t>건강검진</t>
        </is>
      </c>
      <c r="K54" s="38" t="inlineStr">
        <is>
          <t>근무 0830-1400</t>
        </is>
      </c>
    </row>
    <row r="55">
      <c r="A55" s="38" t="inlineStr">
        <is>
          <t>검진 1330-1830</t>
        </is>
      </c>
      <c r="B55" s="24" t="inlineStr">
        <is>
          <t>검진</t>
        </is>
      </c>
      <c r="C55" s="17" t="inlineStr">
        <is>
          <t>13:30~18:30</t>
        </is>
      </c>
      <c r="D55" s="26" t="n">
        <v>4.5</v>
      </c>
      <c r="E55" s="26" t="n">
        <v>4</v>
      </c>
      <c r="F55" s="24" t="n">
        <v>0</v>
      </c>
      <c r="G55" s="17" t="inlineStr">
        <is>
          <t>08:30~13:30</t>
        </is>
      </c>
      <c r="H55" s="17" t="inlineStr">
        <is>
          <t>건강검진</t>
        </is>
      </c>
      <c r="K55" s="38" t="inlineStr">
        <is>
          <t>근무 0830-1430</t>
        </is>
      </c>
    </row>
    <row r="56">
      <c r="A56" s="38" t="inlineStr">
        <is>
          <t>근무 0730-1130</t>
        </is>
      </c>
      <c r="B56" s="24" t="inlineStr">
        <is>
          <t>근무</t>
        </is>
      </c>
      <c r="C56" s="17" t="inlineStr">
        <is>
          <t>07:30~11:30</t>
        </is>
      </c>
      <c r="D56" s="26" t="n">
        <v>4</v>
      </c>
      <c r="E56" s="26" t="n">
        <v>0</v>
      </c>
      <c r="F56" s="24" t="n">
        <v>0</v>
      </c>
      <c r="G56" s="17" t="inlineStr"/>
      <c r="H56" s="17" t="inlineStr">
        <is>
          <t>근무</t>
        </is>
      </c>
      <c r="K56" s="38" t="inlineStr">
        <is>
          <t>근무 0830-1500</t>
        </is>
      </c>
    </row>
    <row r="57">
      <c r="A57" s="38" t="inlineStr">
        <is>
          <t>근무 0730-1200</t>
        </is>
      </c>
      <c r="B57" s="24" t="inlineStr">
        <is>
          <t>근무</t>
        </is>
      </c>
      <c r="C57" s="17" t="inlineStr">
        <is>
          <t>07:30~12:00</t>
        </is>
      </c>
      <c r="D57" s="26" t="n">
        <v>4.5</v>
      </c>
      <c r="E57" s="26" t="n">
        <v>0</v>
      </c>
      <c r="F57" s="24" t="n">
        <v>0</v>
      </c>
      <c r="G57" s="17" t="inlineStr"/>
      <c r="H57" s="17" t="inlineStr">
        <is>
          <t>근무</t>
        </is>
      </c>
      <c r="K57" s="38" t="inlineStr">
        <is>
          <t>근무 0830-1530</t>
        </is>
      </c>
    </row>
    <row r="58">
      <c r="A58" s="38" t="inlineStr">
        <is>
          <t>근무 0730-1300</t>
        </is>
      </c>
      <c r="B58" s="24" t="inlineStr">
        <is>
          <t>근무</t>
        </is>
      </c>
      <c r="C58" s="17" t="inlineStr">
        <is>
          <t>07:30~13:00</t>
        </is>
      </c>
      <c r="D58" s="26" t="n">
        <v>4.5</v>
      </c>
      <c r="E58" s="26" t="n">
        <v>0</v>
      </c>
      <c r="F58" s="24" t="n">
        <v>0</v>
      </c>
      <c r="G58" s="17" t="inlineStr"/>
      <c r="H58" s="17" t="inlineStr">
        <is>
          <t>근무</t>
        </is>
      </c>
      <c r="K58" s="38" t="inlineStr">
        <is>
          <t>근무 0830-1600</t>
        </is>
      </c>
    </row>
    <row r="59">
      <c r="A59" s="38" t="inlineStr">
        <is>
          <t>근무 0730-1330</t>
        </is>
      </c>
      <c r="B59" s="24" t="inlineStr">
        <is>
          <t>근무</t>
        </is>
      </c>
      <c r="C59" s="17" t="inlineStr">
        <is>
          <t>07:30~13:30</t>
        </is>
      </c>
      <c r="D59" s="26" t="n">
        <v>5</v>
      </c>
      <c r="E59" s="26" t="n">
        <v>0</v>
      </c>
      <c r="F59" s="24" t="n">
        <v>0</v>
      </c>
      <c r="G59" s="17" t="inlineStr"/>
      <c r="H59" s="17" t="inlineStr">
        <is>
          <t>근무</t>
        </is>
      </c>
      <c r="K59" s="38" t="inlineStr">
        <is>
          <t>근무 0830-1630</t>
        </is>
      </c>
    </row>
    <row r="60">
      <c r="A60" s="38" t="inlineStr">
        <is>
          <t>근무 0730-1400</t>
        </is>
      </c>
      <c r="B60" s="24" t="inlineStr">
        <is>
          <t>근무</t>
        </is>
      </c>
      <c r="C60" s="17" t="inlineStr">
        <is>
          <t>07:30~14:00</t>
        </is>
      </c>
      <c r="D60" s="26" t="n">
        <v>5.5</v>
      </c>
      <c r="E60" s="26" t="n">
        <v>0</v>
      </c>
      <c r="F60" s="24" t="n">
        <v>0</v>
      </c>
      <c r="G60" s="17" t="inlineStr"/>
      <c r="H60" s="17" t="inlineStr">
        <is>
          <t>근무</t>
        </is>
      </c>
      <c r="K60" s="38" t="inlineStr">
        <is>
          <t>근무 0830-1700</t>
        </is>
      </c>
    </row>
    <row r="61">
      <c r="A61" s="38" t="inlineStr">
        <is>
          <t>근무 0730-1430</t>
        </is>
      </c>
      <c r="B61" s="24" t="inlineStr">
        <is>
          <t>근무</t>
        </is>
      </c>
      <c r="C61" s="17" t="inlineStr">
        <is>
          <t>07:30~14:30</t>
        </is>
      </c>
      <c r="D61" s="26" t="n">
        <v>6</v>
      </c>
      <c r="E61" s="26" t="n">
        <v>0</v>
      </c>
      <c r="F61" s="24" t="n">
        <v>0</v>
      </c>
      <c r="G61" s="17" t="inlineStr"/>
      <c r="H61" s="17" t="inlineStr">
        <is>
          <t>근무</t>
        </is>
      </c>
    </row>
    <row r="62">
      <c r="A62" s="38" t="inlineStr">
        <is>
          <t>근무 0730-1500</t>
        </is>
      </c>
      <c r="B62" s="24" t="inlineStr">
        <is>
          <t>근무</t>
        </is>
      </c>
      <c r="C62" s="17" t="inlineStr">
        <is>
          <t>07:30~15:00</t>
        </is>
      </c>
      <c r="D62" s="26" t="n">
        <v>6.5</v>
      </c>
      <c r="E62" s="26" t="n">
        <v>0</v>
      </c>
      <c r="F62" s="24" t="n">
        <v>0</v>
      </c>
      <c r="G62" s="17" t="inlineStr"/>
      <c r="H62" s="17" t="inlineStr">
        <is>
          <t>근무</t>
        </is>
      </c>
    </row>
    <row r="63">
      <c r="A63" s="38" t="inlineStr">
        <is>
          <t>근무 0730-1530</t>
        </is>
      </c>
      <c r="B63" s="24" t="inlineStr">
        <is>
          <t>근무</t>
        </is>
      </c>
      <c r="C63" s="17" t="inlineStr">
        <is>
          <t>07:30~15:30</t>
        </is>
      </c>
      <c r="D63" s="26" t="n">
        <v>7</v>
      </c>
      <c r="E63" s="26" t="n">
        <v>0</v>
      </c>
      <c r="F63" s="24" t="n">
        <v>0</v>
      </c>
      <c r="G63" s="17" t="inlineStr"/>
      <c r="H63" s="17" t="inlineStr">
        <is>
          <t>근무</t>
        </is>
      </c>
    </row>
    <row r="64">
      <c r="A64" s="38" t="inlineStr">
        <is>
          <t>근무 0730-1600</t>
        </is>
      </c>
      <c r="B64" s="24" t="inlineStr">
        <is>
          <t>근무</t>
        </is>
      </c>
      <c r="C64" s="17" t="inlineStr">
        <is>
          <t>07:30~16:00</t>
        </is>
      </c>
      <c r="D64" s="26" t="n">
        <v>7.5</v>
      </c>
      <c r="E64" s="26" t="n">
        <v>0</v>
      </c>
      <c r="F64" s="24" t="n">
        <v>0</v>
      </c>
      <c r="G64" s="17" t="inlineStr"/>
      <c r="H64" s="17" t="inlineStr">
        <is>
          <t>근무</t>
        </is>
      </c>
    </row>
    <row r="65">
      <c r="A65" s="38" t="inlineStr">
        <is>
          <t>근무 0730-1700</t>
        </is>
      </c>
      <c r="B65" s="24" t="inlineStr">
        <is>
          <t>근무</t>
        </is>
      </c>
      <c r="C65" s="17" t="inlineStr">
        <is>
          <t>07:30~17:00</t>
        </is>
      </c>
      <c r="D65" s="26" t="n">
        <v>8.5</v>
      </c>
      <c r="E65" s="26" t="n">
        <v>0</v>
      </c>
      <c r="F65" s="24" t="n">
        <v>1</v>
      </c>
      <c r="G65" s="17" t="inlineStr"/>
      <c r="H65" s="17" t="inlineStr">
        <is>
          <t>근무</t>
        </is>
      </c>
    </row>
    <row r="66">
      <c r="A66" s="38" t="inlineStr">
        <is>
          <t>근무 0730-1730</t>
        </is>
      </c>
      <c r="B66" s="24" t="inlineStr">
        <is>
          <t>근무</t>
        </is>
      </c>
      <c r="C66" s="17" t="inlineStr">
        <is>
          <t>07:30~17:30</t>
        </is>
      </c>
      <c r="D66" s="26" t="n">
        <v>9</v>
      </c>
      <c r="E66" s="26" t="n">
        <v>0</v>
      </c>
      <c r="F66" s="24" t="n">
        <v>1</v>
      </c>
      <c r="G66" s="17" t="inlineStr"/>
      <c r="H66" s="17" t="inlineStr">
        <is>
          <t>근무</t>
        </is>
      </c>
    </row>
    <row r="67">
      <c r="A67" s="38" t="inlineStr">
        <is>
          <t>근무 0730-1800</t>
        </is>
      </c>
      <c r="B67" s="24" t="inlineStr">
        <is>
          <t>근무</t>
        </is>
      </c>
      <c r="C67" s="17" t="inlineStr">
        <is>
          <t>07:30~18:00</t>
        </is>
      </c>
      <c r="D67" s="26" t="n">
        <v>9.5</v>
      </c>
      <c r="E67" s="26" t="n">
        <v>0</v>
      </c>
      <c r="F67" s="24" t="n">
        <v>1</v>
      </c>
      <c r="G67" s="17" t="inlineStr"/>
      <c r="H67" s="17" t="inlineStr">
        <is>
          <t>근무</t>
        </is>
      </c>
    </row>
    <row r="68">
      <c r="A68" s="38" t="inlineStr">
        <is>
          <t>근무 0730-1830</t>
        </is>
      </c>
      <c r="B68" s="24" t="inlineStr">
        <is>
          <t>근무</t>
        </is>
      </c>
      <c r="C68" s="17" t="inlineStr">
        <is>
          <t>07:30~18:30</t>
        </is>
      </c>
      <c r="D68" s="26" t="n">
        <v>9.5</v>
      </c>
      <c r="E68" s="26" t="n">
        <v>0</v>
      </c>
      <c r="F68" s="24" t="n">
        <v>1</v>
      </c>
      <c r="G68" s="17" t="inlineStr"/>
      <c r="H68" s="17" t="inlineStr">
        <is>
          <t>근무</t>
        </is>
      </c>
    </row>
    <row r="69">
      <c r="A69" s="38" t="inlineStr">
        <is>
          <t>근무 0730-1900</t>
        </is>
      </c>
      <c r="B69" s="24" t="inlineStr">
        <is>
          <t>근무</t>
        </is>
      </c>
      <c r="C69" s="17" t="inlineStr">
        <is>
          <t>07:30~19:00</t>
        </is>
      </c>
      <c r="D69" s="26" t="n">
        <v>10</v>
      </c>
      <c r="E69" s="26" t="n">
        <v>0</v>
      </c>
      <c r="F69" s="24" t="n">
        <v>1</v>
      </c>
      <c r="G69" s="17" t="inlineStr"/>
      <c r="H69" s="17" t="inlineStr">
        <is>
          <t>근무</t>
        </is>
      </c>
    </row>
    <row r="70">
      <c r="A70" s="38" t="inlineStr">
        <is>
          <t>근무 0730-1930</t>
        </is>
      </c>
      <c r="B70" s="24" t="inlineStr">
        <is>
          <t>근무</t>
        </is>
      </c>
      <c r="C70" s="17" t="inlineStr">
        <is>
          <t>07:30~19:30</t>
        </is>
      </c>
      <c r="D70" s="26" t="n">
        <v>10.5</v>
      </c>
      <c r="E70" s="26" t="n">
        <v>0</v>
      </c>
      <c r="F70" s="24" t="n">
        <v>1</v>
      </c>
      <c r="G70" s="17" t="inlineStr"/>
      <c r="H70" s="17" t="inlineStr">
        <is>
          <t>근무</t>
        </is>
      </c>
    </row>
    <row r="71">
      <c r="A71" s="38" t="inlineStr">
        <is>
          <t>근무 0730-2000</t>
        </is>
      </c>
      <c r="B71" s="24" t="inlineStr">
        <is>
          <t>근무</t>
        </is>
      </c>
      <c r="C71" s="17" t="inlineStr">
        <is>
          <t>07:30~20:00</t>
        </is>
      </c>
      <c r="D71" s="26" t="n">
        <v>11</v>
      </c>
      <c r="E71" s="26" t="n">
        <v>0</v>
      </c>
      <c r="F71" s="24" t="n">
        <v>1</v>
      </c>
      <c r="G71" s="17" t="inlineStr"/>
      <c r="H71" s="17" t="inlineStr">
        <is>
          <t>근무</t>
        </is>
      </c>
    </row>
    <row r="72">
      <c r="A72" s="38" t="inlineStr">
        <is>
          <t>근무 0730-2030</t>
        </is>
      </c>
      <c r="B72" s="24" t="inlineStr">
        <is>
          <t>근무</t>
        </is>
      </c>
      <c r="C72" s="17" t="inlineStr">
        <is>
          <t>07:30~20:30</t>
        </is>
      </c>
      <c r="D72" s="26" t="n">
        <v>11.5</v>
      </c>
      <c r="E72" s="26" t="n">
        <v>0</v>
      </c>
      <c r="F72" s="24" t="n">
        <v>1</v>
      </c>
      <c r="G72" s="17" t="inlineStr"/>
      <c r="H72" s="17" t="inlineStr">
        <is>
          <t>근무</t>
        </is>
      </c>
    </row>
    <row r="73">
      <c r="A73" s="38" t="inlineStr">
        <is>
          <t>근무 0800-1130</t>
        </is>
      </c>
      <c r="B73" s="24" t="inlineStr">
        <is>
          <t>근무</t>
        </is>
      </c>
      <c r="C73" s="17" t="inlineStr">
        <is>
          <t>08:00~11:30</t>
        </is>
      </c>
      <c r="D73" s="26" t="n">
        <v>3.5</v>
      </c>
      <c r="E73" s="26" t="n">
        <v>0</v>
      </c>
      <c r="F73" s="24" t="n">
        <v>0</v>
      </c>
      <c r="G73" s="17" t="inlineStr"/>
      <c r="H73" s="17" t="inlineStr">
        <is>
          <t>근무</t>
        </is>
      </c>
    </row>
    <row r="74">
      <c r="A74" s="38" t="inlineStr">
        <is>
          <t>근무 0800-1200</t>
        </is>
      </c>
      <c r="B74" s="24" t="inlineStr">
        <is>
          <t>근무</t>
        </is>
      </c>
      <c r="C74" s="17" t="inlineStr">
        <is>
          <t>08:00~12:00</t>
        </is>
      </c>
      <c r="D74" s="26" t="n">
        <v>4</v>
      </c>
      <c r="E74" s="26" t="n">
        <v>0</v>
      </c>
      <c r="F74" s="24" t="n">
        <v>0</v>
      </c>
      <c r="G74" s="17" t="inlineStr"/>
      <c r="H74" s="17" t="inlineStr">
        <is>
          <t>근무</t>
        </is>
      </c>
    </row>
    <row r="75">
      <c r="A75" s="38" t="inlineStr">
        <is>
          <t>근무 0800-1300</t>
        </is>
      </c>
      <c r="B75" s="24" t="inlineStr">
        <is>
          <t>근무</t>
        </is>
      </c>
      <c r="C75" s="17" t="inlineStr">
        <is>
          <t>08:00~13:00</t>
        </is>
      </c>
      <c r="D75" s="26" t="n">
        <v>4</v>
      </c>
      <c r="E75" s="26" t="n">
        <v>0</v>
      </c>
      <c r="F75" s="24" t="n">
        <v>0</v>
      </c>
      <c r="G75" s="17" t="inlineStr"/>
      <c r="H75" s="17" t="inlineStr">
        <is>
          <t>근무</t>
        </is>
      </c>
    </row>
    <row r="76">
      <c r="A76" s="38" t="inlineStr">
        <is>
          <t>근무 0800-1330</t>
        </is>
      </c>
      <c r="B76" s="24" t="inlineStr">
        <is>
          <t>근무</t>
        </is>
      </c>
      <c r="C76" s="17" t="inlineStr">
        <is>
          <t>08:00~13:30</t>
        </is>
      </c>
      <c r="D76" s="26" t="n">
        <v>4.5</v>
      </c>
      <c r="E76" s="26" t="n">
        <v>0</v>
      </c>
      <c r="F76" s="24" t="n">
        <v>0</v>
      </c>
      <c r="G76" s="17" t="inlineStr"/>
      <c r="H76" s="17" t="inlineStr">
        <is>
          <t>근무</t>
        </is>
      </c>
    </row>
    <row r="77">
      <c r="A77" s="38" t="inlineStr">
        <is>
          <t>근무 0800-1400</t>
        </is>
      </c>
      <c r="B77" s="24" t="inlineStr">
        <is>
          <t>근무</t>
        </is>
      </c>
      <c r="C77" s="17" t="inlineStr">
        <is>
          <t>08:00~14:00</t>
        </is>
      </c>
      <c r="D77" s="26" t="n">
        <v>5</v>
      </c>
      <c r="E77" s="26" t="n">
        <v>0</v>
      </c>
      <c r="F77" s="24" t="n">
        <v>0</v>
      </c>
      <c r="G77" s="17" t="inlineStr"/>
      <c r="H77" s="17" t="inlineStr">
        <is>
          <t>근무</t>
        </is>
      </c>
    </row>
    <row r="78">
      <c r="A78" s="38" t="inlineStr">
        <is>
          <t>근무 0800-1430</t>
        </is>
      </c>
      <c r="B78" s="24" t="inlineStr">
        <is>
          <t>근무</t>
        </is>
      </c>
      <c r="C78" s="17" t="inlineStr">
        <is>
          <t>08:00~14:30</t>
        </is>
      </c>
      <c r="D78" s="26" t="n">
        <v>5.5</v>
      </c>
      <c r="E78" s="26" t="n">
        <v>0</v>
      </c>
      <c r="F78" s="24" t="n">
        <v>0</v>
      </c>
      <c r="G78" s="17" t="inlineStr"/>
      <c r="H78" s="17" t="inlineStr">
        <is>
          <t>근무</t>
        </is>
      </c>
    </row>
    <row r="79">
      <c r="A79" s="38" t="inlineStr">
        <is>
          <t>근무 0800-1500</t>
        </is>
      </c>
      <c r="B79" s="24" t="inlineStr">
        <is>
          <t>근무</t>
        </is>
      </c>
      <c r="C79" s="17" t="inlineStr">
        <is>
          <t>08:00~15:00</t>
        </is>
      </c>
      <c r="D79" s="26" t="n">
        <v>6</v>
      </c>
      <c r="E79" s="26" t="n">
        <v>0</v>
      </c>
      <c r="F79" s="24" t="n">
        <v>0</v>
      </c>
      <c r="G79" s="17" t="inlineStr"/>
      <c r="H79" s="17" t="inlineStr">
        <is>
          <t>근무</t>
        </is>
      </c>
    </row>
    <row r="80">
      <c r="A80" s="38" t="inlineStr">
        <is>
          <t>근무 0800-1530</t>
        </is>
      </c>
      <c r="B80" s="24" t="inlineStr">
        <is>
          <t>근무</t>
        </is>
      </c>
      <c r="C80" s="17" t="inlineStr">
        <is>
          <t>08:00~15:30</t>
        </is>
      </c>
      <c r="D80" s="26" t="n">
        <v>6.5</v>
      </c>
      <c r="E80" s="26" t="n">
        <v>0</v>
      </c>
      <c r="F80" s="24" t="n">
        <v>0</v>
      </c>
      <c r="G80" s="17" t="inlineStr"/>
      <c r="H80" s="17" t="inlineStr">
        <is>
          <t>근무</t>
        </is>
      </c>
    </row>
    <row r="81">
      <c r="A81" s="38" t="inlineStr">
        <is>
          <t>근무 0800-1600</t>
        </is>
      </c>
      <c r="B81" s="24" t="inlineStr">
        <is>
          <t>근무</t>
        </is>
      </c>
      <c r="C81" s="17" t="inlineStr">
        <is>
          <t>08:00~16:00</t>
        </is>
      </c>
      <c r="D81" s="26" t="n">
        <v>7</v>
      </c>
      <c r="E81" s="26" t="n">
        <v>0</v>
      </c>
      <c r="F81" s="24" t="n">
        <v>0</v>
      </c>
      <c r="G81" s="17" t="inlineStr"/>
      <c r="H81" s="17" t="inlineStr">
        <is>
          <t>근무</t>
        </is>
      </c>
    </row>
    <row r="82">
      <c r="A82" s="38" t="inlineStr">
        <is>
          <t>근무 0800-1630</t>
        </is>
      </c>
      <c r="B82" s="24" t="inlineStr">
        <is>
          <t>근무</t>
        </is>
      </c>
      <c r="C82" s="17" t="inlineStr">
        <is>
          <t>08:00~16:30</t>
        </is>
      </c>
      <c r="D82" s="26" t="n">
        <v>7.5</v>
      </c>
      <c r="E82" s="26" t="n">
        <v>0</v>
      </c>
      <c r="F82" s="24" t="n">
        <v>0</v>
      </c>
      <c r="G82" s="17" t="inlineStr"/>
      <c r="H82" s="17" t="inlineStr">
        <is>
          <t>근무</t>
        </is>
      </c>
    </row>
    <row r="83">
      <c r="A83" s="38" t="inlineStr">
        <is>
          <t>근무 0800-1730</t>
        </is>
      </c>
      <c r="B83" s="24" t="inlineStr">
        <is>
          <t>근무</t>
        </is>
      </c>
      <c r="C83" s="17" t="inlineStr">
        <is>
          <t>08:00~17:30</t>
        </is>
      </c>
      <c r="D83" s="26" t="n">
        <v>8.5</v>
      </c>
      <c r="E83" s="26" t="n">
        <v>0</v>
      </c>
      <c r="F83" s="24" t="n">
        <v>1</v>
      </c>
      <c r="G83" s="17" t="inlineStr"/>
      <c r="H83" s="17" t="inlineStr">
        <is>
          <t>근무</t>
        </is>
      </c>
    </row>
    <row r="84">
      <c r="A84" s="38" t="inlineStr">
        <is>
          <t>근무 0800-1800</t>
        </is>
      </c>
      <c r="B84" s="24" t="inlineStr">
        <is>
          <t>근무</t>
        </is>
      </c>
      <c r="C84" s="17" t="inlineStr">
        <is>
          <t>08:00~18:00</t>
        </is>
      </c>
      <c r="D84" s="26" t="n">
        <v>9</v>
      </c>
      <c r="E84" s="26" t="n">
        <v>0</v>
      </c>
      <c r="F84" s="24" t="n">
        <v>1</v>
      </c>
      <c r="G84" s="17" t="inlineStr"/>
      <c r="H84" s="17" t="inlineStr">
        <is>
          <t>근무</t>
        </is>
      </c>
    </row>
    <row r="85">
      <c r="A85" s="38" t="inlineStr">
        <is>
          <t>근무 0800-1830</t>
        </is>
      </c>
      <c r="B85" s="24" t="inlineStr">
        <is>
          <t>근무</t>
        </is>
      </c>
      <c r="C85" s="17" t="inlineStr">
        <is>
          <t>08:00~18:30</t>
        </is>
      </c>
      <c r="D85" s="26" t="n">
        <v>9</v>
      </c>
      <c r="E85" s="26" t="n">
        <v>0</v>
      </c>
      <c r="F85" s="24" t="n">
        <v>1</v>
      </c>
      <c r="G85" s="17" t="inlineStr"/>
      <c r="H85" s="17" t="inlineStr">
        <is>
          <t>근무</t>
        </is>
      </c>
    </row>
    <row r="86">
      <c r="A86" s="38" t="inlineStr">
        <is>
          <t>근무 0800-1900</t>
        </is>
      </c>
      <c r="B86" s="24" t="inlineStr">
        <is>
          <t>근무</t>
        </is>
      </c>
      <c r="C86" s="17" t="inlineStr">
        <is>
          <t>08:00~19:00</t>
        </is>
      </c>
      <c r="D86" s="26" t="n">
        <v>9.5</v>
      </c>
      <c r="E86" s="26" t="n">
        <v>0</v>
      </c>
      <c r="F86" s="24" t="n">
        <v>1</v>
      </c>
      <c r="G86" s="17" t="inlineStr"/>
      <c r="H86" s="17" t="inlineStr">
        <is>
          <t>근무</t>
        </is>
      </c>
    </row>
    <row r="87">
      <c r="A87" s="38" t="inlineStr">
        <is>
          <t>근무 0800-1930</t>
        </is>
      </c>
      <c r="B87" s="24" t="inlineStr">
        <is>
          <t>근무</t>
        </is>
      </c>
      <c r="C87" s="17" t="inlineStr">
        <is>
          <t>08:00~19:30</t>
        </is>
      </c>
      <c r="D87" s="26" t="n">
        <v>10</v>
      </c>
      <c r="E87" s="26" t="n">
        <v>0</v>
      </c>
      <c r="F87" s="24" t="n">
        <v>1</v>
      </c>
      <c r="G87" s="17" t="inlineStr"/>
      <c r="H87" s="17" t="inlineStr">
        <is>
          <t>근무</t>
        </is>
      </c>
    </row>
    <row r="88">
      <c r="A88" s="38" t="inlineStr">
        <is>
          <t>근무 0800-2000</t>
        </is>
      </c>
      <c r="B88" s="24" t="inlineStr">
        <is>
          <t>근무</t>
        </is>
      </c>
      <c r="C88" s="17" t="inlineStr">
        <is>
          <t>08:00~20:00</t>
        </is>
      </c>
      <c r="D88" s="26" t="n">
        <v>10.5</v>
      </c>
      <c r="E88" s="26" t="n">
        <v>0</v>
      </c>
      <c r="F88" s="24" t="n">
        <v>1</v>
      </c>
      <c r="G88" s="17" t="inlineStr"/>
      <c r="H88" s="17" t="inlineStr">
        <is>
          <t>근무</t>
        </is>
      </c>
    </row>
    <row r="89">
      <c r="A89" s="38" t="inlineStr">
        <is>
          <t>근무 0800-2030</t>
        </is>
      </c>
      <c r="B89" s="24" t="inlineStr">
        <is>
          <t>근무</t>
        </is>
      </c>
      <c r="C89" s="17" t="inlineStr">
        <is>
          <t>08:00~20:30</t>
        </is>
      </c>
      <c r="D89" s="26" t="n">
        <v>11</v>
      </c>
      <c r="E89" s="26" t="n">
        <v>0</v>
      </c>
      <c r="F89" s="24" t="n">
        <v>1</v>
      </c>
      <c r="G89" s="17" t="inlineStr"/>
      <c r="H89" s="17" t="inlineStr">
        <is>
          <t>근무</t>
        </is>
      </c>
    </row>
    <row r="90">
      <c r="A90" s="38" t="inlineStr">
        <is>
          <t>근무 0830-1130</t>
        </is>
      </c>
      <c r="B90" s="24" t="inlineStr">
        <is>
          <t>근무</t>
        </is>
      </c>
      <c r="C90" s="17" t="inlineStr">
        <is>
          <t>08:30~11:30</t>
        </is>
      </c>
      <c r="D90" s="26" t="n">
        <v>3</v>
      </c>
      <c r="E90" s="26" t="n">
        <v>0</v>
      </c>
      <c r="F90" s="24" t="n">
        <v>0</v>
      </c>
      <c r="G90" s="17" t="inlineStr"/>
      <c r="H90" s="17" t="inlineStr">
        <is>
          <t>근무</t>
        </is>
      </c>
    </row>
    <row r="91">
      <c r="A91" s="38" t="inlineStr">
        <is>
          <t>근무 0830-1200</t>
        </is>
      </c>
      <c r="B91" s="24" t="inlineStr">
        <is>
          <t>근무</t>
        </is>
      </c>
      <c r="C91" s="17" t="inlineStr">
        <is>
          <t>08:30~12:00</t>
        </is>
      </c>
      <c r="D91" s="26" t="n">
        <v>3.5</v>
      </c>
      <c r="E91" s="26" t="n">
        <v>0</v>
      </c>
      <c r="F91" s="24" t="n">
        <v>0</v>
      </c>
      <c r="G91" s="17" t="inlineStr"/>
      <c r="H91" s="17" t="inlineStr">
        <is>
          <t>근무</t>
        </is>
      </c>
    </row>
    <row r="92">
      <c r="A92" s="38" t="inlineStr">
        <is>
          <t>근무 0830-1300</t>
        </is>
      </c>
      <c r="B92" s="24" t="inlineStr">
        <is>
          <t>근무</t>
        </is>
      </c>
      <c r="C92" s="17" t="inlineStr">
        <is>
          <t>08:30~13:00</t>
        </is>
      </c>
      <c r="D92" s="26" t="n">
        <v>3.5</v>
      </c>
      <c r="E92" s="26" t="n">
        <v>0</v>
      </c>
      <c r="F92" s="24" t="n">
        <v>0</v>
      </c>
      <c r="G92" s="17" t="inlineStr"/>
      <c r="H92" s="17" t="inlineStr">
        <is>
          <t>근무</t>
        </is>
      </c>
    </row>
    <row r="93">
      <c r="A93" s="38" t="inlineStr">
        <is>
          <t>근무 0830-1330</t>
        </is>
      </c>
      <c r="B93" s="24" t="inlineStr">
        <is>
          <t>근무</t>
        </is>
      </c>
      <c r="C93" s="17" t="inlineStr">
        <is>
          <t>08:30~13:30</t>
        </is>
      </c>
      <c r="D93" s="26" t="n">
        <v>4</v>
      </c>
      <c r="E93" s="26" t="n">
        <v>0</v>
      </c>
      <c r="F93" s="24" t="n">
        <v>0</v>
      </c>
      <c r="G93" s="17" t="inlineStr"/>
      <c r="H93" s="17" t="inlineStr">
        <is>
          <t>근무</t>
        </is>
      </c>
    </row>
    <row r="94">
      <c r="A94" s="38" t="inlineStr">
        <is>
          <t>근무 0830-1400</t>
        </is>
      </c>
      <c r="B94" s="24" t="inlineStr">
        <is>
          <t>근무</t>
        </is>
      </c>
      <c r="C94" s="17" t="inlineStr">
        <is>
          <t>08:30~14:00</t>
        </is>
      </c>
      <c r="D94" s="26" t="n">
        <v>4.5</v>
      </c>
      <c r="E94" s="26" t="n">
        <v>0</v>
      </c>
      <c r="F94" s="24" t="n">
        <v>0</v>
      </c>
      <c r="G94" s="17" t="inlineStr"/>
      <c r="H94" s="17" t="inlineStr">
        <is>
          <t>근무</t>
        </is>
      </c>
    </row>
    <row r="95">
      <c r="A95" s="38" t="inlineStr">
        <is>
          <t>근무 0830-1430</t>
        </is>
      </c>
      <c r="B95" s="24" t="inlineStr">
        <is>
          <t>근무</t>
        </is>
      </c>
      <c r="C95" s="17" t="inlineStr">
        <is>
          <t>08:30~14:30</t>
        </is>
      </c>
      <c r="D95" s="26" t="n">
        <v>5</v>
      </c>
      <c r="E95" s="26" t="n">
        <v>0</v>
      </c>
      <c r="F95" s="24" t="n">
        <v>0</v>
      </c>
      <c r="G95" s="17" t="inlineStr"/>
      <c r="H95" s="17" t="inlineStr">
        <is>
          <t>근무</t>
        </is>
      </c>
    </row>
    <row r="96">
      <c r="A96" s="38" t="inlineStr">
        <is>
          <t>근무 0830-1500</t>
        </is>
      </c>
      <c r="B96" s="24" t="inlineStr">
        <is>
          <t>근무</t>
        </is>
      </c>
      <c r="C96" s="17" t="inlineStr">
        <is>
          <t>08:30~15:00</t>
        </is>
      </c>
      <c r="D96" s="26" t="n">
        <v>5.5</v>
      </c>
      <c r="E96" s="26" t="n">
        <v>0</v>
      </c>
      <c r="F96" s="24" t="n">
        <v>0</v>
      </c>
      <c r="G96" s="17" t="inlineStr"/>
      <c r="H96" s="17" t="inlineStr">
        <is>
          <t>근무</t>
        </is>
      </c>
    </row>
    <row r="97">
      <c r="A97" s="38" t="inlineStr">
        <is>
          <t>근무 0830-1530</t>
        </is>
      </c>
      <c r="B97" s="24" t="inlineStr">
        <is>
          <t>근무</t>
        </is>
      </c>
      <c r="C97" s="17" t="inlineStr">
        <is>
          <t>08:30~15:30</t>
        </is>
      </c>
      <c r="D97" s="26" t="n">
        <v>6</v>
      </c>
      <c r="E97" s="26" t="n">
        <v>0</v>
      </c>
      <c r="F97" s="24" t="n">
        <v>0</v>
      </c>
      <c r="G97" s="17" t="inlineStr"/>
      <c r="H97" s="17" t="inlineStr">
        <is>
          <t>근무</t>
        </is>
      </c>
    </row>
    <row r="98">
      <c r="A98" s="38" t="inlineStr">
        <is>
          <t>근무 0830-1600</t>
        </is>
      </c>
      <c r="B98" s="24" t="inlineStr">
        <is>
          <t>근무</t>
        </is>
      </c>
      <c r="C98" s="17" t="inlineStr">
        <is>
          <t>08:30~16:00</t>
        </is>
      </c>
      <c r="D98" s="26" t="n">
        <v>6.5</v>
      </c>
      <c r="E98" s="26" t="n">
        <v>0</v>
      </c>
      <c r="F98" s="24" t="n">
        <v>0</v>
      </c>
      <c r="G98" s="17" t="inlineStr"/>
      <c r="H98" s="17" t="inlineStr">
        <is>
          <t>근무</t>
        </is>
      </c>
    </row>
    <row r="99">
      <c r="A99" s="38" t="inlineStr">
        <is>
          <t>근무 0830-1630</t>
        </is>
      </c>
      <c r="B99" s="24" t="inlineStr">
        <is>
          <t>근무</t>
        </is>
      </c>
      <c r="C99" s="17" t="inlineStr">
        <is>
          <t>08:30~16:30</t>
        </is>
      </c>
      <c r="D99" s="26" t="n">
        <v>7</v>
      </c>
      <c r="E99" s="26" t="n">
        <v>0</v>
      </c>
      <c r="F99" s="24" t="n">
        <v>0</v>
      </c>
      <c r="G99" s="17" t="inlineStr"/>
      <c r="H99" s="17" t="inlineStr">
        <is>
          <t>근무</t>
        </is>
      </c>
    </row>
    <row r="100">
      <c r="A100" s="38" t="inlineStr">
        <is>
          <t>근무 0830-1700</t>
        </is>
      </c>
      <c r="B100" s="24" t="inlineStr">
        <is>
          <t>근무</t>
        </is>
      </c>
      <c r="C100" s="17" t="inlineStr">
        <is>
          <t>08:30~17:00</t>
        </is>
      </c>
      <c r="D100" s="26" t="n">
        <v>7.5</v>
      </c>
      <c r="E100" s="26" t="n">
        <v>0</v>
      </c>
      <c r="F100" s="24" t="n">
        <v>0</v>
      </c>
      <c r="G100" s="17" t="inlineStr"/>
      <c r="H100" s="17" t="inlineStr">
        <is>
          <t>근무</t>
        </is>
      </c>
    </row>
    <row r="101">
      <c r="A101" s="38" t="inlineStr">
        <is>
          <t>근무 0830-1800</t>
        </is>
      </c>
      <c r="B101" s="24" t="inlineStr">
        <is>
          <t>근무</t>
        </is>
      </c>
      <c r="C101" s="17" t="inlineStr">
        <is>
          <t>08:30~18:00</t>
        </is>
      </c>
      <c r="D101" s="26" t="n">
        <v>8.5</v>
      </c>
      <c r="E101" s="26" t="n">
        <v>0</v>
      </c>
      <c r="F101" s="24" t="n">
        <v>1</v>
      </c>
      <c r="G101" s="17" t="inlineStr"/>
      <c r="H101" s="17" t="inlineStr">
        <is>
          <t>근무</t>
        </is>
      </c>
    </row>
    <row r="102">
      <c r="A102" s="38" t="inlineStr">
        <is>
          <t>근무 0830-1830</t>
        </is>
      </c>
      <c r="B102" s="24" t="inlineStr">
        <is>
          <t>근무</t>
        </is>
      </c>
      <c r="C102" s="17" t="inlineStr">
        <is>
          <t>08:30~18:30</t>
        </is>
      </c>
      <c r="D102" s="26" t="n">
        <v>8.5</v>
      </c>
      <c r="E102" s="26" t="n">
        <v>0</v>
      </c>
      <c r="F102" s="24" t="n">
        <v>1</v>
      </c>
      <c r="G102" s="17" t="inlineStr"/>
      <c r="H102" s="17" t="inlineStr">
        <is>
          <t>근무</t>
        </is>
      </c>
    </row>
    <row r="103">
      <c r="A103" s="38" t="inlineStr">
        <is>
          <t>근무 0830-1900</t>
        </is>
      </c>
      <c r="B103" s="24" t="inlineStr">
        <is>
          <t>근무</t>
        </is>
      </c>
      <c r="C103" s="17" t="inlineStr">
        <is>
          <t>08:30~19:00</t>
        </is>
      </c>
      <c r="D103" s="26" t="n">
        <v>9</v>
      </c>
      <c r="E103" s="26" t="n">
        <v>0</v>
      </c>
      <c r="F103" s="24" t="n">
        <v>1</v>
      </c>
      <c r="G103" s="17" t="inlineStr"/>
      <c r="H103" s="17" t="inlineStr">
        <is>
          <t>근무</t>
        </is>
      </c>
    </row>
    <row r="104">
      <c r="A104" s="38" t="inlineStr">
        <is>
          <t>근무 0830-1930</t>
        </is>
      </c>
      <c r="B104" s="24" t="inlineStr">
        <is>
          <t>근무</t>
        </is>
      </c>
      <c r="C104" s="17" t="inlineStr">
        <is>
          <t>08:30~19:30</t>
        </is>
      </c>
      <c r="D104" s="26" t="n">
        <v>9.5</v>
      </c>
      <c r="E104" s="26" t="n">
        <v>0</v>
      </c>
      <c r="F104" s="24" t="n">
        <v>1</v>
      </c>
      <c r="G104" s="17" t="inlineStr"/>
      <c r="H104" s="17" t="inlineStr">
        <is>
          <t>근무</t>
        </is>
      </c>
    </row>
    <row r="105">
      <c r="A105" s="38" t="inlineStr">
        <is>
          <t>근무 0830-2000</t>
        </is>
      </c>
      <c r="B105" s="24" t="inlineStr">
        <is>
          <t>근무</t>
        </is>
      </c>
      <c r="C105" s="17" t="inlineStr">
        <is>
          <t>08:30~20:00</t>
        </is>
      </c>
      <c r="D105" s="26" t="n">
        <v>10</v>
      </c>
      <c r="E105" s="26" t="n">
        <v>0</v>
      </c>
      <c r="F105" s="24" t="n">
        <v>1</v>
      </c>
      <c r="G105" s="17" t="inlineStr"/>
      <c r="H105" s="17" t="inlineStr">
        <is>
          <t>근무</t>
        </is>
      </c>
    </row>
    <row r="106">
      <c r="A106" s="38" t="inlineStr">
        <is>
          <t>근무 0830-2030</t>
        </is>
      </c>
      <c r="B106" s="24" t="inlineStr">
        <is>
          <t>근무</t>
        </is>
      </c>
      <c r="C106" s="17" t="inlineStr">
        <is>
          <t>08:30~20:30</t>
        </is>
      </c>
      <c r="D106" s="26" t="n">
        <v>10.5</v>
      </c>
      <c r="E106" s="26" t="n">
        <v>0</v>
      </c>
      <c r="F106" s="24" t="n">
        <v>1</v>
      </c>
      <c r="G106" s="17" t="inlineStr"/>
      <c r="H106" s="17" t="inlineStr">
        <is>
          <t>근무</t>
        </is>
      </c>
    </row>
    <row r="107">
      <c r="A107" s="38" t="inlineStr">
        <is>
          <t>휴직</t>
        </is>
      </c>
      <c r="B107" s="24" t="inlineStr">
        <is>
          <t>휴직</t>
        </is>
      </c>
      <c r="C107" s="17" t="inlineStr"/>
      <c r="D107" s="26" t="n">
        <v>0</v>
      </c>
      <c r="E107" s="26" t="n">
        <v>0</v>
      </c>
      <c r="F107" s="24" t="n">
        <v>0</v>
      </c>
      <c r="G107" s="17" t="inlineStr"/>
      <c r="H107" s="17" t="inlineStr">
        <is>
          <t>휴가·사외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43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</cols>
  <sheetData>
    <row r="1">
      <c r="D1" s="8" t="inlineStr">
        <is>
          <t>시간 (계산용) — 근태 시트를 조합표와 대조한 값입니다</t>
        </is>
      </c>
    </row>
    <row r="2">
      <c r="D2" s="5" t="inlineStr">
        <is>
          <t>이 시트는 직접 고치지 마세요</t>
        </is>
      </c>
    </row>
    <row r="3">
      <c r="A3" s="9" t="inlineStr">
        <is>
          <t>주</t>
        </is>
      </c>
      <c r="B3" s="9" t="inlineStr"/>
      <c r="C3" s="9" t="inlineStr"/>
      <c r="D3" s="9">
        <f>IF(D4="","",INT((D4-1+MOD(WEEKDAY(DATE(근태!$B$1,근태!$B$2,1))+5,7))/7)+1)</f>
        <v/>
      </c>
      <c r="E3" s="9">
        <f>IF(E4="","",INT((E4-1+MOD(WEEKDAY(DATE(근태!$B$1,근태!$B$2,1))+5,7))/7)+1)</f>
        <v/>
      </c>
      <c r="F3" s="9">
        <f>IF(F4="","",INT((F4-1+MOD(WEEKDAY(DATE(근태!$B$1,근태!$B$2,1))+5,7))/7)+1)</f>
        <v/>
      </c>
      <c r="G3" s="9">
        <f>IF(G4="","",INT((G4-1+MOD(WEEKDAY(DATE(근태!$B$1,근태!$B$2,1))+5,7))/7)+1)</f>
        <v/>
      </c>
      <c r="H3" s="9">
        <f>IF(H4="","",INT((H4-1+MOD(WEEKDAY(DATE(근태!$B$1,근태!$B$2,1))+5,7))/7)+1)</f>
        <v/>
      </c>
      <c r="I3" s="9">
        <f>IF(I4="","",INT((I4-1+MOD(WEEKDAY(DATE(근태!$B$1,근태!$B$2,1))+5,7))/7)+1)</f>
        <v/>
      </c>
      <c r="J3" s="9">
        <f>IF(J4="","",INT((J4-1+MOD(WEEKDAY(DATE(근태!$B$1,근태!$B$2,1))+5,7))/7)+1)</f>
        <v/>
      </c>
      <c r="K3" s="9">
        <f>IF(K4="","",INT((K4-1+MOD(WEEKDAY(DATE(근태!$B$1,근태!$B$2,1))+5,7))/7)+1)</f>
        <v/>
      </c>
      <c r="L3" s="9">
        <f>IF(L4="","",INT((L4-1+MOD(WEEKDAY(DATE(근태!$B$1,근태!$B$2,1))+5,7))/7)+1)</f>
        <v/>
      </c>
      <c r="M3" s="9">
        <f>IF(M4="","",INT((M4-1+MOD(WEEKDAY(DATE(근태!$B$1,근태!$B$2,1))+5,7))/7)+1)</f>
        <v/>
      </c>
      <c r="N3" s="9">
        <f>IF(N4="","",INT((N4-1+MOD(WEEKDAY(DATE(근태!$B$1,근태!$B$2,1))+5,7))/7)+1)</f>
        <v/>
      </c>
      <c r="O3" s="9">
        <f>IF(O4="","",INT((O4-1+MOD(WEEKDAY(DATE(근태!$B$1,근태!$B$2,1))+5,7))/7)+1)</f>
        <v/>
      </c>
      <c r="P3" s="9">
        <f>IF(P4="","",INT((P4-1+MOD(WEEKDAY(DATE(근태!$B$1,근태!$B$2,1))+5,7))/7)+1)</f>
        <v/>
      </c>
      <c r="Q3" s="9">
        <f>IF(Q4="","",INT((Q4-1+MOD(WEEKDAY(DATE(근태!$B$1,근태!$B$2,1))+5,7))/7)+1)</f>
        <v/>
      </c>
      <c r="R3" s="9">
        <f>IF(R4="","",INT((R4-1+MOD(WEEKDAY(DATE(근태!$B$1,근태!$B$2,1))+5,7))/7)+1)</f>
        <v/>
      </c>
      <c r="S3" s="9">
        <f>IF(S4="","",INT((S4-1+MOD(WEEKDAY(DATE(근태!$B$1,근태!$B$2,1))+5,7))/7)+1)</f>
        <v/>
      </c>
      <c r="T3" s="9">
        <f>IF(T4="","",INT((T4-1+MOD(WEEKDAY(DATE(근태!$B$1,근태!$B$2,1))+5,7))/7)+1)</f>
        <v/>
      </c>
      <c r="U3" s="9">
        <f>IF(U4="","",INT((U4-1+MOD(WEEKDAY(DATE(근태!$B$1,근태!$B$2,1))+5,7))/7)+1)</f>
        <v/>
      </c>
      <c r="V3" s="9">
        <f>IF(V4="","",INT((V4-1+MOD(WEEKDAY(DATE(근태!$B$1,근태!$B$2,1))+5,7))/7)+1)</f>
        <v/>
      </c>
      <c r="W3" s="9">
        <f>IF(W4="","",INT((W4-1+MOD(WEEKDAY(DATE(근태!$B$1,근태!$B$2,1))+5,7))/7)+1)</f>
        <v/>
      </c>
      <c r="X3" s="9">
        <f>IF(X4="","",INT((X4-1+MOD(WEEKDAY(DATE(근태!$B$1,근태!$B$2,1))+5,7))/7)+1)</f>
        <v/>
      </c>
      <c r="Y3" s="9">
        <f>IF(Y4="","",INT((Y4-1+MOD(WEEKDAY(DATE(근태!$B$1,근태!$B$2,1))+5,7))/7)+1)</f>
        <v/>
      </c>
      <c r="Z3" s="9">
        <f>IF(Z4="","",INT((Z4-1+MOD(WEEKDAY(DATE(근태!$B$1,근태!$B$2,1))+5,7))/7)+1)</f>
        <v/>
      </c>
      <c r="AA3" s="9">
        <f>IF(AA4="","",INT((AA4-1+MOD(WEEKDAY(DATE(근태!$B$1,근태!$B$2,1))+5,7))/7)+1)</f>
        <v/>
      </c>
      <c r="AB3" s="9">
        <f>IF(AB4="","",INT((AB4-1+MOD(WEEKDAY(DATE(근태!$B$1,근태!$B$2,1))+5,7))/7)+1)</f>
        <v/>
      </c>
      <c r="AC3" s="9">
        <f>IF(AC4="","",INT((AC4-1+MOD(WEEKDAY(DATE(근태!$B$1,근태!$B$2,1))+5,7))/7)+1)</f>
        <v/>
      </c>
      <c r="AD3" s="9">
        <f>IF(AD4="","",INT((AD4-1+MOD(WEEKDAY(DATE(근태!$B$1,근태!$B$2,1))+5,7))/7)+1)</f>
        <v/>
      </c>
      <c r="AE3" s="9">
        <f>IF(AE4="","",INT((AE4-1+MOD(WEEKDAY(DATE(근태!$B$1,근태!$B$2,1))+5,7))/7)+1)</f>
        <v/>
      </c>
      <c r="AF3" s="9">
        <f>IF(AF4="","",INT((AF4-1+MOD(WEEKDAY(DATE(근태!$B$1,근태!$B$2,1))+5,7))/7)+1)</f>
        <v/>
      </c>
      <c r="AG3" s="9">
        <f>IF(AG4="","",INT((AG4-1+MOD(WEEKDAY(DATE(근태!$B$1,근태!$B$2,1))+5,7))/7)+1)</f>
        <v/>
      </c>
      <c r="AH3" s="9">
        <f>IF(AH4="","",INT((AH4-1+MOD(WEEKDAY(DATE(근태!$B$1,근태!$B$2,1))+5,7))/7)+1)</f>
        <v/>
      </c>
    </row>
    <row r="4">
      <c r="D4" s="12">
        <f>IF(MONTH(DATE(근태!$B$1,근태!$B$2,1))&lt;&gt;근태!$B$2,"",1)</f>
        <v/>
      </c>
      <c r="E4" s="12">
        <f>IF(MONTH(DATE(근태!$B$1,근태!$B$2,2))&lt;&gt;근태!$B$2,"",2)</f>
        <v/>
      </c>
      <c r="F4" s="12">
        <f>IF(MONTH(DATE(근태!$B$1,근태!$B$2,3))&lt;&gt;근태!$B$2,"",3)</f>
        <v/>
      </c>
      <c r="G4" s="12">
        <f>IF(MONTH(DATE(근태!$B$1,근태!$B$2,4))&lt;&gt;근태!$B$2,"",4)</f>
        <v/>
      </c>
      <c r="H4" s="12">
        <f>IF(MONTH(DATE(근태!$B$1,근태!$B$2,5))&lt;&gt;근태!$B$2,"",5)</f>
        <v/>
      </c>
      <c r="I4" s="12">
        <f>IF(MONTH(DATE(근태!$B$1,근태!$B$2,6))&lt;&gt;근태!$B$2,"",6)</f>
        <v/>
      </c>
      <c r="J4" s="12">
        <f>IF(MONTH(DATE(근태!$B$1,근태!$B$2,7))&lt;&gt;근태!$B$2,"",7)</f>
        <v/>
      </c>
      <c r="K4" s="12">
        <f>IF(MONTH(DATE(근태!$B$1,근태!$B$2,8))&lt;&gt;근태!$B$2,"",8)</f>
        <v/>
      </c>
      <c r="L4" s="12">
        <f>IF(MONTH(DATE(근태!$B$1,근태!$B$2,9))&lt;&gt;근태!$B$2,"",9)</f>
        <v/>
      </c>
      <c r="M4" s="12">
        <f>IF(MONTH(DATE(근태!$B$1,근태!$B$2,10))&lt;&gt;근태!$B$2,"",10)</f>
        <v/>
      </c>
      <c r="N4" s="12">
        <f>IF(MONTH(DATE(근태!$B$1,근태!$B$2,11))&lt;&gt;근태!$B$2,"",11)</f>
        <v/>
      </c>
      <c r="O4" s="12">
        <f>IF(MONTH(DATE(근태!$B$1,근태!$B$2,12))&lt;&gt;근태!$B$2,"",12)</f>
        <v/>
      </c>
      <c r="P4" s="12">
        <f>IF(MONTH(DATE(근태!$B$1,근태!$B$2,13))&lt;&gt;근태!$B$2,"",13)</f>
        <v/>
      </c>
      <c r="Q4" s="12">
        <f>IF(MONTH(DATE(근태!$B$1,근태!$B$2,14))&lt;&gt;근태!$B$2,"",14)</f>
        <v/>
      </c>
      <c r="R4" s="12">
        <f>IF(MONTH(DATE(근태!$B$1,근태!$B$2,15))&lt;&gt;근태!$B$2,"",15)</f>
        <v/>
      </c>
      <c r="S4" s="12">
        <f>IF(MONTH(DATE(근태!$B$1,근태!$B$2,16))&lt;&gt;근태!$B$2,"",16)</f>
        <v/>
      </c>
      <c r="T4" s="12">
        <f>IF(MONTH(DATE(근태!$B$1,근태!$B$2,17))&lt;&gt;근태!$B$2,"",17)</f>
        <v/>
      </c>
      <c r="U4" s="12">
        <f>IF(MONTH(DATE(근태!$B$1,근태!$B$2,18))&lt;&gt;근태!$B$2,"",18)</f>
        <v/>
      </c>
      <c r="V4" s="12">
        <f>IF(MONTH(DATE(근태!$B$1,근태!$B$2,19))&lt;&gt;근태!$B$2,"",19)</f>
        <v/>
      </c>
      <c r="W4" s="12">
        <f>IF(MONTH(DATE(근태!$B$1,근태!$B$2,20))&lt;&gt;근태!$B$2,"",20)</f>
        <v/>
      </c>
      <c r="X4" s="12">
        <f>IF(MONTH(DATE(근태!$B$1,근태!$B$2,21))&lt;&gt;근태!$B$2,"",21)</f>
        <v/>
      </c>
      <c r="Y4" s="12">
        <f>IF(MONTH(DATE(근태!$B$1,근태!$B$2,22))&lt;&gt;근태!$B$2,"",22)</f>
        <v/>
      </c>
      <c r="Z4" s="12">
        <f>IF(MONTH(DATE(근태!$B$1,근태!$B$2,23))&lt;&gt;근태!$B$2,"",23)</f>
        <v/>
      </c>
      <c r="AA4" s="12">
        <f>IF(MONTH(DATE(근태!$B$1,근태!$B$2,24))&lt;&gt;근태!$B$2,"",24)</f>
        <v/>
      </c>
      <c r="AB4" s="12">
        <f>IF(MONTH(DATE(근태!$B$1,근태!$B$2,25))&lt;&gt;근태!$B$2,"",25)</f>
        <v/>
      </c>
      <c r="AC4" s="12">
        <f>IF(MONTH(DATE(근태!$B$1,근태!$B$2,26))&lt;&gt;근태!$B$2,"",26)</f>
        <v/>
      </c>
      <c r="AD4" s="12">
        <f>IF(MONTH(DATE(근태!$B$1,근태!$B$2,27))&lt;&gt;근태!$B$2,"",27)</f>
        <v/>
      </c>
      <c r="AE4" s="12">
        <f>IF(MONTH(DATE(근태!$B$1,근태!$B$2,28))&lt;&gt;근태!$B$2,"",28)</f>
        <v/>
      </c>
      <c r="AF4" s="12">
        <f>IF(MONTH(DATE(근태!$B$1,근태!$B$2,29))&lt;&gt;근태!$B$2,"",29)</f>
        <v/>
      </c>
      <c r="AG4" s="12">
        <f>IF(MONTH(DATE(근태!$B$1,근태!$B$2,30))&lt;&gt;근태!$B$2,"",30)</f>
        <v/>
      </c>
      <c r="AH4" s="12">
        <f>IF(MONTH(DATE(근태!$B$1,근태!$B$2,31))&lt;&gt;근태!$B$2,"",31)</f>
        <v/>
      </c>
    </row>
    <row r="5">
      <c r="D5" s="13">
        <f>IF(D$4="","",INDEX(코드!$M$2:$M$8,WEEKDAY(DATE(근태!$B$1,근태!$B$2,D$4))))</f>
        <v/>
      </c>
      <c r="E5" s="13">
        <f>IF(E$4="","",INDEX(코드!$M$2:$M$8,WEEKDAY(DATE(근태!$B$1,근태!$B$2,E$4))))</f>
        <v/>
      </c>
      <c r="F5" s="13">
        <f>IF(F$4="","",INDEX(코드!$M$2:$M$8,WEEKDAY(DATE(근태!$B$1,근태!$B$2,F$4))))</f>
        <v/>
      </c>
      <c r="G5" s="13">
        <f>IF(G$4="","",INDEX(코드!$M$2:$M$8,WEEKDAY(DATE(근태!$B$1,근태!$B$2,G$4))))</f>
        <v/>
      </c>
      <c r="H5" s="13">
        <f>IF(H$4="","",INDEX(코드!$M$2:$M$8,WEEKDAY(DATE(근태!$B$1,근태!$B$2,H$4))))</f>
        <v/>
      </c>
      <c r="I5" s="13">
        <f>IF(I$4="","",INDEX(코드!$M$2:$M$8,WEEKDAY(DATE(근태!$B$1,근태!$B$2,I$4))))</f>
        <v/>
      </c>
      <c r="J5" s="13">
        <f>IF(J$4="","",INDEX(코드!$M$2:$M$8,WEEKDAY(DATE(근태!$B$1,근태!$B$2,J$4))))</f>
        <v/>
      </c>
      <c r="K5" s="13">
        <f>IF(K$4="","",INDEX(코드!$M$2:$M$8,WEEKDAY(DATE(근태!$B$1,근태!$B$2,K$4))))</f>
        <v/>
      </c>
      <c r="L5" s="13">
        <f>IF(L$4="","",INDEX(코드!$M$2:$M$8,WEEKDAY(DATE(근태!$B$1,근태!$B$2,L$4))))</f>
        <v/>
      </c>
      <c r="M5" s="13">
        <f>IF(M$4="","",INDEX(코드!$M$2:$M$8,WEEKDAY(DATE(근태!$B$1,근태!$B$2,M$4))))</f>
        <v/>
      </c>
      <c r="N5" s="13">
        <f>IF(N$4="","",INDEX(코드!$M$2:$M$8,WEEKDAY(DATE(근태!$B$1,근태!$B$2,N$4))))</f>
        <v/>
      </c>
      <c r="O5" s="13">
        <f>IF(O$4="","",INDEX(코드!$M$2:$M$8,WEEKDAY(DATE(근태!$B$1,근태!$B$2,O$4))))</f>
        <v/>
      </c>
      <c r="P5" s="13">
        <f>IF(P$4="","",INDEX(코드!$M$2:$M$8,WEEKDAY(DATE(근태!$B$1,근태!$B$2,P$4))))</f>
        <v/>
      </c>
      <c r="Q5" s="13">
        <f>IF(Q$4="","",INDEX(코드!$M$2:$M$8,WEEKDAY(DATE(근태!$B$1,근태!$B$2,Q$4))))</f>
        <v/>
      </c>
      <c r="R5" s="13">
        <f>IF(R$4="","",INDEX(코드!$M$2:$M$8,WEEKDAY(DATE(근태!$B$1,근태!$B$2,R$4))))</f>
        <v/>
      </c>
      <c r="S5" s="13">
        <f>IF(S$4="","",INDEX(코드!$M$2:$M$8,WEEKDAY(DATE(근태!$B$1,근태!$B$2,S$4))))</f>
        <v/>
      </c>
      <c r="T5" s="13">
        <f>IF(T$4="","",INDEX(코드!$M$2:$M$8,WEEKDAY(DATE(근태!$B$1,근태!$B$2,T$4))))</f>
        <v/>
      </c>
      <c r="U5" s="13">
        <f>IF(U$4="","",INDEX(코드!$M$2:$M$8,WEEKDAY(DATE(근태!$B$1,근태!$B$2,U$4))))</f>
        <v/>
      </c>
      <c r="V5" s="13">
        <f>IF(V$4="","",INDEX(코드!$M$2:$M$8,WEEKDAY(DATE(근태!$B$1,근태!$B$2,V$4))))</f>
        <v/>
      </c>
      <c r="W5" s="13">
        <f>IF(W$4="","",INDEX(코드!$M$2:$M$8,WEEKDAY(DATE(근태!$B$1,근태!$B$2,W$4))))</f>
        <v/>
      </c>
      <c r="X5" s="13">
        <f>IF(X$4="","",INDEX(코드!$M$2:$M$8,WEEKDAY(DATE(근태!$B$1,근태!$B$2,X$4))))</f>
        <v/>
      </c>
      <c r="Y5" s="13">
        <f>IF(Y$4="","",INDEX(코드!$M$2:$M$8,WEEKDAY(DATE(근태!$B$1,근태!$B$2,Y$4))))</f>
        <v/>
      </c>
      <c r="Z5" s="13">
        <f>IF(Z$4="","",INDEX(코드!$M$2:$M$8,WEEKDAY(DATE(근태!$B$1,근태!$B$2,Z$4))))</f>
        <v/>
      </c>
      <c r="AA5" s="13">
        <f>IF(AA$4="","",INDEX(코드!$M$2:$M$8,WEEKDAY(DATE(근태!$B$1,근태!$B$2,AA$4))))</f>
        <v/>
      </c>
      <c r="AB5" s="13">
        <f>IF(AB$4="","",INDEX(코드!$M$2:$M$8,WEEKDAY(DATE(근태!$B$1,근태!$B$2,AB$4))))</f>
        <v/>
      </c>
      <c r="AC5" s="13">
        <f>IF(AC$4="","",INDEX(코드!$M$2:$M$8,WEEKDAY(DATE(근태!$B$1,근태!$B$2,AC$4))))</f>
        <v/>
      </c>
      <c r="AD5" s="13">
        <f>IF(AD$4="","",INDEX(코드!$M$2:$M$8,WEEKDAY(DATE(근태!$B$1,근태!$B$2,AD$4))))</f>
        <v/>
      </c>
      <c r="AE5" s="13">
        <f>IF(AE$4="","",INDEX(코드!$M$2:$M$8,WEEKDAY(DATE(근태!$B$1,근태!$B$2,AE$4))))</f>
        <v/>
      </c>
      <c r="AF5" s="13">
        <f>IF(AF$4="","",INDEX(코드!$M$2:$M$8,WEEKDAY(DATE(근태!$B$1,근태!$B$2,AF$4))))</f>
        <v/>
      </c>
      <c r="AG5" s="13">
        <f>IF(AG$4="","",INDEX(코드!$M$2:$M$8,WEEKDAY(DATE(근태!$B$1,근태!$B$2,AG$4))))</f>
        <v/>
      </c>
      <c r="AH5" s="13">
        <f>IF(AH$4="","",INDEX(코드!$M$2:$M$8,WEEKDAY(DATE(근태!$B$1,근태!$B$2,AH$4))))</f>
        <v/>
      </c>
    </row>
    <row r="6">
      <c r="D6" s="9">
        <f>IF(D$4="","",IF(OR(WEEKDAY(DATE(근태!$B$1,근태!$B$2,D$4),2)&gt;5,COUNTIF(공휴일!$A$2:$A$400,DATE(근태!$B$1,근태!$B$2,D$4))&gt;0),"휴일",""))</f>
        <v/>
      </c>
      <c r="E6" s="9">
        <f>IF(E$4="","",IF(OR(WEEKDAY(DATE(근태!$B$1,근태!$B$2,E$4),2)&gt;5,COUNTIF(공휴일!$A$2:$A$400,DATE(근태!$B$1,근태!$B$2,E$4))&gt;0),"휴일",""))</f>
        <v/>
      </c>
      <c r="F6" s="9">
        <f>IF(F$4="","",IF(OR(WEEKDAY(DATE(근태!$B$1,근태!$B$2,F$4),2)&gt;5,COUNTIF(공휴일!$A$2:$A$400,DATE(근태!$B$1,근태!$B$2,F$4))&gt;0),"휴일",""))</f>
        <v/>
      </c>
      <c r="G6" s="9">
        <f>IF(G$4="","",IF(OR(WEEKDAY(DATE(근태!$B$1,근태!$B$2,G$4),2)&gt;5,COUNTIF(공휴일!$A$2:$A$400,DATE(근태!$B$1,근태!$B$2,G$4))&gt;0),"휴일",""))</f>
        <v/>
      </c>
      <c r="H6" s="9">
        <f>IF(H$4="","",IF(OR(WEEKDAY(DATE(근태!$B$1,근태!$B$2,H$4),2)&gt;5,COUNTIF(공휴일!$A$2:$A$400,DATE(근태!$B$1,근태!$B$2,H$4))&gt;0),"휴일",""))</f>
        <v/>
      </c>
      <c r="I6" s="9">
        <f>IF(I$4="","",IF(OR(WEEKDAY(DATE(근태!$B$1,근태!$B$2,I$4),2)&gt;5,COUNTIF(공휴일!$A$2:$A$400,DATE(근태!$B$1,근태!$B$2,I$4))&gt;0),"휴일",""))</f>
        <v/>
      </c>
      <c r="J6" s="9">
        <f>IF(J$4="","",IF(OR(WEEKDAY(DATE(근태!$B$1,근태!$B$2,J$4),2)&gt;5,COUNTIF(공휴일!$A$2:$A$400,DATE(근태!$B$1,근태!$B$2,J$4))&gt;0),"휴일",""))</f>
        <v/>
      </c>
      <c r="K6" s="9">
        <f>IF(K$4="","",IF(OR(WEEKDAY(DATE(근태!$B$1,근태!$B$2,K$4),2)&gt;5,COUNTIF(공휴일!$A$2:$A$400,DATE(근태!$B$1,근태!$B$2,K$4))&gt;0),"휴일",""))</f>
        <v/>
      </c>
      <c r="L6" s="9">
        <f>IF(L$4="","",IF(OR(WEEKDAY(DATE(근태!$B$1,근태!$B$2,L$4),2)&gt;5,COUNTIF(공휴일!$A$2:$A$400,DATE(근태!$B$1,근태!$B$2,L$4))&gt;0),"휴일",""))</f>
        <v/>
      </c>
      <c r="M6" s="9">
        <f>IF(M$4="","",IF(OR(WEEKDAY(DATE(근태!$B$1,근태!$B$2,M$4),2)&gt;5,COUNTIF(공휴일!$A$2:$A$400,DATE(근태!$B$1,근태!$B$2,M$4))&gt;0),"휴일",""))</f>
        <v/>
      </c>
      <c r="N6" s="9">
        <f>IF(N$4="","",IF(OR(WEEKDAY(DATE(근태!$B$1,근태!$B$2,N$4),2)&gt;5,COUNTIF(공휴일!$A$2:$A$400,DATE(근태!$B$1,근태!$B$2,N$4))&gt;0),"휴일",""))</f>
        <v/>
      </c>
      <c r="O6" s="9">
        <f>IF(O$4="","",IF(OR(WEEKDAY(DATE(근태!$B$1,근태!$B$2,O$4),2)&gt;5,COUNTIF(공휴일!$A$2:$A$400,DATE(근태!$B$1,근태!$B$2,O$4))&gt;0),"휴일",""))</f>
        <v/>
      </c>
      <c r="P6" s="9">
        <f>IF(P$4="","",IF(OR(WEEKDAY(DATE(근태!$B$1,근태!$B$2,P$4),2)&gt;5,COUNTIF(공휴일!$A$2:$A$400,DATE(근태!$B$1,근태!$B$2,P$4))&gt;0),"휴일",""))</f>
        <v/>
      </c>
      <c r="Q6" s="9">
        <f>IF(Q$4="","",IF(OR(WEEKDAY(DATE(근태!$B$1,근태!$B$2,Q$4),2)&gt;5,COUNTIF(공휴일!$A$2:$A$400,DATE(근태!$B$1,근태!$B$2,Q$4))&gt;0),"휴일",""))</f>
        <v/>
      </c>
      <c r="R6" s="9">
        <f>IF(R$4="","",IF(OR(WEEKDAY(DATE(근태!$B$1,근태!$B$2,R$4),2)&gt;5,COUNTIF(공휴일!$A$2:$A$400,DATE(근태!$B$1,근태!$B$2,R$4))&gt;0),"휴일",""))</f>
        <v/>
      </c>
      <c r="S6" s="9">
        <f>IF(S$4="","",IF(OR(WEEKDAY(DATE(근태!$B$1,근태!$B$2,S$4),2)&gt;5,COUNTIF(공휴일!$A$2:$A$400,DATE(근태!$B$1,근태!$B$2,S$4))&gt;0),"휴일",""))</f>
        <v/>
      </c>
      <c r="T6" s="9">
        <f>IF(T$4="","",IF(OR(WEEKDAY(DATE(근태!$B$1,근태!$B$2,T$4),2)&gt;5,COUNTIF(공휴일!$A$2:$A$400,DATE(근태!$B$1,근태!$B$2,T$4))&gt;0),"휴일",""))</f>
        <v/>
      </c>
      <c r="U6" s="9">
        <f>IF(U$4="","",IF(OR(WEEKDAY(DATE(근태!$B$1,근태!$B$2,U$4),2)&gt;5,COUNTIF(공휴일!$A$2:$A$400,DATE(근태!$B$1,근태!$B$2,U$4))&gt;0),"휴일",""))</f>
        <v/>
      </c>
      <c r="V6" s="9">
        <f>IF(V$4="","",IF(OR(WEEKDAY(DATE(근태!$B$1,근태!$B$2,V$4),2)&gt;5,COUNTIF(공휴일!$A$2:$A$400,DATE(근태!$B$1,근태!$B$2,V$4))&gt;0),"휴일",""))</f>
        <v/>
      </c>
      <c r="W6" s="9">
        <f>IF(W$4="","",IF(OR(WEEKDAY(DATE(근태!$B$1,근태!$B$2,W$4),2)&gt;5,COUNTIF(공휴일!$A$2:$A$400,DATE(근태!$B$1,근태!$B$2,W$4))&gt;0),"휴일",""))</f>
        <v/>
      </c>
      <c r="X6" s="9">
        <f>IF(X$4="","",IF(OR(WEEKDAY(DATE(근태!$B$1,근태!$B$2,X$4),2)&gt;5,COUNTIF(공휴일!$A$2:$A$400,DATE(근태!$B$1,근태!$B$2,X$4))&gt;0),"휴일",""))</f>
        <v/>
      </c>
      <c r="Y6" s="9">
        <f>IF(Y$4="","",IF(OR(WEEKDAY(DATE(근태!$B$1,근태!$B$2,Y$4),2)&gt;5,COUNTIF(공휴일!$A$2:$A$400,DATE(근태!$B$1,근태!$B$2,Y$4))&gt;0),"휴일",""))</f>
        <v/>
      </c>
      <c r="Z6" s="9">
        <f>IF(Z$4="","",IF(OR(WEEKDAY(DATE(근태!$B$1,근태!$B$2,Z$4),2)&gt;5,COUNTIF(공휴일!$A$2:$A$400,DATE(근태!$B$1,근태!$B$2,Z$4))&gt;0),"휴일",""))</f>
        <v/>
      </c>
      <c r="AA6" s="9">
        <f>IF(AA$4="","",IF(OR(WEEKDAY(DATE(근태!$B$1,근태!$B$2,AA$4),2)&gt;5,COUNTIF(공휴일!$A$2:$A$400,DATE(근태!$B$1,근태!$B$2,AA$4))&gt;0),"휴일",""))</f>
        <v/>
      </c>
      <c r="AB6" s="9">
        <f>IF(AB$4="","",IF(OR(WEEKDAY(DATE(근태!$B$1,근태!$B$2,AB$4),2)&gt;5,COUNTIF(공휴일!$A$2:$A$400,DATE(근태!$B$1,근태!$B$2,AB$4))&gt;0),"휴일",""))</f>
        <v/>
      </c>
      <c r="AC6" s="9">
        <f>IF(AC$4="","",IF(OR(WEEKDAY(DATE(근태!$B$1,근태!$B$2,AC$4),2)&gt;5,COUNTIF(공휴일!$A$2:$A$400,DATE(근태!$B$1,근태!$B$2,AC$4))&gt;0),"휴일",""))</f>
        <v/>
      </c>
      <c r="AD6" s="9">
        <f>IF(AD$4="","",IF(OR(WEEKDAY(DATE(근태!$B$1,근태!$B$2,AD$4),2)&gt;5,COUNTIF(공휴일!$A$2:$A$400,DATE(근태!$B$1,근태!$B$2,AD$4))&gt;0),"휴일",""))</f>
        <v/>
      </c>
      <c r="AE6" s="9">
        <f>IF(AE$4="","",IF(OR(WEEKDAY(DATE(근태!$B$1,근태!$B$2,AE$4),2)&gt;5,COUNTIF(공휴일!$A$2:$A$400,DATE(근태!$B$1,근태!$B$2,AE$4))&gt;0),"휴일",""))</f>
        <v/>
      </c>
      <c r="AF6" s="9">
        <f>IF(AF$4="","",IF(OR(WEEKDAY(DATE(근태!$B$1,근태!$B$2,AF$4),2)&gt;5,COUNTIF(공휴일!$A$2:$A$400,DATE(근태!$B$1,근태!$B$2,AF$4))&gt;0),"휴일",""))</f>
        <v/>
      </c>
      <c r="AG6" s="9">
        <f>IF(AG$4="","",IF(OR(WEEKDAY(DATE(근태!$B$1,근태!$B$2,AG$4),2)&gt;5,COUNTIF(공휴일!$A$2:$A$400,DATE(근태!$B$1,근태!$B$2,AG$4))&gt;0),"휴일",""))</f>
        <v/>
      </c>
      <c r="AH6" s="9">
        <f>IF(AH$4="","",IF(OR(WEEKDAY(DATE(근태!$B$1,근태!$B$2,AH$4),2)&gt;5,COUNTIF(공휴일!$A$2:$A$400,DATE(근태!$B$1,근태!$B$2,AH$4))&gt;0),"휴일",""))</f>
        <v/>
      </c>
    </row>
    <row r="7">
      <c r="A7" s="20" t="inlineStr">
        <is>
          <t>키</t>
        </is>
      </c>
      <c r="B7" s="12" t="inlineStr">
        <is>
          <t>파트</t>
        </is>
      </c>
      <c r="C7" s="12" t="inlineStr">
        <is>
          <t>그룹</t>
        </is>
      </c>
    </row>
    <row r="8">
      <c r="A8" s="15">
        <f>IF(명부!A2="","",명부!A2)</f>
        <v/>
      </c>
      <c r="B8" s="16">
        <f>IF(명부!C2="","",명부!C2)</f>
        <v/>
      </c>
      <c r="C8" s="17">
        <f>IF(명부!E2="","",명부!E2)</f>
        <v/>
      </c>
      <c r="D8" s="39">
        <f>IF(근태!D8="","",IF(근태!E8="",근태!D8,근태!D8&amp;" "&amp;SUBSTITUTE(근태!E8,":","")&amp;"-"&amp;SUBSTITUTE(근태!F8,":","")))</f>
        <v/>
      </c>
      <c r="E8" s="39">
        <f>IF(근태!G8="","",IF(근태!H8="",근태!G8,근태!G8&amp;" "&amp;SUBSTITUTE(근태!H8,":","")&amp;"-"&amp;SUBSTITUTE(근태!I8,":","")))</f>
        <v/>
      </c>
      <c r="F8" s="39">
        <f>IF(근태!J8="","",IF(근태!K8="",근태!J8,근태!J8&amp;" "&amp;SUBSTITUTE(근태!K8,":","")&amp;"-"&amp;SUBSTITUTE(근태!L8,":","")))</f>
        <v/>
      </c>
      <c r="G8" s="39">
        <f>IF(근태!M8="","",IF(근태!N8="",근태!M8,근태!M8&amp;" "&amp;SUBSTITUTE(근태!N8,":","")&amp;"-"&amp;SUBSTITUTE(근태!O8,":","")))</f>
        <v/>
      </c>
      <c r="H8" s="39">
        <f>IF(근태!P8="","",IF(근태!Q8="",근태!P8,근태!P8&amp;" "&amp;SUBSTITUTE(근태!Q8,":","")&amp;"-"&amp;SUBSTITUTE(근태!R8,":","")))</f>
        <v/>
      </c>
      <c r="I8" s="39">
        <f>IF(근태!S8="","",IF(근태!T8="",근태!S8,근태!S8&amp;" "&amp;SUBSTITUTE(근태!T8,":","")&amp;"-"&amp;SUBSTITUTE(근태!U8,":","")))</f>
        <v/>
      </c>
      <c r="J8" s="39">
        <f>IF(근태!V8="","",IF(근태!W8="",근태!V8,근태!V8&amp;" "&amp;SUBSTITUTE(근태!W8,":","")&amp;"-"&amp;SUBSTITUTE(근태!X8,":","")))</f>
        <v/>
      </c>
      <c r="K8" s="39">
        <f>IF(근태!Y8="","",IF(근태!Z8="",근태!Y8,근태!Y8&amp;" "&amp;SUBSTITUTE(근태!Z8,":","")&amp;"-"&amp;SUBSTITUTE(근태!AA8,":","")))</f>
        <v/>
      </c>
      <c r="L8" s="39">
        <f>IF(근태!AB8="","",IF(근태!AC8="",근태!AB8,근태!AB8&amp;" "&amp;SUBSTITUTE(근태!AC8,":","")&amp;"-"&amp;SUBSTITUTE(근태!AD8,":","")))</f>
        <v/>
      </c>
      <c r="M8" s="39">
        <f>IF(근태!AE8="","",IF(근태!AF8="",근태!AE8,근태!AE8&amp;" "&amp;SUBSTITUTE(근태!AF8,":","")&amp;"-"&amp;SUBSTITUTE(근태!AG8,":","")))</f>
        <v/>
      </c>
      <c r="N8" s="39">
        <f>IF(근태!AH8="","",IF(근태!AI8="",근태!AH8,근태!AH8&amp;" "&amp;SUBSTITUTE(근태!AI8,":","")&amp;"-"&amp;SUBSTITUTE(근태!AJ8,":","")))</f>
        <v/>
      </c>
      <c r="O8" s="39">
        <f>IF(근태!AK8="","",IF(근태!AL8="",근태!AK8,근태!AK8&amp;" "&amp;SUBSTITUTE(근태!AL8,":","")&amp;"-"&amp;SUBSTITUTE(근태!AM8,":","")))</f>
        <v/>
      </c>
      <c r="P8" s="39">
        <f>IF(근태!AN8="","",IF(근태!AO8="",근태!AN8,근태!AN8&amp;" "&amp;SUBSTITUTE(근태!AO8,":","")&amp;"-"&amp;SUBSTITUTE(근태!AP8,":","")))</f>
        <v/>
      </c>
      <c r="Q8" s="39">
        <f>IF(근태!AQ8="","",IF(근태!AR8="",근태!AQ8,근태!AQ8&amp;" "&amp;SUBSTITUTE(근태!AR8,":","")&amp;"-"&amp;SUBSTITUTE(근태!AS8,":","")))</f>
        <v/>
      </c>
      <c r="R8" s="39">
        <f>IF(근태!AT8="","",IF(근태!AU8="",근태!AT8,근태!AT8&amp;" "&amp;SUBSTITUTE(근태!AU8,":","")&amp;"-"&amp;SUBSTITUTE(근태!AV8,":","")))</f>
        <v/>
      </c>
      <c r="S8" s="39">
        <f>IF(근태!AW8="","",IF(근태!AX8="",근태!AW8,근태!AW8&amp;" "&amp;SUBSTITUTE(근태!AX8,":","")&amp;"-"&amp;SUBSTITUTE(근태!AY8,":","")))</f>
        <v/>
      </c>
      <c r="T8" s="39">
        <f>IF(근태!AZ8="","",IF(근태!BA8="",근태!AZ8,근태!AZ8&amp;" "&amp;SUBSTITUTE(근태!BA8,":","")&amp;"-"&amp;SUBSTITUTE(근태!BB8,":","")))</f>
        <v/>
      </c>
      <c r="U8" s="39">
        <f>IF(근태!BC8="","",IF(근태!BD8="",근태!BC8,근태!BC8&amp;" "&amp;SUBSTITUTE(근태!BD8,":","")&amp;"-"&amp;SUBSTITUTE(근태!BE8,":","")))</f>
        <v/>
      </c>
      <c r="V8" s="39">
        <f>IF(근태!BF8="","",IF(근태!BG8="",근태!BF8,근태!BF8&amp;" "&amp;SUBSTITUTE(근태!BG8,":","")&amp;"-"&amp;SUBSTITUTE(근태!BH8,":","")))</f>
        <v/>
      </c>
      <c r="W8" s="39">
        <f>IF(근태!BI8="","",IF(근태!BJ8="",근태!BI8,근태!BI8&amp;" "&amp;SUBSTITUTE(근태!BJ8,":","")&amp;"-"&amp;SUBSTITUTE(근태!BK8,":","")))</f>
        <v/>
      </c>
      <c r="X8" s="39">
        <f>IF(근태!BL8="","",IF(근태!BM8="",근태!BL8,근태!BL8&amp;" "&amp;SUBSTITUTE(근태!BM8,":","")&amp;"-"&amp;SUBSTITUTE(근태!BN8,":","")))</f>
        <v/>
      </c>
      <c r="Y8" s="39">
        <f>IF(근태!BO8="","",IF(근태!BP8="",근태!BO8,근태!BO8&amp;" "&amp;SUBSTITUTE(근태!BP8,":","")&amp;"-"&amp;SUBSTITUTE(근태!BQ8,":","")))</f>
        <v/>
      </c>
      <c r="Z8" s="39">
        <f>IF(근태!BR8="","",IF(근태!BS8="",근태!BR8,근태!BR8&amp;" "&amp;SUBSTITUTE(근태!BS8,":","")&amp;"-"&amp;SUBSTITUTE(근태!BT8,":","")))</f>
        <v/>
      </c>
      <c r="AA8" s="39">
        <f>IF(근태!BU8="","",IF(근태!BV8="",근태!BU8,근태!BU8&amp;" "&amp;SUBSTITUTE(근태!BV8,":","")&amp;"-"&amp;SUBSTITUTE(근태!BW8,":","")))</f>
        <v/>
      </c>
      <c r="AB8" s="39">
        <f>IF(근태!BX8="","",IF(근태!BY8="",근태!BX8,근태!BX8&amp;" "&amp;SUBSTITUTE(근태!BY8,":","")&amp;"-"&amp;SUBSTITUTE(근태!BZ8,":","")))</f>
        <v/>
      </c>
      <c r="AC8" s="39">
        <f>IF(근태!CA8="","",IF(근태!CB8="",근태!CA8,근태!CA8&amp;" "&amp;SUBSTITUTE(근태!CB8,":","")&amp;"-"&amp;SUBSTITUTE(근태!CC8,":","")))</f>
        <v/>
      </c>
      <c r="AD8" s="39">
        <f>IF(근태!CD8="","",IF(근태!CE8="",근태!CD8,근태!CD8&amp;" "&amp;SUBSTITUTE(근태!CE8,":","")&amp;"-"&amp;SUBSTITUTE(근태!CF8,":","")))</f>
        <v/>
      </c>
      <c r="AE8" s="39">
        <f>IF(근태!CG8="","",IF(근태!CH8="",근태!CG8,근태!CG8&amp;" "&amp;SUBSTITUTE(근태!CH8,":","")&amp;"-"&amp;SUBSTITUTE(근태!CI8,":","")))</f>
        <v/>
      </c>
      <c r="AF8" s="39">
        <f>IF(근태!CJ8="","",IF(근태!CK8="",근태!CJ8,근태!CJ8&amp;" "&amp;SUBSTITUTE(근태!CK8,":","")&amp;"-"&amp;SUBSTITUTE(근태!CL8,":","")))</f>
        <v/>
      </c>
      <c r="AG8" s="39">
        <f>IF(근태!CM8="","",IF(근태!CN8="",근태!CM8,근태!CM8&amp;" "&amp;SUBSTITUTE(근태!CN8,":","")&amp;"-"&amp;SUBSTITUTE(근태!CO8,":","")))</f>
        <v/>
      </c>
      <c r="AH8" s="39">
        <f>IF(근태!CP8="","",IF(근태!CQ8="",근태!CP8,근태!CP8&amp;" "&amp;SUBSTITUTE(근태!CQ8,":","")&amp;"-"&amp;SUBSTITUTE(근태!CR8,":","")))</f>
        <v/>
      </c>
    </row>
    <row r="9">
      <c r="A9" s="15">
        <f>IF(명부!A3="","",명부!A3)</f>
        <v/>
      </c>
      <c r="B9" s="16">
        <f>IF(명부!C3="","",명부!C3)</f>
        <v/>
      </c>
      <c r="C9" s="17">
        <f>IF(명부!E3="","",명부!E3)</f>
        <v/>
      </c>
      <c r="D9" s="39">
        <f>IF(근태!D9="","",IF(근태!E9="",근태!D9,근태!D9&amp;" "&amp;SUBSTITUTE(근태!E9,":","")&amp;"-"&amp;SUBSTITUTE(근태!F9,":","")))</f>
        <v/>
      </c>
      <c r="E9" s="39">
        <f>IF(근태!G9="","",IF(근태!H9="",근태!G9,근태!G9&amp;" "&amp;SUBSTITUTE(근태!H9,":","")&amp;"-"&amp;SUBSTITUTE(근태!I9,":","")))</f>
        <v/>
      </c>
      <c r="F9" s="39">
        <f>IF(근태!J9="","",IF(근태!K9="",근태!J9,근태!J9&amp;" "&amp;SUBSTITUTE(근태!K9,":","")&amp;"-"&amp;SUBSTITUTE(근태!L9,":","")))</f>
        <v/>
      </c>
      <c r="G9" s="39">
        <f>IF(근태!M9="","",IF(근태!N9="",근태!M9,근태!M9&amp;" "&amp;SUBSTITUTE(근태!N9,":","")&amp;"-"&amp;SUBSTITUTE(근태!O9,":","")))</f>
        <v/>
      </c>
      <c r="H9" s="39">
        <f>IF(근태!P9="","",IF(근태!Q9="",근태!P9,근태!P9&amp;" "&amp;SUBSTITUTE(근태!Q9,":","")&amp;"-"&amp;SUBSTITUTE(근태!R9,":","")))</f>
        <v/>
      </c>
      <c r="I9" s="39">
        <f>IF(근태!S9="","",IF(근태!T9="",근태!S9,근태!S9&amp;" "&amp;SUBSTITUTE(근태!T9,":","")&amp;"-"&amp;SUBSTITUTE(근태!U9,":","")))</f>
        <v/>
      </c>
      <c r="J9" s="39">
        <f>IF(근태!V9="","",IF(근태!W9="",근태!V9,근태!V9&amp;" "&amp;SUBSTITUTE(근태!W9,":","")&amp;"-"&amp;SUBSTITUTE(근태!X9,":","")))</f>
        <v/>
      </c>
      <c r="K9" s="39">
        <f>IF(근태!Y9="","",IF(근태!Z9="",근태!Y9,근태!Y9&amp;" "&amp;SUBSTITUTE(근태!Z9,":","")&amp;"-"&amp;SUBSTITUTE(근태!AA9,":","")))</f>
        <v/>
      </c>
      <c r="L9" s="39">
        <f>IF(근태!AB9="","",IF(근태!AC9="",근태!AB9,근태!AB9&amp;" "&amp;SUBSTITUTE(근태!AC9,":","")&amp;"-"&amp;SUBSTITUTE(근태!AD9,":","")))</f>
        <v/>
      </c>
      <c r="M9" s="39">
        <f>IF(근태!AE9="","",IF(근태!AF9="",근태!AE9,근태!AE9&amp;" "&amp;SUBSTITUTE(근태!AF9,":","")&amp;"-"&amp;SUBSTITUTE(근태!AG9,":","")))</f>
        <v/>
      </c>
      <c r="N9" s="39">
        <f>IF(근태!AH9="","",IF(근태!AI9="",근태!AH9,근태!AH9&amp;" "&amp;SUBSTITUTE(근태!AI9,":","")&amp;"-"&amp;SUBSTITUTE(근태!AJ9,":","")))</f>
        <v/>
      </c>
      <c r="O9" s="39">
        <f>IF(근태!AK9="","",IF(근태!AL9="",근태!AK9,근태!AK9&amp;" "&amp;SUBSTITUTE(근태!AL9,":","")&amp;"-"&amp;SUBSTITUTE(근태!AM9,":","")))</f>
        <v/>
      </c>
      <c r="P9" s="39">
        <f>IF(근태!AN9="","",IF(근태!AO9="",근태!AN9,근태!AN9&amp;" "&amp;SUBSTITUTE(근태!AO9,":","")&amp;"-"&amp;SUBSTITUTE(근태!AP9,":","")))</f>
        <v/>
      </c>
      <c r="Q9" s="39">
        <f>IF(근태!AQ9="","",IF(근태!AR9="",근태!AQ9,근태!AQ9&amp;" "&amp;SUBSTITUTE(근태!AR9,":","")&amp;"-"&amp;SUBSTITUTE(근태!AS9,":","")))</f>
        <v/>
      </c>
      <c r="R9" s="39">
        <f>IF(근태!AT9="","",IF(근태!AU9="",근태!AT9,근태!AT9&amp;" "&amp;SUBSTITUTE(근태!AU9,":","")&amp;"-"&amp;SUBSTITUTE(근태!AV9,":","")))</f>
        <v/>
      </c>
      <c r="S9" s="39">
        <f>IF(근태!AW9="","",IF(근태!AX9="",근태!AW9,근태!AW9&amp;" "&amp;SUBSTITUTE(근태!AX9,":","")&amp;"-"&amp;SUBSTITUTE(근태!AY9,":","")))</f>
        <v/>
      </c>
      <c r="T9" s="39">
        <f>IF(근태!AZ9="","",IF(근태!BA9="",근태!AZ9,근태!AZ9&amp;" "&amp;SUBSTITUTE(근태!BA9,":","")&amp;"-"&amp;SUBSTITUTE(근태!BB9,":","")))</f>
        <v/>
      </c>
      <c r="U9" s="39">
        <f>IF(근태!BC9="","",IF(근태!BD9="",근태!BC9,근태!BC9&amp;" "&amp;SUBSTITUTE(근태!BD9,":","")&amp;"-"&amp;SUBSTITUTE(근태!BE9,":","")))</f>
        <v/>
      </c>
      <c r="V9" s="39">
        <f>IF(근태!BF9="","",IF(근태!BG9="",근태!BF9,근태!BF9&amp;" "&amp;SUBSTITUTE(근태!BG9,":","")&amp;"-"&amp;SUBSTITUTE(근태!BH9,":","")))</f>
        <v/>
      </c>
      <c r="W9" s="39">
        <f>IF(근태!BI9="","",IF(근태!BJ9="",근태!BI9,근태!BI9&amp;" "&amp;SUBSTITUTE(근태!BJ9,":","")&amp;"-"&amp;SUBSTITUTE(근태!BK9,":","")))</f>
        <v/>
      </c>
      <c r="X9" s="39">
        <f>IF(근태!BL9="","",IF(근태!BM9="",근태!BL9,근태!BL9&amp;" "&amp;SUBSTITUTE(근태!BM9,":","")&amp;"-"&amp;SUBSTITUTE(근태!BN9,":","")))</f>
        <v/>
      </c>
      <c r="Y9" s="39">
        <f>IF(근태!BO9="","",IF(근태!BP9="",근태!BO9,근태!BO9&amp;" "&amp;SUBSTITUTE(근태!BP9,":","")&amp;"-"&amp;SUBSTITUTE(근태!BQ9,":","")))</f>
        <v/>
      </c>
      <c r="Z9" s="39">
        <f>IF(근태!BR9="","",IF(근태!BS9="",근태!BR9,근태!BR9&amp;" "&amp;SUBSTITUTE(근태!BS9,":","")&amp;"-"&amp;SUBSTITUTE(근태!BT9,":","")))</f>
        <v/>
      </c>
      <c r="AA9" s="39">
        <f>IF(근태!BU9="","",IF(근태!BV9="",근태!BU9,근태!BU9&amp;" "&amp;SUBSTITUTE(근태!BV9,":","")&amp;"-"&amp;SUBSTITUTE(근태!BW9,":","")))</f>
        <v/>
      </c>
      <c r="AB9" s="39">
        <f>IF(근태!BX9="","",IF(근태!BY9="",근태!BX9,근태!BX9&amp;" "&amp;SUBSTITUTE(근태!BY9,":","")&amp;"-"&amp;SUBSTITUTE(근태!BZ9,":","")))</f>
        <v/>
      </c>
      <c r="AC9" s="39">
        <f>IF(근태!CA9="","",IF(근태!CB9="",근태!CA9,근태!CA9&amp;" "&amp;SUBSTITUTE(근태!CB9,":","")&amp;"-"&amp;SUBSTITUTE(근태!CC9,":","")))</f>
        <v/>
      </c>
      <c r="AD9" s="39">
        <f>IF(근태!CD9="","",IF(근태!CE9="",근태!CD9,근태!CD9&amp;" "&amp;SUBSTITUTE(근태!CE9,":","")&amp;"-"&amp;SUBSTITUTE(근태!CF9,":","")))</f>
        <v/>
      </c>
      <c r="AE9" s="39">
        <f>IF(근태!CG9="","",IF(근태!CH9="",근태!CG9,근태!CG9&amp;" "&amp;SUBSTITUTE(근태!CH9,":","")&amp;"-"&amp;SUBSTITUTE(근태!CI9,":","")))</f>
        <v/>
      </c>
      <c r="AF9" s="39">
        <f>IF(근태!CJ9="","",IF(근태!CK9="",근태!CJ9,근태!CJ9&amp;" "&amp;SUBSTITUTE(근태!CK9,":","")&amp;"-"&amp;SUBSTITUTE(근태!CL9,":","")))</f>
        <v/>
      </c>
      <c r="AG9" s="39">
        <f>IF(근태!CM9="","",IF(근태!CN9="",근태!CM9,근태!CM9&amp;" "&amp;SUBSTITUTE(근태!CN9,":","")&amp;"-"&amp;SUBSTITUTE(근태!CO9,":","")))</f>
        <v/>
      </c>
      <c r="AH9" s="39">
        <f>IF(근태!CP9="","",IF(근태!CQ9="",근태!CP9,근태!CP9&amp;" "&amp;SUBSTITUTE(근태!CQ9,":","")&amp;"-"&amp;SUBSTITUTE(근태!CR9,":","")))</f>
        <v/>
      </c>
    </row>
    <row r="10">
      <c r="A10" s="15">
        <f>IF(명부!A4="","",명부!A4)</f>
        <v/>
      </c>
      <c r="B10" s="16">
        <f>IF(명부!C4="","",명부!C4)</f>
        <v/>
      </c>
      <c r="C10" s="17">
        <f>IF(명부!E4="","",명부!E4)</f>
        <v/>
      </c>
      <c r="D10" s="39">
        <f>IF(근태!D10="","",IF(근태!E10="",근태!D10,근태!D10&amp;" "&amp;SUBSTITUTE(근태!E10,":","")&amp;"-"&amp;SUBSTITUTE(근태!F10,":","")))</f>
        <v/>
      </c>
      <c r="E10" s="39">
        <f>IF(근태!G10="","",IF(근태!H10="",근태!G10,근태!G10&amp;" "&amp;SUBSTITUTE(근태!H10,":","")&amp;"-"&amp;SUBSTITUTE(근태!I10,":","")))</f>
        <v/>
      </c>
      <c r="F10" s="39">
        <f>IF(근태!J10="","",IF(근태!K10="",근태!J10,근태!J10&amp;" "&amp;SUBSTITUTE(근태!K10,":","")&amp;"-"&amp;SUBSTITUTE(근태!L10,":","")))</f>
        <v/>
      </c>
      <c r="G10" s="39">
        <f>IF(근태!M10="","",IF(근태!N10="",근태!M10,근태!M10&amp;" "&amp;SUBSTITUTE(근태!N10,":","")&amp;"-"&amp;SUBSTITUTE(근태!O10,":","")))</f>
        <v/>
      </c>
      <c r="H10" s="39">
        <f>IF(근태!P10="","",IF(근태!Q10="",근태!P10,근태!P10&amp;" "&amp;SUBSTITUTE(근태!Q10,":","")&amp;"-"&amp;SUBSTITUTE(근태!R10,":","")))</f>
        <v/>
      </c>
      <c r="I10" s="39">
        <f>IF(근태!S10="","",IF(근태!T10="",근태!S10,근태!S10&amp;" "&amp;SUBSTITUTE(근태!T10,":","")&amp;"-"&amp;SUBSTITUTE(근태!U10,":","")))</f>
        <v/>
      </c>
      <c r="J10" s="39">
        <f>IF(근태!V10="","",IF(근태!W10="",근태!V10,근태!V10&amp;" "&amp;SUBSTITUTE(근태!W10,":","")&amp;"-"&amp;SUBSTITUTE(근태!X10,":","")))</f>
        <v/>
      </c>
      <c r="K10" s="39">
        <f>IF(근태!Y10="","",IF(근태!Z10="",근태!Y10,근태!Y10&amp;" "&amp;SUBSTITUTE(근태!Z10,":","")&amp;"-"&amp;SUBSTITUTE(근태!AA10,":","")))</f>
        <v/>
      </c>
      <c r="L10" s="39">
        <f>IF(근태!AB10="","",IF(근태!AC10="",근태!AB10,근태!AB10&amp;" "&amp;SUBSTITUTE(근태!AC10,":","")&amp;"-"&amp;SUBSTITUTE(근태!AD10,":","")))</f>
        <v/>
      </c>
      <c r="M10" s="39">
        <f>IF(근태!AE10="","",IF(근태!AF10="",근태!AE10,근태!AE10&amp;" "&amp;SUBSTITUTE(근태!AF10,":","")&amp;"-"&amp;SUBSTITUTE(근태!AG10,":","")))</f>
        <v/>
      </c>
      <c r="N10" s="39">
        <f>IF(근태!AH10="","",IF(근태!AI10="",근태!AH10,근태!AH10&amp;" "&amp;SUBSTITUTE(근태!AI10,":","")&amp;"-"&amp;SUBSTITUTE(근태!AJ10,":","")))</f>
        <v/>
      </c>
      <c r="O10" s="39">
        <f>IF(근태!AK10="","",IF(근태!AL10="",근태!AK10,근태!AK10&amp;" "&amp;SUBSTITUTE(근태!AL10,":","")&amp;"-"&amp;SUBSTITUTE(근태!AM10,":","")))</f>
        <v/>
      </c>
      <c r="P10" s="39">
        <f>IF(근태!AN10="","",IF(근태!AO10="",근태!AN10,근태!AN10&amp;" "&amp;SUBSTITUTE(근태!AO10,":","")&amp;"-"&amp;SUBSTITUTE(근태!AP10,":","")))</f>
        <v/>
      </c>
      <c r="Q10" s="39">
        <f>IF(근태!AQ10="","",IF(근태!AR10="",근태!AQ10,근태!AQ10&amp;" "&amp;SUBSTITUTE(근태!AR10,":","")&amp;"-"&amp;SUBSTITUTE(근태!AS10,":","")))</f>
        <v/>
      </c>
      <c r="R10" s="39">
        <f>IF(근태!AT10="","",IF(근태!AU10="",근태!AT10,근태!AT10&amp;" "&amp;SUBSTITUTE(근태!AU10,":","")&amp;"-"&amp;SUBSTITUTE(근태!AV10,":","")))</f>
        <v/>
      </c>
      <c r="S10" s="39">
        <f>IF(근태!AW10="","",IF(근태!AX10="",근태!AW10,근태!AW10&amp;" "&amp;SUBSTITUTE(근태!AX10,":","")&amp;"-"&amp;SUBSTITUTE(근태!AY10,":","")))</f>
        <v/>
      </c>
      <c r="T10" s="39">
        <f>IF(근태!AZ10="","",IF(근태!BA10="",근태!AZ10,근태!AZ10&amp;" "&amp;SUBSTITUTE(근태!BA10,":","")&amp;"-"&amp;SUBSTITUTE(근태!BB10,":","")))</f>
        <v/>
      </c>
      <c r="U10" s="39">
        <f>IF(근태!BC10="","",IF(근태!BD10="",근태!BC10,근태!BC10&amp;" "&amp;SUBSTITUTE(근태!BD10,":","")&amp;"-"&amp;SUBSTITUTE(근태!BE10,":","")))</f>
        <v/>
      </c>
      <c r="V10" s="39">
        <f>IF(근태!BF10="","",IF(근태!BG10="",근태!BF10,근태!BF10&amp;" "&amp;SUBSTITUTE(근태!BG10,":","")&amp;"-"&amp;SUBSTITUTE(근태!BH10,":","")))</f>
        <v/>
      </c>
      <c r="W10" s="39">
        <f>IF(근태!BI10="","",IF(근태!BJ10="",근태!BI10,근태!BI10&amp;" "&amp;SUBSTITUTE(근태!BJ10,":","")&amp;"-"&amp;SUBSTITUTE(근태!BK10,":","")))</f>
        <v/>
      </c>
      <c r="X10" s="39">
        <f>IF(근태!BL10="","",IF(근태!BM10="",근태!BL10,근태!BL10&amp;" "&amp;SUBSTITUTE(근태!BM10,":","")&amp;"-"&amp;SUBSTITUTE(근태!BN10,":","")))</f>
        <v/>
      </c>
      <c r="Y10" s="39">
        <f>IF(근태!BO10="","",IF(근태!BP10="",근태!BO10,근태!BO10&amp;" "&amp;SUBSTITUTE(근태!BP10,":","")&amp;"-"&amp;SUBSTITUTE(근태!BQ10,":","")))</f>
        <v/>
      </c>
      <c r="Z10" s="39">
        <f>IF(근태!BR10="","",IF(근태!BS10="",근태!BR10,근태!BR10&amp;" "&amp;SUBSTITUTE(근태!BS10,":","")&amp;"-"&amp;SUBSTITUTE(근태!BT10,":","")))</f>
        <v/>
      </c>
      <c r="AA10" s="39">
        <f>IF(근태!BU10="","",IF(근태!BV10="",근태!BU10,근태!BU10&amp;" "&amp;SUBSTITUTE(근태!BV10,":","")&amp;"-"&amp;SUBSTITUTE(근태!BW10,":","")))</f>
        <v/>
      </c>
      <c r="AB10" s="39">
        <f>IF(근태!BX10="","",IF(근태!BY10="",근태!BX10,근태!BX10&amp;" "&amp;SUBSTITUTE(근태!BY10,":","")&amp;"-"&amp;SUBSTITUTE(근태!BZ10,":","")))</f>
        <v/>
      </c>
      <c r="AC10" s="39">
        <f>IF(근태!CA10="","",IF(근태!CB10="",근태!CA10,근태!CA10&amp;" "&amp;SUBSTITUTE(근태!CB10,":","")&amp;"-"&amp;SUBSTITUTE(근태!CC10,":","")))</f>
        <v/>
      </c>
      <c r="AD10" s="39">
        <f>IF(근태!CD10="","",IF(근태!CE10="",근태!CD10,근태!CD10&amp;" "&amp;SUBSTITUTE(근태!CE10,":","")&amp;"-"&amp;SUBSTITUTE(근태!CF10,":","")))</f>
        <v/>
      </c>
      <c r="AE10" s="39">
        <f>IF(근태!CG10="","",IF(근태!CH10="",근태!CG10,근태!CG10&amp;" "&amp;SUBSTITUTE(근태!CH10,":","")&amp;"-"&amp;SUBSTITUTE(근태!CI10,":","")))</f>
        <v/>
      </c>
      <c r="AF10" s="39">
        <f>IF(근태!CJ10="","",IF(근태!CK10="",근태!CJ10,근태!CJ10&amp;" "&amp;SUBSTITUTE(근태!CK10,":","")&amp;"-"&amp;SUBSTITUTE(근태!CL10,":","")))</f>
        <v/>
      </c>
      <c r="AG10" s="39">
        <f>IF(근태!CM10="","",IF(근태!CN10="",근태!CM10,근태!CM10&amp;" "&amp;SUBSTITUTE(근태!CN10,":","")&amp;"-"&amp;SUBSTITUTE(근태!CO10,":","")))</f>
        <v/>
      </c>
      <c r="AH10" s="39">
        <f>IF(근태!CP10="","",IF(근태!CQ10="",근태!CP10,근태!CP10&amp;" "&amp;SUBSTITUTE(근태!CQ10,":","")&amp;"-"&amp;SUBSTITUTE(근태!CR10,":","")))</f>
        <v/>
      </c>
    </row>
    <row r="11">
      <c r="A11" s="15">
        <f>IF(명부!A5="","",명부!A5)</f>
        <v/>
      </c>
      <c r="B11" s="16">
        <f>IF(명부!C5="","",명부!C5)</f>
        <v/>
      </c>
      <c r="C11" s="17">
        <f>IF(명부!E5="","",명부!E5)</f>
        <v/>
      </c>
      <c r="D11" s="39">
        <f>IF(근태!D11="","",IF(근태!E11="",근태!D11,근태!D11&amp;" "&amp;SUBSTITUTE(근태!E11,":","")&amp;"-"&amp;SUBSTITUTE(근태!F11,":","")))</f>
        <v/>
      </c>
      <c r="E11" s="39">
        <f>IF(근태!G11="","",IF(근태!H11="",근태!G11,근태!G11&amp;" "&amp;SUBSTITUTE(근태!H11,":","")&amp;"-"&amp;SUBSTITUTE(근태!I11,":","")))</f>
        <v/>
      </c>
      <c r="F11" s="39">
        <f>IF(근태!J11="","",IF(근태!K11="",근태!J11,근태!J11&amp;" "&amp;SUBSTITUTE(근태!K11,":","")&amp;"-"&amp;SUBSTITUTE(근태!L11,":","")))</f>
        <v/>
      </c>
      <c r="G11" s="39">
        <f>IF(근태!M11="","",IF(근태!N11="",근태!M11,근태!M11&amp;" "&amp;SUBSTITUTE(근태!N11,":","")&amp;"-"&amp;SUBSTITUTE(근태!O11,":","")))</f>
        <v/>
      </c>
      <c r="H11" s="39">
        <f>IF(근태!P11="","",IF(근태!Q11="",근태!P11,근태!P11&amp;" "&amp;SUBSTITUTE(근태!Q11,":","")&amp;"-"&amp;SUBSTITUTE(근태!R11,":","")))</f>
        <v/>
      </c>
      <c r="I11" s="39">
        <f>IF(근태!S11="","",IF(근태!T11="",근태!S11,근태!S11&amp;" "&amp;SUBSTITUTE(근태!T11,":","")&amp;"-"&amp;SUBSTITUTE(근태!U11,":","")))</f>
        <v/>
      </c>
      <c r="J11" s="39">
        <f>IF(근태!V11="","",IF(근태!W11="",근태!V11,근태!V11&amp;" "&amp;SUBSTITUTE(근태!W11,":","")&amp;"-"&amp;SUBSTITUTE(근태!X11,":","")))</f>
        <v/>
      </c>
      <c r="K11" s="39">
        <f>IF(근태!Y11="","",IF(근태!Z11="",근태!Y11,근태!Y11&amp;" "&amp;SUBSTITUTE(근태!Z11,":","")&amp;"-"&amp;SUBSTITUTE(근태!AA11,":","")))</f>
        <v/>
      </c>
      <c r="L11" s="39">
        <f>IF(근태!AB11="","",IF(근태!AC11="",근태!AB11,근태!AB11&amp;" "&amp;SUBSTITUTE(근태!AC11,":","")&amp;"-"&amp;SUBSTITUTE(근태!AD11,":","")))</f>
        <v/>
      </c>
      <c r="M11" s="39">
        <f>IF(근태!AE11="","",IF(근태!AF11="",근태!AE11,근태!AE11&amp;" "&amp;SUBSTITUTE(근태!AF11,":","")&amp;"-"&amp;SUBSTITUTE(근태!AG11,":","")))</f>
        <v/>
      </c>
      <c r="N11" s="39">
        <f>IF(근태!AH11="","",IF(근태!AI11="",근태!AH11,근태!AH11&amp;" "&amp;SUBSTITUTE(근태!AI11,":","")&amp;"-"&amp;SUBSTITUTE(근태!AJ11,":","")))</f>
        <v/>
      </c>
      <c r="O11" s="39">
        <f>IF(근태!AK11="","",IF(근태!AL11="",근태!AK11,근태!AK11&amp;" "&amp;SUBSTITUTE(근태!AL11,":","")&amp;"-"&amp;SUBSTITUTE(근태!AM11,":","")))</f>
        <v/>
      </c>
      <c r="P11" s="39">
        <f>IF(근태!AN11="","",IF(근태!AO11="",근태!AN11,근태!AN11&amp;" "&amp;SUBSTITUTE(근태!AO11,":","")&amp;"-"&amp;SUBSTITUTE(근태!AP11,":","")))</f>
        <v/>
      </c>
      <c r="Q11" s="39">
        <f>IF(근태!AQ11="","",IF(근태!AR11="",근태!AQ11,근태!AQ11&amp;" "&amp;SUBSTITUTE(근태!AR11,":","")&amp;"-"&amp;SUBSTITUTE(근태!AS11,":","")))</f>
        <v/>
      </c>
      <c r="R11" s="39">
        <f>IF(근태!AT11="","",IF(근태!AU11="",근태!AT11,근태!AT11&amp;" "&amp;SUBSTITUTE(근태!AU11,":","")&amp;"-"&amp;SUBSTITUTE(근태!AV11,":","")))</f>
        <v/>
      </c>
      <c r="S11" s="39">
        <f>IF(근태!AW11="","",IF(근태!AX11="",근태!AW11,근태!AW11&amp;" "&amp;SUBSTITUTE(근태!AX11,":","")&amp;"-"&amp;SUBSTITUTE(근태!AY11,":","")))</f>
        <v/>
      </c>
      <c r="T11" s="39">
        <f>IF(근태!AZ11="","",IF(근태!BA11="",근태!AZ11,근태!AZ11&amp;" "&amp;SUBSTITUTE(근태!BA11,":","")&amp;"-"&amp;SUBSTITUTE(근태!BB11,":","")))</f>
        <v/>
      </c>
      <c r="U11" s="39">
        <f>IF(근태!BC11="","",IF(근태!BD11="",근태!BC11,근태!BC11&amp;" "&amp;SUBSTITUTE(근태!BD11,":","")&amp;"-"&amp;SUBSTITUTE(근태!BE11,":","")))</f>
        <v/>
      </c>
      <c r="V11" s="39">
        <f>IF(근태!BF11="","",IF(근태!BG11="",근태!BF11,근태!BF11&amp;" "&amp;SUBSTITUTE(근태!BG11,":","")&amp;"-"&amp;SUBSTITUTE(근태!BH11,":","")))</f>
        <v/>
      </c>
      <c r="W11" s="39">
        <f>IF(근태!BI11="","",IF(근태!BJ11="",근태!BI11,근태!BI11&amp;" "&amp;SUBSTITUTE(근태!BJ11,":","")&amp;"-"&amp;SUBSTITUTE(근태!BK11,":","")))</f>
        <v/>
      </c>
      <c r="X11" s="39">
        <f>IF(근태!BL11="","",IF(근태!BM11="",근태!BL11,근태!BL11&amp;" "&amp;SUBSTITUTE(근태!BM11,":","")&amp;"-"&amp;SUBSTITUTE(근태!BN11,":","")))</f>
        <v/>
      </c>
      <c r="Y11" s="39">
        <f>IF(근태!BO11="","",IF(근태!BP11="",근태!BO11,근태!BO11&amp;" "&amp;SUBSTITUTE(근태!BP11,":","")&amp;"-"&amp;SUBSTITUTE(근태!BQ11,":","")))</f>
        <v/>
      </c>
      <c r="Z11" s="39">
        <f>IF(근태!BR11="","",IF(근태!BS11="",근태!BR11,근태!BR11&amp;" "&amp;SUBSTITUTE(근태!BS11,":","")&amp;"-"&amp;SUBSTITUTE(근태!BT11,":","")))</f>
        <v/>
      </c>
      <c r="AA11" s="39">
        <f>IF(근태!BU11="","",IF(근태!BV11="",근태!BU11,근태!BU11&amp;" "&amp;SUBSTITUTE(근태!BV11,":","")&amp;"-"&amp;SUBSTITUTE(근태!BW11,":","")))</f>
        <v/>
      </c>
      <c r="AB11" s="39">
        <f>IF(근태!BX11="","",IF(근태!BY11="",근태!BX11,근태!BX11&amp;" "&amp;SUBSTITUTE(근태!BY11,":","")&amp;"-"&amp;SUBSTITUTE(근태!BZ11,":","")))</f>
        <v/>
      </c>
      <c r="AC11" s="39">
        <f>IF(근태!CA11="","",IF(근태!CB11="",근태!CA11,근태!CA11&amp;" "&amp;SUBSTITUTE(근태!CB11,":","")&amp;"-"&amp;SUBSTITUTE(근태!CC11,":","")))</f>
        <v/>
      </c>
      <c r="AD11" s="39">
        <f>IF(근태!CD11="","",IF(근태!CE11="",근태!CD11,근태!CD11&amp;" "&amp;SUBSTITUTE(근태!CE11,":","")&amp;"-"&amp;SUBSTITUTE(근태!CF11,":","")))</f>
        <v/>
      </c>
      <c r="AE11" s="39">
        <f>IF(근태!CG11="","",IF(근태!CH11="",근태!CG11,근태!CG11&amp;" "&amp;SUBSTITUTE(근태!CH11,":","")&amp;"-"&amp;SUBSTITUTE(근태!CI11,":","")))</f>
        <v/>
      </c>
      <c r="AF11" s="39">
        <f>IF(근태!CJ11="","",IF(근태!CK11="",근태!CJ11,근태!CJ11&amp;" "&amp;SUBSTITUTE(근태!CK11,":","")&amp;"-"&amp;SUBSTITUTE(근태!CL11,":","")))</f>
        <v/>
      </c>
      <c r="AG11" s="39">
        <f>IF(근태!CM11="","",IF(근태!CN11="",근태!CM11,근태!CM11&amp;" "&amp;SUBSTITUTE(근태!CN11,":","")&amp;"-"&amp;SUBSTITUTE(근태!CO11,":","")))</f>
        <v/>
      </c>
      <c r="AH11" s="39">
        <f>IF(근태!CP11="","",IF(근태!CQ11="",근태!CP11,근태!CP11&amp;" "&amp;SUBSTITUTE(근태!CQ11,":","")&amp;"-"&amp;SUBSTITUTE(근태!CR11,":","")))</f>
        <v/>
      </c>
    </row>
    <row r="12">
      <c r="A12" s="15">
        <f>IF(명부!A6="","",명부!A6)</f>
        <v/>
      </c>
      <c r="B12" s="16">
        <f>IF(명부!C6="","",명부!C6)</f>
        <v/>
      </c>
      <c r="C12" s="17">
        <f>IF(명부!E6="","",명부!E6)</f>
        <v/>
      </c>
      <c r="D12" s="39">
        <f>IF(근태!D12="","",IF(근태!E12="",근태!D12,근태!D12&amp;" "&amp;SUBSTITUTE(근태!E12,":","")&amp;"-"&amp;SUBSTITUTE(근태!F12,":","")))</f>
        <v/>
      </c>
      <c r="E12" s="39">
        <f>IF(근태!G12="","",IF(근태!H12="",근태!G12,근태!G12&amp;" "&amp;SUBSTITUTE(근태!H12,":","")&amp;"-"&amp;SUBSTITUTE(근태!I12,":","")))</f>
        <v/>
      </c>
      <c r="F12" s="39">
        <f>IF(근태!J12="","",IF(근태!K12="",근태!J12,근태!J12&amp;" "&amp;SUBSTITUTE(근태!K12,":","")&amp;"-"&amp;SUBSTITUTE(근태!L12,":","")))</f>
        <v/>
      </c>
      <c r="G12" s="39">
        <f>IF(근태!M12="","",IF(근태!N12="",근태!M12,근태!M12&amp;" "&amp;SUBSTITUTE(근태!N12,":","")&amp;"-"&amp;SUBSTITUTE(근태!O12,":","")))</f>
        <v/>
      </c>
      <c r="H12" s="39">
        <f>IF(근태!P12="","",IF(근태!Q12="",근태!P12,근태!P12&amp;" "&amp;SUBSTITUTE(근태!Q12,":","")&amp;"-"&amp;SUBSTITUTE(근태!R12,":","")))</f>
        <v/>
      </c>
      <c r="I12" s="39">
        <f>IF(근태!S12="","",IF(근태!T12="",근태!S12,근태!S12&amp;" "&amp;SUBSTITUTE(근태!T12,":","")&amp;"-"&amp;SUBSTITUTE(근태!U12,":","")))</f>
        <v/>
      </c>
      <c r="J12" s="39">
        <f>IF(근태!V12="","",IF(근태!W12="",근태!V12,근태!V12&amp;" "&amp;SUBSTITUTE(근태!W12,":","")&amp;"-"&amp;SUBSTITUTE(근태!X12,":","")))</f>
        <v/>
      </c>
      <c r="K12" s="39">
        <f>IF(근태!Y12="","",IF(근태!Z12="",근태!Y12,근태!Y12&amp;" "&amp;SUBSTITUTE(근태!Z12,":","")&amp;"-"&amp;SUBSTITUTE(근태!AA12,":","")))</f>
        <v/>
      </c>
      <c r="L12" s="39">
        <f>IF(근태!AB12="","",IF(근태!AC12="",근태!AB12,근태!AB12&amp;" "&amp;SUBSTITUTE(근태!AC12,":","")&amp;"-"&amp;SUBSTITUTE(근태!AD12,":","")))</f>
        <v/>
      </c>
      <c r="M12" s="39">
        <f>IF(근태!AE12="","",IF(근태!AF12="",근태!AE12,근태!AE12&amp;" "&amp;SUBSTITUTE(근태!AF12,":","")&amp;"-"&amp;SUBSTITUTE(근태!AG12,":","")))</f>
        <v/>
      </c>
      <c r="N12" s="39">
        <f>IF(근태!AH12="","",IF(근태!AI12="",근태!AH12,근태!AH12&amp;" "&amp;SUBSTITUTE(근태!AI12,":","")&amp;"-"&amp;SUBSTITUTE(근태!AJ12,":","")))</f>
        <v/>
      </c>
      <c r="O12" s="39">
        <f>IF(근태!AK12="","",IF(근태!AL12="",근태!AK12,근태!AK12&amp;" "&amp;SUBSTITUTE(근태!AL12,":","")&amp;"-"&amp;SUBSTITUTE(근태!AM12,":","")))</f>
        <v/>
      </c>
      <c r="P12" s="39">
        <f>IF(근태!AN12="","",IF(근태!AO12="",근태!AN12,근태!AN12&amp;" "&amp;SUBSTITUTE(근태!AO12,":","")&amp;"-"&amp;SUBSTITUTE(근태!AP12,":","")))</f>
        <v/>
      </c>
      <c r="Q12" s="39">
        <f>IF(근태!AQ12="","",IF(근태!AR12="",근태!AQ12,근태!AQ12&amp;" "&amp;SUBSTITUTE(근태!AR12,":","")&amp;"-"&amp;SUBSTITUTE(근태!AS12,":","")))</f>
        <v/>
      </c>
      <c r="R12" s="39">
        <f>IF(근태!AT12="","",IF(근태!AU12="",근태!AT12,근태!AT12&amp;" "&amp;SUBSTITUTE(근태!AU12,":","")&amp;"-"&amp;SUBSTITUTE(근태!AV12,":","")))</f>
        <v/>
      </c>
      <c r="S12" s="39">
        <f>IF(근태!AW12="","",IF(근태!AX12="",근태!AW12,근태!AW12&amp;" "&amp;SUBSTITUTE(근태!AX12,":","")&amp;"-"&amp;SUBSTITUTE(근태!AY12,":","")))</f>
        <v/>
      </c>
      <c r="T12" s="39">
        <f>IF(근태!AZ12="","",IF(근태!BA12="",근태!AZ12,근태!AZ12&amp;" "&amp;SUBSTITUTE(근태!BA12,":","")&amp;"-"&amp;SUBSTITUTE(근태!BB12,":","")))</f>
        <v/>
      </c>
      <c r="U12" s="39">
        <f>IF(근태!BC12="","",IF(근태!BD12="",근태!BC12,근태!BC12&amp;" "&amp;SUBSTITUTE(근태!BD12,":","")&amp;"-"&amp;SUBSTITUTE(근태!BE12,":","")))</f>
        <v/>
      </c>
      <c r="V12" s="39">
        <f>IF(근태!BF12="","",IF(근태!BG12="",근태!BF12,근태!BF12&amp;" "&amp;SUBSTITUTE(근태!BG12,":","")&amp;"-"&amp;SUBSTITUTE(근태!BH12,":","")))</f>
        <v/>
      </c>
      <c r="W12" s="39">
        <f>IF(근태!BI12="","",IF(근태!BJ12="",근태!BI12,근태!BI12&amp;" "&amp;SUBSTITUTE(근태!BJ12,":","")&amp;"-"&amp;SUBSTITUTE(근태!BK12,":","")))</f>
        <v/>
      </c>
      <c r="X12" s="39">
        <f>IF(근태!BL12="","",IF(근태!BM12="",근태!BL12,근태!BL12&amp;" "&amp;SUBSTITUTE(근태!BM12,":","")&amp;"-"&amp;SUBSTITUTE(근태!BN12,":","")))</f>
        <v/>
      </c>
      <c r="Y12" s="39">
        <f>IF(근태!BO12="","",IF(근태!BP12="",근태!BO12,근태!BO12&amp;" "&amp;SUBSTITUTE(근태!BP12,":","")&amp;"-"&amp;SUBSTITUTE(근태!BQ12,":","")))</f>
        <v/>
      </c>
      <c r="Z12" s="39">
        <f>IF(근태!BR12="","",IF(근태!BS12="",근태!BR12,근태!BR12&amp;" "&amp;SUBSTITUTE(근태!BS12,":","")&amp;"-"&amp;SUBSTITUTE(근태!BT12,":","")))</f>
        <v/>
      </c>
      <c r="AA12" s="39">
        <f>IF(근태!BU12="","",IF(근태!BV12="",근태!BU12,근태!BU12&amp;" "&amp;SUBSTITUTE(근태!BV12,":","")&amp;"-"&amp;SUBSTITUTE(근태!BW12,":","")))</f>
        <v/>
      </c>
      <c r="AB12" s="39">
        <f>IF(근태!BX12="","",IF(근태!BY12="",근태!BX12,근태!BX12&amp;" "&amp;SUBSTITUTE(근태!BY12,":","")&amp;"-"&amp;SUBSTITUTE(근태!BZ12,":","")))</f>
        <v/>
      </c>
      <c r="AC12" s="39">
        <f>IF(근태!CA12="","",IF(근태!CB12="",근태!CA12,근태!CA12&amp;" "&amp;SUBSTITUTE(근태!CB12,":","")&amp;"-"&amp;SUBSTITUTE(근태!CC12,":","")))</f>
        <v/>
      </c>
      <c r="AD12" s="39">
        <f>IF(근태!CD12="","",IF(근태!CE12="",근태!CD12,근태!CD12&amp;" "&amp;SUBSTITUTE(근태!CE12,":","")&amp;"-"&amp;SUBSTITUTE(근태!CF12,":","")))</f>
        <v/>
      </c>
      <c r="AE12" s="39">
        <f>IF(근태!CG12="","",IF(근태!CH12="",근태!CG12,근태!CG12&amp;" "&amp;SUBSTITUTE(근태!CH12,":","")&amp;"-"&amp;SUBSTITUTE(근태!CI12,":","")))</f>
        <v/>
      </c>
      <c r="AF12" s="39">
        <f>IF(근태!CJ12="","",IF(근태!CK12="",근태!CJ12,근태!CJ12&amp;" "&amp;SUBSTITUTE(근태!CK12,":","")&amp;"-"&amp;SUBSTITUTE(근태!CL12,":","")))</f>
        <v/>
      </c>
      <c r="AG12" s="39">
        <f>IF(근태!CM12="","",IF(근태!CN12="",근태!CM12,근태!CM12&amp;" "&amp;SUBSTITUTE(근태!CN12,":","")&amp;"-"&amp;SUBSTITUTE(근태!CO12,":","")))</f>
        <v/>
      </c>
      <c r="AH12" s="39">
        <f>IF(근태!CP12="","",IF(근태!CQ12="",근태!CP12,근태!CP12&amp;" "&amp;SUBSTITUTE(근태!CQ12,":","")&amp;"-"&amp;SUBSTITUTE(근태!CR12,":","")))</f>
        <v/>
      </c>
    </row>
    <row r="13">
      <c r="A13" s="15">
        <f>IF(명부!A7="","",명부!A7)</f>
        <v/>
      </c>
      <c r="B13" s="16">
        <f>IF(명부!C7="","",명부!C7)</f>
        <v/>
      </c>
      <c r="C13" s="17">
        <f>IF(명부!E7="","",명부!E7)</f>
        <v/>
      </c>
      <c r="D13" s="39">
        <f>IF(근태!D13="","",IF(근태!E13="",근태!D13,근태!D13&amp;" "&amp;SUBSTITUTE(근태!E13,":","")&amp;"-"&amp;SUBSTITUTE(근태!F13,":","")))</f>
        <v/>
      </c>
      <c r="E13" s="39">
        <f>IF(근태!G13="","",IF(근태!H13="",근태!G13,근태!G13&amp;" "&amp;SUBSTITUTE(근태!H13,":","")&amp;"-"&amp;SUBSTITUTE(근태!I13,":","")))</f>
        <v/>
      </c>
      <c r="F13" s="39">
        <f>IF(근태!J13="","",IF(근태!K13="",근태!J13,근태!J13&amp;" "&amp;SUBSTITUTE(근태!K13,":","")&amp;"-"&amp;SUBSTITUTE(근태!L13,":","")))</f>
        <v/>
      </c>
      <c r="G13" s="39">
        <f>IF(근태!M13="","",IF(근태!N13="",근태!M13,근태!M13&amp;" "&amp;SUBSTITUTE(근태!N13,":","")&amp;"-"&amp;SUBSTITUTE(근태!O13,":","")))</f>
        <v/>
      </c>
      <c r="H13" s="39">
        <f>IF(근태!P13="","",IF(근태!Q13="",근태!P13,근태!P13&amp;" "&amp;SUBSTITUTE(근태!Q13,":","")&amp;"-"&amp;SUBSTITUTE(근태!R13,":","")))</f>
        <v/>
      </c>
      <c r="I13" s="39">
        <f>IF(근태!S13="","",IF(근태!T13="",근태!S13,근태!S13&amp;" "&amp;SUBSTITUTE(근태!T13,":","")&amp;"-"&amp;SUBSTITUTE(근태!U13,":","")))</f>
        <v/>
      </c>
      <c r="J13" s="39">
        <f>IF(근태!V13="","",IF(근태!W13="",근태!V13,근태!V13&amp;" "&amp;SUBSTITUTE(근태!W13,":","")&amp;"-"&amp;SUBSTITUTE(근태!X13,":","")))</f>
        <v/>
      </c>
      <c r="K13" s="39">
        <f>IF(근태!Y13="","",IF(근태!Z13="",근태!Y13,근태!Y13&amp;" "&amp;SUBSTITUTE(근태!Z13,":","")&amp;"-"&amp;SUBSTITUTE(근태!AA13,":","")))</f>
        <v/>
      </c>
      <c r="L13" s="39">
        <f>IF(근태!AB13="","",IF(근태!AC13="",근태!AB13,근태!AB13&amp;" "&amp;SUBSTITUTE(근태!AC13,":","")&amp;"-"&amp;SUBSTITUTE(근태!AD13,":","")))</f>
        <v/>
      </c>
      <c r="M13" s="39">
        <f>IF(근태!AE13="","",IF(근태!AF13="",근태!AE13,근태!AE13&amp;" "&amp;SUBSTITUTE(근태!AF13,":","")&amp;"-"&amp;SUBSTITUTE(근태!AG13,":","")))</f>
        <v/>
      </c>
      <c r="N13" s="39">
        <f>IF(근태!AH13="","",IF(근태!AI13="",근태!AH13,근태!AH13&amp;" "&amp;SUBSTITUTE(근태!AI13,":","")&amp;"-"&amp;SUBSTITUTE(근태!AJ13,":","")))</f>
        <v/>
      </c>
      <c r="O13" s="39">
        <f>IF(근태!AK13="","",IF(근태!AL13="",근태!AK13,근태!AK13&amp;" "&amp;SUBSTITUTE(근태!AL13,":","")&amp;"-"&amp;SUBSTITUTE(근태!AM13,":","")))</f>
        <v/>
      </c>
      <c r="P13" s="39">
        <f>IF(근태!AN13="","",IF(근태!AO13="",근태!AN13,근태!AN13&amp;" "&amp;SUBSTITUTE(근태!AO13,":","")&amp;"-"&amp;SUBSTITUTE(근태!AP13,":","")))</f>
        <v/>
      </c>
      <c r="Q13" s="39">
        <f>IF(근태!AQ13="","",IF(근태!AR13="",근태!AQ13,근태!AQ13&amp;" "&amp;SUBSTITUTE(근태!AR13,":","")&amp;"-"&amp;SUBSTITUTE(근태!AS13,":","")))</f>
        <v/>
      </c>
      <c r="R13" s="39">
        <f>IF(근태!AT13="","",IF(근태!AU13="",근태!AT13,근태!AT13&amp;" "&amp;SUBSTITUTE(근태!AU13,":","")&amp;"-"&amp;SUBSTITUTE(근태!AV13,":","")))</f>
        <v/>
      </c>
      <c r="S13" s="39">
        <f>IF(근태!AW13="","",IF(근태!AX13="",근태!AW13,근태!AW13&amp;" "&amp;SUBSTITUTE(근태!AX13,":","")&amp;"-"&amp;SUBSTITUTE(근태!AY13,":","")))</f>
        <v/>
      </c>
      <c r="T13" s="39">
        <f>IF(근태!AZ13="","",IF(근태!BA13="",근태!AZ13,근태!AZ13&amp;" "&amp;SUBSTITUTE(근태!BA13,":","")&amp;"-"&amp;SUBSTITUTE(근태!BB13,":","")))</f>
        <v/>
      </c>
      <c r="U13" s="39">
        <f>IF(근태!BC13="","",IF(근태!BD13="",근태!BC13,근태!BC13&amp;" "&amp;SUBSTITUTE(근태!BD13,":","")&amp;"-"&amp;SUBSTITUTE(근태!BE13,":","")))</f>
        <v/>
      </c>
      <c r="V13" s="39">
        <f>IF(근태!BF13="","",IF(근태!BG13="",근태!BF13,근태!BF13&amp;" "&amp;SUBSTITUTE(근태!BG13,":","")&amp;"-"&amp;SUBSTITUTE(근태!BH13,":","")))</f>
        <v/>
      </c>
      <c r="W13" s="39">
        <f>IF(근태!BI13="","",IF(근태!BJ13="",근태!BI13,근태!BI13&amp;" "&amp;SUBSTITUTE(근태!BJ13,":","")&amp;"-"&amp;SUBSTITUTE(근태!BK13,":","")))</f>
        <v/>
      </c>
      <c r="X13" s="39">
        <f>IF(근태!BL13="","",IF(근태!BM13="",근태!BL13,근태!BL13&amp;" "&amp;SUBSTITUTE(근태!BM13,":","")&amp;"-"&amp;SUBSTITUTE(근태!BN13,":","")))</f>
        <v/>
      </c>
      <c r="Y13" s="39">
        <f>IF(근태!BO13="","",IF(근태!BP13="",근태!BO13,근태!BO13&amp;" "&amp;SUBSTITUTE(근태!BP13,":","")&amp;"-"&amp;SUBSTITUTE(근태!BQ13,":","")))</f>
        <v/>
      </c>
      <c r="Z13" s="39">
        <f>IF(근태!BR13="","",IF(근태!BS13="",근태!BR13,근태!BR13&amp;" "&amp;SUBSTITUTE(근태!BS13,":","")&amp;"-"&amp;SUBSTITUTE(근태!BT13,":","")))</f>
        <v/>
      </c>
      <c r="AA13" s="39">
        <f>IF(근태!BU13="","",IF(근태!BV13="",근태!BU13,근태!BU13&amp;" "&amp;SUBSTITUTE(근태!BV13,":","")&amp;"-"&amp;SUBSTITUTE(근태!BW13,":","")))</f>
        <v/>
      </c>
      <c r="AB13" s="39">
        <f>IF(근태!BX13="","",IF(근태!BY13="",근태!BX13,근태!BX13&amp;" "&amp;SUBSTITUTE(근태!BY13,":","")&amp;"-"&amp;SUBSTITUTE(근태!BZ13,":","")))</f>
        <v/>
      </c>
      <c r="AC13" s="39">
        <f>IF(근태!CA13="","",IF(근태!CB13="",근태!CA13,근태!CA13&amp;" "&amp;SUBSTITUTE(근태!CB13,":","")&amp;"-"&amp;SUBSTITUTE(근태!CC13,":","")))</f>
        <v/>
      </c>
      <c r="AD13" s="39">
        <f>IF(근태!CD13="","",IF(근태!CE13="",근태!CD13,근태!CD13&amp;" "&amp;SUBSTITUTE(근태!CE13,":","")&amp;"-"&amp;SUBSTITUTE(근태!CF13,":","")))</f>
        <v/>
      </c>
      <c r="AE13" s="39">
        <f>IF(근태!CG13="","",IF(근태!CH13="",근태!CG13,근태!CG13&amp;" "&amp;SUBSTITUTE(근태!CH13,":","")&amp;"-"&amp;SUBSTITUTE(근태!CI13,":","")))</f>
        <v/>
      </c>
      <c r="AF13" s="39">
        <f>IF(근태!CJ13="","",IF(근태!CK13="",근태!CJ13,근태!CJ13&amp;" "&amp;SUBSTITUTE(근태!CK13,":","")&amp;"-"&amp;SUBSTITUTE(근태!CL13,":","")))</f>
        <v/>
      </c>
      <c r="AG13" s="39">
        <f>IF(근태!CM13="","",IF(근태!CN13="",근태!CM13,근태!CM13&amp;" "&amp;SUBSTITUTE(근태!CN13,":","")&amp;"-"&amp;SUBSTITUTE(근태!CO13,":","")))</f>
        <v/>
      </c>
      <c r="AH13" s="39">
        <f>IF(근태!CP13="","",IF(근태!CQ13="",근태!CP13,근태!CP13&amp;" "&amp;SUBSTITUTE(근태!CQ13,":","")&amp;"-"&amp;SUBSTITUTE(근태!CR13,":","")))</f>
        <v/>
      </c>
    </row>
    <row r="14">
      <c r="A14" s="15">
        <f>IF(명부!A8="","",명부!A8)</f>
        <v/>
      </c>
      <c r="B14" s="16">
        <f>IF(명부!C8="","",명부!C8)</f>
        <v/>
      </c>
      <c r="C14" s="17">
        <f>IF(명부!E8="","",명부!E8)</f>
        <v/>
      </c>
      <c r="D14" s="39">
        <f>IF(근태!D14="","",IF(근태!E14="",근태!D14,근태!D14&amp;" "&amp;SUBSTITUTE(근태!E14,":","")&amp;"-"&amp;SUBSTITUTE(근태!F14,":","")))</f>
        <v/>
      </c>
      <c r="E14" s="39">
        <f>IF(근태!G14="","",IF(근태!H14="",근태!G14,근태!G14&amp;" "&amp;SUBSTITUTE(근태!H14,":","")&amp;"-"&amp;SUBSTITUTE(근태!I14,":","")))</f>
        <v/>
      </c>
      <c r="F14" s="39">
        <f>IF(근태!J14="","",IF(근태!K14="",근태!J14,근태!J14&amp;" "&amp;SUBSTITUTE(근태!K14,":","")&amp;"-"&amp;SUBSTITUTE(근태!L14,":","")))</f>
        <v/>
      </c>
      <c r="G14" s="39">
        <f>IF(근태!M14="","",IF(근태!N14="",근태!M14,근태!M14&amp;" "&amp;SUBSTITUTE(근태!N14,":","")&amp;"-"&amp;SUBSTITUTE(근태!O14,":","")))</f>
        <v/>
      </c>
      <c r="H14" s="39">
        <f>IF(근태!P14="","",IF(근태!Q14="",근태!P14,근태!P14&amp;" "&amp;SUBSTITUTE(근태!Q14,":","")&amp;"-"&amp;SUBSTITUTE(근태!R14,":","")))</f>
        <v/>
      </c>
      <c r="I14" s="39">
        <f>IF(근태!S14="","",IF(근태!T14="",근태!S14,근태!S14&amp;" "&amp;SUBSTITUTE(근태!T14,":","")&amp;"-"&amp;SUBSTITUTE(근태!U14,":","")))</f>
        <v/>
      </c>
      <c r="J14" s="39">
        <f>IF(근태!V14="","",IF(근태!W14="",근태!V14,근태!V14&amp;" "&amp;SUBSTITUTE(근태!W14,":","")&amp;"-"&amp;SUBSTITUTE(근태!X14,":","")))</f>
        <v/>
      </c>
      <c r="K14" s="39">
        <f>IF(근태!Y14="","",IF(근태!Z14="",근태!Y14,근태!Y14&amp;" "&amp;SUBSTITUTE(근태!Z14,":","")&amp;"-"&amp;SUBSTITUTE(근태!AA14,":","")))</f>
        <v/>
      </c>
      <c r="L14" s="39">
        <f>IF(근태!AB14="","",IF(근태!AC14="",근태!AB14,근태!AB14&amp;" "&amp;SUBSTITUTE(근태!AC14,":","")&amp;"-"&amp;SUBSTITUTE(근태!AD14,":","")))</f>
        <v/>
      </c>
      <c r="M14" s="39">
        <f>IF(근태!AE14="","",IF(근태!AF14="",근태!AE14,근태!AE14&amp;" "&amp;SUBSTITUTE(근태!AF14,":","")&amp;"-"&amp;SUBSTITUTE(근태!AG14,":","")))</f>
        <v/>
      </c>
      <c r="N14" s="39">
        <f>IF(근태!AH14="","",IF(근태!AI14="",근태!AH14,근태!AH14&amp;" "&amp;SUBSTITUTE(근태!AI14,":","")&amp;"-"&amp;SUBSTITUTE(근태!AJ14,":","")))</f>
        <v/>
      </c>
      <c r="O14" s="39">
        <f>IF(근태!AK14="","",IF(근태!AL14="",근태!AK14,근태!AK14&amp;" "&amp;SUBSTITUTE(근태!AL14,":","")&amp;"-"&amp;SUBSTITUTE(근태!AM14,":","")))</f>
        <v/>
      </c>
      <c r="P14" s="39">
        <f>IF(근태!AN14="","",IF(근태!AO14="",근태!AN14,근태!AN14&amp;" "&amp;SUBSTITUTE(근태!AO14,":","")&amp;"-"&amp;SUBSTITUTE(근태!AP14,":","")))</f>
        <v/>
      </c>
      <c r="Q14" s="39">
        <f>IF(근태!AQ14="","",IF(근태!AR14="",근태!AQ14,근태!AQ14&amp;" "&amp;SUBSTITUTE(근태!AR14,":","")&amp;"-"&amp;SUBSTITUTE(근태!AS14,":","")))</f>
        <v/>
      </c>
      <c r="R14" s="39">
        <f>IF(근태!AT14="","",IF(근태!AU14="",근태!AT14,근태!AT14&amp;" "&amp;SUBSTITUTE(근태!AU14,":","")&amp;"-"&amp;SUBSTITUTE(근태!AV14,":","")))</f>
        <v/>
      </c>
      <c r="S14" s="39">
        <f>IF(근태!AW14="","",IF(근태!AX14="",근태!AW14,근태!AW14&amp;" "&amp;SUBSTITUTE(근태!AX14,":","")&amp;"-"&amp;SUBSTITUTE(근태!AY14,":","")))</f>
        <v/>
      </c>
      <c r="T14" s="39">
        <f>IF(근태!AZ14="","",IF(근태!BA14="",근태!AZ14,근태!AZ14&amp;" "&amp;SUBSTITUTE(근태!BA14,":","")&amp;"-"&amp;SUBSTITUTE(근태!BB14,":","")))</f>
        <v/>
      </c>
      <c r="U14" s="39">
        <f>IF(근태!BC14="","",IF(근태!BD14="",근태!BC14,근태!BC14&amp;" "&amp;SUBSTITUTE(근태!BD14,":","")&amp;"-"&amp;SUBSTITUTE(근태!BE14,":","")))</f>
        <v/>
      </c>
      <c r="V14" s="39">
        <f>IF(근태!BF14="","",IF(근태!BG14="",근태!BF14,근태!BF14&amp;" "&amp;SUBSTITUTE(근태!BG14,":","")&amp;"-"&amp;SUBSTITUTE(근태!BH14,":","")))</f>
        <v/>
      </c>
      <c r="W14" s="39">
        <f>IF(근태!BI14="","",IF(근태!BJ14="",근태!BI14,근태!BI14&amp;" "&amp;SUBSTITUTE(근태!BJ14,":","")&amp;"-"&amp;SUBSTITUTE(근태!BK14,":","")))</f>
        <v/>
      </c>
      <c r="X14" s="39">
        <f>IF(근태!BL14="","",IF(근태!BM14="",근태!BL14,근태!BL14&amp;" "&amp;SUBSTITUTE(근태!BM14,":","")&amp;"-"&amp;SUBSTITUTE(근태!BN14,":","")))</f>
        <v/>
      </c>
      <c r="Y14" s="39">
        <f>IF(근태!BO14="","",IF(근태!BP14="",근태!BO14,근태!BO14&amp;" "&amp;SUBSTITUTE(근태!BP14,":","")&amp;"-"&amp;SUBSTITUTE(근태!BQ14,":","")))</f>
        <v/>
      </c>
      <c r="Z14" s="39">
        <f>IF(근태!BR14="","",IF(근태!BS14="",근태!BR14,근태!BR14&amp;" "&amp;SUBSTITUTE(근태!BS14,":","")&amp;"-"&amp;SUBSTITUTE(근태!BT14,":","")))</f>
        <v/>
      </c>
      <c r="AA14" s="39">
        <f>IF(근태!BU14="","",IF(근태!BV14="",근태!BU14,근태!BU14&amp;" "&amp;SUBSTITUTE(근태!BV14,":","")&amp;"-"&amp;SUBSTITUTE(근태!BW14,":","")))</f>
        <v/>
      </c>
      <c r="AB14" s="39">
        <f>IF(근태!BX14="","",IF(근태!BY14="",근태!BX14,근태!BX14&amp;" "&amp;SUBSTITUTE(근태!BY14,":","")&amp;"-"&amp;SUBSTITUTE(근태!BZ14,":","")))</f>
        <v/>
      </c>
      <c r="AC14" s="39">
        <f>IF(근태!CA14="","",IF(근태!CB14="",근태!CA14,근태!CA14&amp;" "&amp;SUBSTITUTE(근태!CB14,":","")&amp;"-"&amp;SUBSTITUTE(근태!CC14,":","")))</f>
        <v/>
      </c>
      <c r="AD14" s="39">
        <f>IF(근태!CD14="","",IF(근태!CE14="",근태!CD14,근태!CD14&amp;" "&amp;SUBSTITUTE(근태!CE14,":","")&amp;"-"&amp;SUBSTITUTE(근태!CF14,":","")))</f>
        <v/>
      </c>
      <c r="AE14" s="39">
        <f>IF(근태!CG14="","",IF(근태!CH14="",근태!CG14,근태!CG14&amp;" "&amp;SUBSTITUTE(근태!CH14,":","")&amp;"-"&amp;SUBSTITUTE(근태!CI14,":","")))</f>
        <v/>
      </c>
      <c r="AF14" s="39">
        <f>IF(근태!CJ14="","",IF(근태!CK14="",근태!CJ14,근태!CJ14&amp;" "&amp;SUBSTITUTE(근태!CK14,":","")&amp;"-"&amp;SUBSTITUTE(근태!CL14,":","")))</f>
        <v/>
      </c>
      <c r="AG14" s="39">
        <f>IF(근태!CM14="","",IF(근태!CN14="",근태!CM14,근태!CM14&amp;" "&amp;SUBSTITUTE(근태!CN14,":","")&amp;"-"&amp;SUBSTITUTE(근태!CO14,":","")))</f>
        <v/>
      </c>
      <c r="AH14" s="39">
        <f>IF(근태!CP14="","",IF(근태!CQ14="",근태!CP14,근태!CP14&amp;" "&amp;SUBSTITUTE(근태!CQ14,":","")&amp;"-"&amp;SUBSTITUTE(근태!CR14,":","")))</f>
        <v/>
      </c>
    </row>
    <row r="15">
      <c r="A15" s="15">
        <f>IF(명부!A9="","",명부!A9)</f>
        <v/>
      </c>
      <c r="B15" s="16">
        <f>IF(명부!C9="","",명부!C9)</f>
        <v/>
      </c>
      <c r="C15" s="17">
        <f>IF(명부!E9="","",명부!E9)</f>
        <v/>
      </c>
      <c r="D15" s="39">
        <f>IF(근태!D15="","",IF(근태!E15="",근태!D15,근태!D15&amp;" "&amp;SUBSTITUTE(근태!E15,":","")&amp;"-"&amp;SUBSTITUTE(근태!F15,":","")))</f>
        <v/>
      </c>
      <c r="E15" s="39">
        <f>IF(근태!G15="","",IF(근태!H15="",근태!G15,근태!G15&amp;" "&amp;SUBSTITUTE(근태!H15,":","")&amp;"-"&amp;SUBSTITUTE(근태!I15,":","")))</f>
        <v/>
      </c>
      <c r="F15" s="39">
        <f>IF(근태!J15="","",IF(근태!K15="",근태!J15,근태!J15&amp;" "&amp;SUBSTITUTE(근태!K15,":","")&amp;"-"&amp;SUBSTITUTE(근태!L15,":","")))</f>
        <v/>
      </c>
      <c r="G15" s="39">
        <f>IF(근태!M15="","",IF(근태!N15="",근태!M15,근태!M15&amp;" "&amp;SUBSTITUTE(근태!N15,":","")&amp;"-"&amp;SUBSTITUTE(근태!O15,":","")))</f>
        <v/>
      </c>
      <c r="H15" s="39">
        <f>IF(근태!P15="","",IF(근태!Q15="",근태!P15,근태!P15&amp;" "&amp;SUBSTITUTE(근태!Q15,":","")&amp;"-"&amp;SUBSTITUTE(근태!R15,":","")))</f>
        <v/>
      </c>
      <c r="I15" s="39">
        <f>IF(근태!S15="","",IF(근태!T15="",근태!S15,근태!S15&amp;" "&amp;SUBSTITUTE(근태!T15,":","")&amp;"-"&amp;SUBSTITUTE(근태!U15,":","")))</f>
        <v/>
      </c>
      <c r="J15" s="39">
        <f>IF(근태!V15="","",IF(근태!W15="",근태!V15,근태!V15&amp;" "&amp;SUBSTITUTE(근태!W15,":","")&amp;"-"&amp;SUBSTITUTE(근태!X15,":","")))</f>
        <v/>
      </c>
      <c r="K15" s="39">
        <f>IF(근태!Y15="","",IF(근태!Z15="",근태!Y15,근태!Y15&amp;" "&amp;SUBSTITUTE(근태!Z15,":","")&amp;"-"&amp;SUBSTITUTE(근태!AA15,":","")))</f>
        <v/>
      </c>
      <c r="L15" s="39">
        <f>IF(근태!AB15="","",IF(근태!AC15="",근태!AB15,근태!AB15&amp;" "&amp;SUBSTITUTE(근태!AC15,":","")&amp;"-"&amp;SUBSTITUTE(근태!AD15,":","")))</f>
        <v/>
      </c>
      <c r="M15" s="39">
        <f>IF(근태!AE15="","",IF(근태!AF15="",근태!AE15,근태!AE15&amp;" "&amp;SUBSTITUTE(근태!AF15,":","")&amp;"-"&amp;SUBSTITUTE(근태!AG15,":","")))</f>
        <v/>
      </c>
      <c r="N15" s="39">
        <f>IF(근태!AH15="","",IF(근태!AI15="",근태!AH15,근태!AH15&amp;" "&amp;SUBSTITUTE(근태!AI15,":","")&amp;"-"&amp;SUBSTITUTE(근태!AJ15,":","")))</f>
        <v/>
      </c>
      <c r="O15" s="39">
        <f>IF(근태!AK15="","",IF(근태!AL15="",근태!AK15,근태!AK15&amp;" "&amp;SUBSTITUTE(근태!AL15,":","")&amp;"-"&amp;SUBSTITUTE(근태!AM15,":","")))</f>
        <v/>
      </c>
      <c r="P15" s="39">
        <f>IF(근태!AN15="","",IF(근태!AO15="",근태!AN15,근태!AN15&amp;" "&amp;SUBSTITUTE(근태!AO15,":","")&amp;"-"&amp;SUBSTITUTE(근태!AP15,":","")))</f>
        <v/>
      </c>
      <c r="Q15" s="39">
        <f>IF(근태!AQ15="","",IF(근태!AR15="",근태!AQ15,근태!AQ15&amp;" "&amp;SUBSTITUTE(근태!AR15,":","")&amp;"-"&amp;SUBSTITUTE(근태!AS15,":","")))</f>
        <v/>
      </c>
      <c r="R15" s="39">
        <f>IF(근태!AT15="","",IF(근태!AU15="",근태!AT15,근태!AT15&amp;" "&amp;SUBSTITUTE(근태!AU15,":","")&amp;"-"&amp;SUBSTITUTE(근태!AV15,":","")))</f>
        <v/>
      </c>
      <c r="S15" s="39">
        <f>IF(근태!AW15="","",IF(근태!AX15="",근태!AW15,근태!AW15&amp;" "&amp;SUBSTITUTE(근태!AX15,":","")&amp;"-"&amp;SUBSTITUTE(근태!AY15,":","")))</f>
        <v/>
      </c>
      <c r="T15" s="39">
        <f>IF(근태!AZ15="","",IF(근태!BA15="",근태!AZ15,근태!AZ15&amp;" "&amp;SUBSTITUTE(근태!BA15,":","")&amp;"-"&amp;SUBSTITUTE(근태!BB15,":","")))</f>
        <v/>
      </c>
      <c r="U15" s="39">
        <f>IF(근태!BC15="","",IF(근태!BD15="",근태!BC15,근태!BC15&amp;" "&amp;SUBSTITUTE(근태!BD15,":","")&amp;"-"&amp;SUBSTITUTE(근태!BE15,":","")))</f>
        <v/>
      </c>
      <c r="V15" s="39">
        <f>IF(근태!BF15="","",IF(근태!BG15="",근태!BF15,근태!BF15&amp;" "&amp;SUBSTITUTE(근태!BG15,":","")&amp;"-"&amp;SUBSTITUTE(근태!BH15,":","")))</f>
        <v/>
      </c>
      <c r="W15" s="39">
        <f>IF(근태!BI15="","",IF(근태!BJ15="",근태!BI15,근태!BI15&amp;" "&amp;SUBSTITUTE(근태!BJ15,":","")&amp;"-"&amp;SUBSTITUTE(근태!BK15,":","")))</f>
        <v/>
      </c>
      <c r="X15" s="39">
        <f>IF(근태!BL15="","",IF(근태!BM15="",근태!BL15,근태!BL15&amp;" "&amp;SUBSTITUTE(근태!BM15,":","")&amp;"-"&amp;SUBSTITUTE(근태!BN15,":","")))</f>
        <v/>
      </c>
      <c r="Y15" s="39">
        <f>IF(근태!BO15="","",IF(근태!BP15="",근태!BO15,근태!BO15&amp;" "&amp;SUBSTITUTE(근태!BP15,":","")&amp;"-"&amp;SUBSTITUTE(근태!BQ15,":","")))</f>
        <v/>
      </c>
      <c r="Z15" s="39">
        <f>IF(근태!BR15="","",IF(근태!BS15="",근태!BR15,근태!BR15&amp;" "&amp;SUBSTITUTE(근태!BS15,":","")&amp;"-"&amp;SUBSTITUTE(근태!BT15,":","")))</f>
        <v/>
      </c>
      <c r="AA15" s="39">
        <f>IF(근태!BU15="","",IF(근태!BV15="",근태!BU15,근태!BU15&amp;" "&amp;SUBSTITUTE(근태!BV15,":","")&amp;"-"&amp;SUBSTITUTE(근태!BW15,":","")))</f>
        <v/>
      </c>
      <c r="AB15" s="39">
        <f>IF(근태!BX15="","",IF(근태!BY15="",근태!BX15,근태!BX15&amp;" "&amp;SUBSTITUTE(근태!BY15,":","")&amp;"-"&amp;SUBSTITUTE(근태!BZ15,":","")))</f>
        <v/>
      </c>
      <c r="AC15" s="39">
        <f>IF(근태!CA15="","",IF(근태!CB15="",근태!CA15,근태!CA15&amp;" "&amp;SUBSTITUTE(근태!CB15,":","")&amp;"-"&amp;SUBSTITUTE(근태!CC15,":","")))</f>
        <v/>
      </c>
      <c r="AD15" s="39">
        <f>IF(근태!CD15="","",IF(근태!CE15="",근태!CD15,근태!CD15&amp;" "&amp;SUBSTITUTE(근태!CE15,":","")&amp;"-"&amp;SUBSTITUTE(근태!CF15,":","")))</f>
        <v/>
      </c>
      <c r="AE15" s="39">
        <f>IF(근태!CG15="","",IF(근태!CH15="",근태!CG15,근태!CG15&amp;" "&amp;SUBSTITUTE(근태!CH15,":","")&amp;"-"&amp;SUBSTITUTE(근태!CI15,":","")))</f>
        <v/>
      </c>
      <c r="AF15" s="39">
        <f>IF(근태!CJ15="","",IF(근태!CK15="",근태!CJ15,근태!CJ15&amp;" "&amp;SUBSTITUTE(근태!CK15,":","")&amp;"-"&amp;SUBSTITUTE(근태!CL15,":","")))</f>
        <v/>
      </c>
      <c r="AG15" s="39">
        <f>IF(근태!CM15="","",IF(근태!CN15="",근태!CM15,근태!CM15&amp;" "&amp;SUBSTITUTE(근태!CN15,":","")&amp;"-"&amp;SUBSTITUTE(근태!CO15,":","")))</f>
        <v/>
      </c>
      <c r="AH15" s="39">
        <f>IF(근태!CP15="","",IF(근태!CQ15="",근태!CP15,근태!CP15&amp;" "&amp;SUBSTITUTE(근태!CQ15,":","")&amp;"-"&amp;SUBSTITUTE(근태!CR15,":","")))</f>
        <v/>
      </c>
    </row>
    <row r="16">
      <c r="A16" s="15">
        <f>IF(명부!A10="","",명부!A10)</f>
        <v/>
      </c>
      <c r="B16" s="16">
        <f>IF(명부!C10="","",명부!C10)</f>
        <v/>
      </c>
      <c r="C16" s="17">
        <f>IF(명부!E10="","",명부!E10)</f>
        <v/>
      </c>
      <c r="D16" s="39">
        <f>IF(근태!D16="","",IF(근태!E16="",근태!D16,근태!D16&amp;" "&amp;SUBSTITUTE(근태!E16,":","")&amp;"-"&amp;SUBSTITUTE(근태!F16,":","")))</f>
        <v/>
      </c>
      <c r="E16" s="39">
        <f>IF(근태!G16="","",IF(근태!H16="",근태!G16,근태!G16&amp;" "&amp;SUBSTITUTE(근태!H16,":","")&amp;"-"&amp;SUBSTITUTE(근태!I16,":","")))</f>
        <v/>
      </c>
      <c r="F16" s="39">
        <f>IF(근태!J16="","",IF(근태!K16="",근태!J16,근태!J16&amp;" "&amp;SUBSTITUTE(근태!K16,":","")&amp;"-"&amp;SUBSTITUTE(근태!L16,":","")))</f>
        <v/>
      </c>
      <c r="G16" s="39">
        <f>IF(근태!M16="","",IF(근태!N16="",근태!M16,근태!M16&amp;" "&amp;SUBSTITUTE(근태!N16,":","")&amp;"-"&amp;SUBSTITUTE(근태!O16,":","")))</f>
        <v/>
      </c>
      <c r="H16" s="39">
        <f>IF(근태!P16="","",IF(근태!Q16="",근태!P16,근태!P16&amp;" "&amp;SUBSTITUTE(근태!Q16,":","")&amp;"-"&amp;SUBSTITUTE(근태!R16,":","")))</f>
        <v/>
      </c>
      <c r="I16" s="39">
        <f>IF(근태!S16="","",IF(근태!T16="",근태!S16,근태!S16&amp;" "&amp;SUBSTITUTE(근태!T16,":","")&amp;"-"&amp;SUBSTITUTE(근태!U16,":","")))</f>
        <v/>
      </c>
      <c r="J16" s="39">
        <f>IF(근태!V16="","",IF(근태!W16="",근태!V16,근태!V16&amp;" "&amp;SUBSTITUTE(근태!W16,":","")&amp;"-"&amp;SUBSTITUTE(근태!X16,":","")))</f>
        <v/>
      </c>
      <c r="K16" s="39">
        <f>IF(근태!Y16="","",IF(근태!Z16="",근태!Y16,근태!Y16&amp;" "&amp;SUBSTITUTE(근태!Z16,":","")&amp;"-"&amp;SUBSTITUTE(근태!AA16,":","")))</f>
        <v/>
      </c>
      <c r="L16" s="39">
        <f>IF(근태!AB16="","",IF(근태!AC16="",근태!AB16,근태!AB16&amp;" "&amp;SUBSTITUTE(근태!AC16,":","")&amp;"-"&amp;SUBSTITUTE(근태!AD16,":","")))</f>
        <v/>
      </c>
      <c r="M16" s="39">
        <f>IF(근태!AE16="","",IF(근태!AF16="",근태!AE16,근태!AE16&amp;" "&amp;SUBSTITUTE(근태!AF16,":","")&amp;"-"&amp;SUBSTITUTE(근태!AG16,":","")))</f>
        <v/>
      </c>
      <c r="N16" s="39">
        <f>IF(근태!AH16="","",IF(근태!AI16="",근태!AH16,근태!AH16&amp;" "&amp;SUBSTITUTE(근태!AI16,":","")&amp;"-"&amp;SUBSTITUTE(근태!AJ16,":","")))</f>
        <v/>
      </c>
      <c r="O16" s="39">
        <f>IF(근태!AK16="","",IF(근태!AL16="",근태!AK16,근태!AK16&amp;" "&amp;SUBSTITUTE(근태!AL16,":","")&amp;"-"&amp;SUBSTITUTE(근태!AM16,":","")))</f>
        <v/>
      </c>
      <c r="P16" s="39">
        <f>IF(근태!AN16="","",IF(근태!AO16="",근태!AN16,근태!AN16&amp;" "&amp;SUBSTITUTE(근태!AO16,":","")&amp;"-"&amp;SUBSTITUTE(근태!AP16,":","")))</f>
        <v/>
      </c>
      <c r="Q16" s="39">
        <f>IF(근태!AQ16="","",IF(근태!AR16="",근태!AQ16,근태!AQ16&amp;" "&amp;SUBSTITUTE(근태!AR16,":","")&amp;"-"&amp;SUBSTITUTE(근태!AS16,":","")))</f>
        <v/>
      </c>
      <c r="R16" s="39">
        <f>IF(근태!AT16="","",IF(근태!AU16="",근태!AT16,근태!AT16&amp;" "&amp;SUBSTITUTE(근태!AU16,":","")&amp;"-"&amp;SUBSTITUTE(근태!AV16,":","")))</f>
        <v/>
      </c>
      <c r="S16" s="39">
        <f>IF(근태!AW16="","",IF(근태!AX16="",근태!AW16,근태!AW16&amp;" "&amp;SUBSTITUTE(근태!AX16,":","")&amp;"-"&amp;SUBSTITUTE(근태!AY16,":","")))</f>
        <v/>
      </c>
      <c r="T16" s="39">
        <f>IF(근태!AZ16="","",IF(근태!BA16="",근태!AZ16,근태!AZ16&amp;" "&amp;SUBSTITUTE(근태!BA16,":","")&amp;"-"&amp;SUBSTITUTE(근태!BB16,":","")))</f>
        <v/>
      </c>
      <c r="U16" s="39">
        <f>IF(근태!BC16="","",IF(근태!BD16="",근태!BC16,근태!BC16&amp;" "&amp;SUBSTITUTE(근태!BD16,":","")&amp;"-"&amp;SUBSTITUTE(근태!BE16,":","")))</f>
        <v/>
      </c>
      <c r="V16" s="39">
        <f>IF(근태!BF16="","",IF(근태!BG16="",근태!BF16,근태!BF16&amp;" "&amp;SUBSTITUTE(근태!BG16,":","")&amp;"-"&amp;SUBSTITUTE(근태!BH16,":","")))</f>
        <v/>
      </c>
      <c r="W16" s="39">
        <f>IF(근태!BI16="","",IF(근태!BJ16="",근태!BI16,근태!BI16&amp;" "&amp;SUBSTITUTE(근태!BJ16,":","")&amp;"-"&amp;SUBSTITUTE(근태!BK16,":","")))</f>
        <v/>
      </c>
      <c r="X16" s="39">
        <f>IF(근태!BL16="","",IF(근태!BM16="",근태!BL16,근태!BL16&amp;" "&amp;SUBSTITUTE(근태!BM16,":","")&amp;"-"&amp;SUBSTITUTE(근태!BN16,":","")))</f>
        <v/>
      </c>
      <c r="Y16" s="39">
        <f>IF(근태!BO16="","",IF(근태!BP16="",근태!BO16,근태!BO16&amp;" "&amp;SUBSTITUTE(근태!BP16,":","")&amp;"-"&amp;SUBSTITUTE(근태!BQ16,":","")))</f>
        <v/>
      </c>
      <c r="Z16" s="39">
        <f>IF(근태!BR16="","",IF(근태!BS16="",근태!BR16,근태!BR16&amp;" "&amp;SUBSTITUTE(근태!BS16,":","")&amp;"-"&amp;SUBSTITUTE(근태!BT16,":","")))</f>
        <v/>
      </c>
      <c r="AA16" s="39">
        <f>IF(근태!BU16="","",IF(근태!BV16="",근태!BU16,근태!BU16&amp;" "&amp;SUBSTITUTE(근태!BV16,":","")&amp;"-"&amp;SUBSTITUTE(근태!BW16,":","")))</f>
        <v/>
      </c>
      <c r="AB16" s="39">
        <f>IF(근태!BX16="","",IF(근태!BY16="",근태!BX16,근태!BX16&amp;" "&amp;SUBSTITUTE(근태!BY16,":","")&amp;"-"&amp;SUBSTITUTE(근태!BZ16,":","")))</f>
        <v/>
      </c>
      <c r="AC16" s="39">
        <f>IF(근태!CA16="","",IF(근태!CB16="",근태!CA16,근태!CA16&amp;" "&amp;SUBSTITUTE(근태!CB16,":","")&amp;"-"&amp;SUBSTITUTE(근태!CC16,":","")))</f>
        <v/>
      </c>
      <c r="AD16" s="39">
        <f>IF(근태!CD16="","",IF(근태!CE16="",근태!CD16,근태!CD16&amp;" "&amp;SUBSTITUTE(근태!CE16,":","")&amp;"-"&amp;SUBSTITUTE(근태!CF16,":","")))</f>
        <v/>
      </c>
      <c r="AE16" s="39">
        <f>IF(근태!CG16="","",IF(근태!CH16="",근태!CG16,근태!CG16&amp;" "&amp;SUBSTITUTE(근태!CH16,":","")&amp;"-"&amp;SUBSTITUTE(근태!CI16,":","")))</f>
        <v/>
      </c>
      <c r="AF16" s="39">
        <f>IF(근태!CJ16="","",IF(근태!CK16="",근태!CJ16,근태!CJ16&amp;" "&amp;SUBSTITUTE(근태!CK16,":","")&amp;"-"&amp;SUBSTITUTE(근태!CL16,":","")))</f>
        <v/>
      </c>
      <c r="AG16" s="39">
        <f>IF(근태!CM16="","",IF(근태!CN16="",근태!CM16,근태!CM16&amp;" "&amp;SUBSTITUTE(근태!CN16,":","")&amp;"-"&amp;SUBSTITUTE(근태!CO16,":","")))</f>
        <v/>
      </c>
      <c r="AH16" s="39">
        <f>IF(근태!CP16="","",IF(근태!CQ16="",근태!CP16,근태!CP16&amp;" "&amp;SUBSTITUTE(근태!CQ16,":","")&amp;"-"&amp;SUBSTITUTE(근태!CR16,":","")))</f>
        <v/>
      </c>
    </row>
    <row r="17">
      <c r="A17" s="15">
        <f>IF(명부!A11="","",명부!A11)</f>
        <v/>
      </c>
      <c r="B17" s="16">
        <f>IF(명부!C11="","",명부!C11)</f>
        <v/>
      </c>
      <c r="C17" s="17">
        <f>IF(명부!E11="","",명부!E11)</f>
        <v/>
      </c>
      <c r="D17" s="39">
        <f>IF(근태!D17="","",IF(근태!E17="",근태!D17,근태!D17&amp;" "&amp;SUBSTITUTE(근태!E17,":","")&amp;"-"&amp;SUBSTITUTE(근태!F17,":","")))</f>
        <v/>
      </c>
      <c r="E17" s="39">
        <f>IF(근태!G17="","",IF(근태!H17="",근태!G17,근태!G17&amp;" "&amp;SUBSTITUTE(근태!H17,":","")&amp;"-"&amp;SUBSTITUTE(근태!I17,":","")))</f>
        <v/>
      </c>
      <c r="F17" s="39">
        <f>IF(근태!J17="","",IF(근태!K17="",근태!J17,근태!J17&amp;" "&amp;SUBSTITUTE(근태!K17,":","")&amp;"-"&amp;SUBSTITUTE(근태!L17,":","")))</f>
        <v/>
      </c>
      <c r="G17" s="39">
        <f>IF(근태!M17="","",IF(근태!N17="",근태!M17,근태!M17&amp;" "&amp;SUBSTITUTE(근태!N17,":","")&amp;"-"&amp;SUBSTITUTE(근태!O17,":","")))</f>
        <v/>
      </c>
      <c r="H17" s="39">
        <f>IF(근태!P17="","",IF(근태!Q17="",근태!P17,근태!P17&amp;" "&amp;SUBSTITUTE(근태!Q17,":","")&amp;"-"&amp;SUBSTITUTE(근태!R17,":","")))</f>
        <v/>
      </c>
      <c r="I17" s="39">
        <f>IF(근태!S17="","",IF(근태!T17="",근태!S17,근태!S17&amp;" "&amp;SUBSTITUTE(근태!T17,":","")&amp;"-"&amp;SUBSTITUTE(근태!U17,":","")))</f>
        <v/>
      </c>
      <c r="J17" s="39">
        <f>IF(근태!V17="","",IF(근태!W17="",근태!V17,근태!V17&amp;" "&amp;SUBSTITUTE(근태!W17,":","")&amp;"-"&amp;SUBSTITUTE(근태!X17,":","")))</f>
        <v/>
      </c>
      <c r="K17" s="39">
        <f>IF(근태!Y17="","",IF(근태!Z17="",근태!Y17,근태!Y17&amp;" "&amp;SUBSTITUTE(근태!Z17,":","")&amp;"-"&amp;SUBSTITUTE(근태!AA17,":","")))</f>
        <v/>
      </c>
      <c r="L17" s="39">
        <f>IF(근태!AB17="","",IF(근태!AC17="",근태!AB17,근태!AB17&amp;" "&amp;SUBSTITUTE(근태!AC17,":","")&amp;"-"&amp;SUBSTITUTE(근태!AD17,":","")))</f>
        <v/>
      </c>
      <c r="M17" s="39">
        <f>IF(근태!AE17="","",IF(근태!AF17="",근태!AE17,근태!AE17&amp;" "&amp;SUBSTITUTE(근태!AF17,":","")&amp;"-"&amp;SUBSTITUTE(근태!AG17,":","")))</f>
        <v/>
      </c>
      <c r="N17" s="39">
        <f>IF(근태!AH17="","",IF(근태!AI17="",근태!AH17,근태!AH17&amp;" "&amp;SUBSTITUTE(근태!AI17,":","")&amp;"-"&amp;SUBSTITUTE(근태!AJ17,":","")))</f>
        <v/>
      </c>
      <c r="O17" s="39">
        <f>IF(근태!AK17="","",IF(근태!AL17="",근태!AK17,근태!AK17&amp;" "&amp;SUBSTITUTE(근태!AL17,":","")&amp;"-"&amp;SUBSTITUTE(근태!AM17,":","")))</f>
        <v/>
      </c>
      <c r="P17" s="39">
        <f>IF(근태!AN17="","",IF(근태!AO17="",근태!AN17,근태!AN17&amp;" "&amp;SUBSTITUTE(근태!AO17,":","")&amp;"-"&amp;SUBSTITUTE(근태!AP17,":","")))</f>
        <v/>
      </c>
      <c r="Q17" s="39">
        <f>IF(근태!AQ17="","",IF(근태!AR17="",근태!AQ17,근태!AQ17&amp;" "&amp;SUBSTITUTE(근태!AR17,":","")&amp;"-"&amp;SUBSTITUTE(근태!AS17,":","")))</f>
        <v/>
      </c>
      <c r="R17" s="39">
        <f>IF(근태!AT17="","",IF(근태!AU17="",근태!AT17,근태!AT17&amp;" "&amp;SUBSTITUTE(근태!AU17,":","")&amp;"-"&amp;SUBSTITUTE(근태!AV17,":","")))</f>
        <v/>
      </c>
      <c r="S17" s="39">
        <f>IF(근태!AW17="","",IF(근태!AX17="",근태!AW17,근태!AW17&amp;" "&amp;SUBSTITUTE(근태!AX17,":","")&amp;"-"&amp;SUBSTITUTE(근태!AY17,":","")))</f>
        <v/>
      </c>
      <c r="T17" s="39">
        <f>IF(근태!AZ17="","",IF(근태!BA17="",근태!AZ17,근태!AZ17&amp;" "&amp;SUBSTITUTE(근태!BA17,":","")&amp;"-"&amp;SUBSTITUTE(근태!BB17,":","")))</f>
        <v/>
      </c>
      <c r="U17" s="39">
        <f>IF(근태!BC17="","",IF(근태!BD17="",근태!BC17,근태!BC17&amp;" "&amp;SUBSTITUTE(근태!BD17,":","")&amp;"-"&amp;SUBSTITUTE(근태!BE17,":","")))</f>
        <v/>
      </c>
      <c r="V17" s="39">
        <f>IF(근태!BF17="","",IF(근태!BG17="",근태!BF17,근태!BF17&amp;" "&amp;SUBSTITUTE(근태!BG17,":","")&amp;"-"&amp;SUBSTITUTE(근태!BH17,":","")))</f>
        <v/>
      </c>
      <c r="W17" s="39">
        <f>IF(근태!BI17="","",IF(근태!BJ17="",근태!BI17,근태!BI17&amp;" "&amp;SUBSTITUTE(근태!BJ17,":","")&amp;"-"&amp;SUBSTITUTE(근태!BK17,":","")))</f>
        <v/>
      </c>
      <c r="X17" s="39">
        <f>IF(근태!BL17="","",IF(근태!BM17="",근태!BL17,근태!BL17&amp;" "&amp;SUBSTITUTE(근태!BM17,":","")&amp;"-"&amp;SUBSTITUTE(근태!BN17,":","")))</f>
        <v/>
      </c>
      <c r="Y17" s="39">
        <f>IF(근태!BO17="","",IF(근태!BP17="",근태!BO17,근태!BO17&amp;" "&amp;SUBSTITUTE(근태!BP17,":","")&amp;"-"&amp;SUBSTITUTE(근태!BQ17,":","")))</f>
        <v/>
      </c>
      <c r="Z17" s="39">
        <f>IF(근태!BR17="","",IF(근태!BS17="",근태!BR17,근태!BR17&amp;" "&amp;SUBSTITUTE(근태!BS17,":","")&amp;"-"&amp;SUBSTITUTE(근태!BT17,":","")))</f>
        <v/>
      </c>
      <c r="AA17" s="39">
        <f>IF(근태!BU17="","",IF(근태!BV17="",근태!BU17,근태!BU17&amp;" "&amp;SUBSTITUTE(근태!BV17,":","")&amp;"-"&amp;SUBSTITUTE(근태!BW17,":","")))</f>
        <v/>
      </c>
      <c r="AB17" s="39">
        <f>IF(근태!BX17="","",IF(근태!BY17="",근태!BX17,근태!BX17&amp;" "&amp;SUBSTITUTE(근태!BY17,":","")&amp;"-"&amp;SUBSTITUTE(근태!BZ17,":","")))</f>
        <v/>
      </c>
      <c r="AC17" s="39">
        <f>IF(근태!CA17="","",IF(근태!CB17="",근태!CA17,근태!CA17&amp;" "&amp;SUBSTITUTE(근태!CB17,":","")&amp;"-"&amp;SUBSTITUTE(근태!CC17,":","")))</f>
        <v/>
      </c>
      <c r="AD17" s="39">
        <f>IF(근태!CD17="","",IF(근태!CE17="",근태!CD17,근태!CD17&amp;" "&amp;SUBSTITUTE(근태!CE17,":","")&amp;"-"&amp;SUBSTITUTE(근태!CF17,":","")))</f>
        <v/>
      </c>
      <c r="AE17" s="39">
        <f>IF(근태!CG17="","",IF(근태!CH17="",근태!CG17,근태!CG17&amp;" "&amp;SUBSTITUTE(근태!CH17,":","")&amp;"-"&amp;SUBSTITUTE(근태!CI17,":","")))</f>
        <v/>
      </c>
      <c r="AF17" s="39">
        <f>IF(근태!CJ17="","",IF(근태!CK17="",근태!CJ17,근태!CJ17&amp;" "&amp;SUBSTITUTE(근태!CK17,":","")&amp;"-"&amp;SUBSTITUTE(근태!CL17,":","")))</f>
        <v/>
      </c>
      <c r="AG17" s="39">
        <f>IF(근태!CM17="","",IF(근태!CN17="",근태!CM17,근태!CM17&amp;" "&amp;SUBSTITUTE(근태!CN17,":","")&amp;"-"&amp;SUBSTITUTE(근태!CO17,":","")))</f>
        <v/>
      </c>
      <c r="AH17" s="39">
        <f>IF(근태!CP17="","",IF(근태!CQ17="",근태!CP17,근태!CP17&amp;" "&amp;SUBSTITUTE(근태!CQ17,":","")&amp;"-"&amp;SUBSTITUTE(근태!CR17,":","")))</f>
        <v/>
      </c>
    </row>
    <row r="18">
      <c r="A18" s="15">
        <f>IF(명부!A12="","",명부!A12)</f>
        <v/>
      </c>
      <c r="B18" s="16">
        <f>IF(명부!C12="","",명부!C12)</f>
        <v/>
      </c>
      <c r="C18" s="17">
        <f>IF(명부!E12="","",명부!E12)</f>
        <v/>
      </c>
      <c r="D18" s="39">
        <f>IF(근태!D18="","",IF(근태!E18="",근태!D18,근태!D18&amp;" "&amp;SUBSTITUTE(근태!E18,":","")&amp;"-"&amp;SUBSTITUTE(근태!F18,":","")))</f>
        <v/>
      </c>
      <c r="E18" s="39">
        <f>IF(근태!G18="","",IF(근태!H18="",근태!G18,근태!G18&amp;" "&amp;SUBSTITUTE(근태!H18,":","")&amp;"-"&amp;SUBSTITUTE(근태!I18,":","")))</f>
        <v/>
      </c>
      <c r="F18" s="39">
        <f>IF(근태!J18="","",IF(근태!K18="",근태!J18,근태!J18&amp;" "&amp;SUBSTITUTE(근태!K18,":","")&amp;"-"&amp;SUBSTITUTE(근태!L18,":","")))</f>
        <v/>
      </c>
      <c r="G18" s="39">
        <f>IF(근태!M18="","",IF(근태!N18="",근태!M18,근태!M18&amp;" "&amp;SUBSTITUTE(근태!N18,":","")&amp;"-"&amp;SUBSTITUTE(근태!O18,":","")))</f>
        <v/>
      </c>
      <c r="H18" s="39">
        <f>IF(근태!P18="","",IF(근태!Q18="",근태!P18,근태!P18&amp;" "&amp;SUBSTITUTE(근태!Q18,":","")&amp;"-"&amp;SUBSTITUTE(근태!R18,":","")))</f>
        <v/>
      </c>
      <c r="I18" s="39">
        <f>IF(근태!S18="","",IF(근태!T18="",근태!S18,근태!S18&amp;" "&amp;SUBSTITUTE(근태!T18,":","")&amp;"-"&amp;SUBSTITUTE(근태!U18,":","")))</f>
        <v/>
      </c>
      <c r="J18" s="39">
        <f>IF(근태!V18="","",IF(근태!W18="",근태!V18,근태!V18&amp;" "&amp;SUBSTITUTE(근태!W18,":","")&amp;"-"&amp;SUBSTITUTE(근태!X18,":","")))</f>
        <v/>
      </c>
      <c r="K18" s="39">
        <f>IF(근태!Y18="","",IF(근태!Z18="",근태!Y18,근태!Y18&amp;" "&amp;SUBSTITUTE(근태!Z18,":","")&amp;"-"&amp;SUBSTITUTE(근태!AA18,":","")))</f>
        <v/>
      </c>
      <c r="L18" s="39">
        <f>IF(근태!AB18="","",IF(근태!AC18="",근태!AB18,근태!AB18&amp;" "&amp;SUBSTITUTE(근태!AC18,":","")&amp;"-"&amp;SUBSTITUTE(근태!AD18,":","")))</f>
        <v/>
      </c>
      <c r="M18" s="39">
        <f>IF(근태!AE18="","",IF(근태!AF18="",근태!AE18,근태!AE18&amp;" "&amp;SUBSTITUTE(근태!AF18,":","")&amp;"-"&amp;SUBSTITUTE(근태!AG18,":","")))</f>
        <v/>
      </c>
      <c r="N18" s="39">
        <f>IF(근태!AH18="","",IF(근태!AI18="",근태!AH18,근태!AH18&amp;" "&amp;SUBSTITUTE(근태!AI18,":","")&amp;"-"&amp;SUBSTITUTE(근태!AJ18,":","")))</f>
        <v/>
      </c>
      <c r="O18" s="39">
        <f>IF(근태!AK18="","",IF(근태!AL18="",근태!AK18,근태!AK18&amp;" "&amp;SUBSTITUTE(근태!AL18,":","")&amp;"-"&amp;SUBSTITUTE(근태!AM18,":","")))</f>
        <v/>
      </c>
      <c r="P18" s="39">
        <f>IF(근태!AN18="","",IF(근태!AO18="",근태!AN18,근태!AN18&amp;" "&amp;SUBSTITUTE(근태!AO18,":","")&amp;"-"&amp;SUBSTITUTE(근태!AP18,":","")))</f>
        <v/>
      </c>
      <c r="Q18" s="39">
        <f>IF(근태!AQ18="","",IF(근태!AR18="",근태!AQ18,근태!AQ18&amp;" "&amp;SUBSTITUTE(근태!AR18,":","")&amp;"-"&amp;SUBSTITUTE(근태!AS18,":","")))</f>
        <v/>
      </c>
      <c r="R18" s="39">
        <f>IF(근태!AT18="","",IF(근태!AU18="",근태!AT18,근태!AT18&amp;" "&amp;SUBSTITUTE(근태!AU18,":","")&amp;"-"&amp;SUBSTITUTE(근태!AV18,":","")))</f>
        <v/>
      </c>
      <c r="S18" s="39">
        <f>IF(근태!AW18="","",IF(근태!AX18="",근태!AW18,근태!AW18&amp;" "&amp;SUBSTITUTE(근태!AX18,":","")&amp;"-"&amp;SUBSTITUTE(근태!AY18,":","")))</f>
        <v/>
      </c>
      <c r="T18" s="39">
        <f>IF(근태!AZ18="","",IF(근태!BA18="",근태!AZ18,근태!AZ18&amp;" "&amp;SUBSTITUTE(근태!BA18,":","")&amp;"-"&amp;SUBSTITUTE(근태!BB18,":","")))</f>
        <v/>
      </c>
      <c r="U18" s="39">
        <f>IF(근태!BC18="","",IF(근태!BD18="",근태!BC18,근태!BC18&amp;" "&amp;SUBSTITUTE(근태!BD18,":","")&amp;"-"&amp;SUBSTITUTE(근태!BE18,":","")))</f>
        <v/>
      </c>
      <c r="V18" s="39">
        <f>IF(근태!BF18="","",IF(근태!BG18="",근태!BF18,근태!BF18&amp;" "&amp;SUBSTITUTE(근태!BG18,":","")&amp;"-"&amp;SUBSTITUTE(근태!BH18,":","")))</f>
        <v/>
      </c>
      <c r="W18" s="39">
        <f>IF(근태!BI18="","",IF(근태!BJ18="",근태!BI18,근태!BI18&amp;" "&amp;SUBSTITUTE(근태!BJ18,":","")&amp;"-"&amp;SUBSTITUTE(근태!BK18,":","")))</f>
        <v/>
      </c>
      <c r="X18" s="39">
        <f>IF(근태!BL18="","",IF(근태!BM18="",근태!BL18,근태!BL18&amp;" "&amp;SUBSTITUTE(근태!BM18,":","")&amp;"-"&amp;SUBSTITUTE(근태!BN18,":","")))</f>
        <v/>
      </c>
      <c r="Y18" s="39">
        <f>IF(근태!BO18="","",IF(근태!BP18="",근태!BO18,근태!BO18&amp;" "&amp;SUBSTITUTE(근태!BP18,":","")&amp;"-"&amp;SUBSTITUTE(근태!BQ18,":","")))</f>
        <v/>
      </c>
      <c r="Z18" s="39">
        <f>IF(근태!BR18="","",IF(근태!BS18="",근태!BR18,근태!BR18&amp;" "&amp;SUBSTITUTE(근태!BS18,":","")&amp;"-"&amp;SUBSTITUTE(근태!BT18,":","")))</f>
        <v/>
      </c>
      <c r="AA18" s="39">
        <f>IF(근태!BU18="","",IF(근태!BV18="",근태!BU18,근태!BU18&amp;" "&amp;SUBSTITUTE(근태!BV18,":","")&amp;"-"&amp;SUBSTITUTE(근태!BW18,":","")))</f>
        <v/>
      </c>
      <c r="AB18" s="39">
        <f>IF(근태!BX18="","",IF(근태!BY18="",근태!BX18,근태!BX18&amp;" "&amp;SUBSTITUTE(근태!BY18,":","")&amp;"-"&amp;SUBSTITUTE(근태!BZ18,":","")))</f>
        <v/>
      </c>
      <c r="AC18" s="39">
        <f>IF(근태!CA18="","",IF(근태!CB18="",근태!CA18,근태!CA18&amp;" "&amp;SUBSTITUTE(근태!CB18,":","")&amp;"-"&amp;SUBSTITUTE(근태!CC18,":","")))</f>
        <v/>
      </c>
      <c r="AD18" s="39">
        <f>IF(근태!CD18="","",IF(근태!CE18="",근태!CD18,근태!CD18&amp;" "&amp;SUBSTITUTE(근태!CE18,":","")&amp;"-"&amp;SUBSTITUTE(근태!CF18,":","")))</f>
        <v/>
      </c>
      <c r="AE18" s="39">
        <f>IF(근태!CG18="","",IF(근태!CH18="",근태!CG18,근태!CG18&amp;" "&amp;SUBSTITUTE(근태!CH18,":","")&amp;"-"&amp;SUBSTITUTE(근태!CI18,":","")))</f>
        <v/>
      </c>
      <c r="AF18" s="39">
        <f>IF(근태!CJ18="","",IF(근태!CK18="",근태!CJ18,근태!CJ18&amp;" "&amp;SUBSTITUTE(근태!CK18,":","")&amp;"-"&amp;SUBSTITUTE(근태!CL18,":","")))</f>
        <v/>
      </c>
      <c r="AG18" s="39">
        <f>IF(근태!CM18="","",IF(근태!CN18="",근태!CM18,근태!CM18&amp;" "&amp;SUBSTITUTE(근태!CN18,":","")&amp;"-"&amp;SUBSTITUTE(근태!CO18,":","")))</f>
        <v/>
      </c>
      <c r="AH18" s="39">
        <f>IF(근태!CP18="","",IF(근태!CQ18="",근태!CP18,근태!CP18&amp;" "&amp;SUBSTITUTE(근태!CQ18,":","")&amp;"-"&amp;SUBSTITUTE(근태!CR18,":","")))</f>
        <v/>
      </c>
    </row>
    <row r="19">
      <c r="A19" s="15">
        <f>IF(명부!A13="","",명부!A13)</f>
        <v/>
      </c>
      <c r="B19" s="16">
        <f>IF(명부!C13="","",명부!C13)</f>
        <v/>
      </c>
      <c r="C19" s="17">
        <f>IF(명부!E13="","",명부!E13)</f>
        <v/>
      </c>
      <c r="D19" s="39">
        <f>IF(근태!D19="","",IF(근태!E19="",근태!D19,근태!D19&amp;" "&amp;SUBSTITUTE(근태!E19,":","")&amp;"-"&amp;SUBSTITUTE(근태!F19,":","")))</f>
        <v/>
      </c>
      <c r="E19" s="39">
        <f>IF(근태!G19="","",IF(근태!H19="",근태!G19,근태!G19&amp;" "&amp;SUBSTITUTE(근태!H19,":","")&amp;"-"&amp;SUBSTITUTE(근태!I19,":","")))</f>
        <v/>
      </c>
      <c r="F19" s="39">
        <f>IF(근태!J19="","",IF(근태!K19="",근태!J19,근태!J19&amp;" "&amp;SUBSTITUTE(근태!K19,":","")&amp;"-"&amp;SUBSTITUTE(근태!L19,":","")))</f>
        <v/>
      </c>
      <c r="G19" s="39">
        <f>IF(근태!M19="","",IF(근태!N19="",근태!M19,근태!M19&amp;" "&amp;SUBSTITUTE(근태!N19,":","")&amp;"-"&amp;SUBSTITUTE(근태!O19,":","")))</f>
        <v/>
      </c>
      <c r="H19" s="39">
        <f>IF(근태!P19="","",IF(근태!Q19="",근태!P19,근태!P19&amp;" "&amp;SUBSTITUTE(근태!Q19,":","")&amp;"-"&amp;SUBSTITUTE(근태!R19,":","")))</f>
        <v/>
      </c>
      <c r="I19" s="39">
        <f>IF(근태!S19="","",IF(근태!T19="",근태!S19,근태!S19&amp;" "&amp;SUBSTITUTE(근태!T19,":","")&amp;"-"&amp;SUBSTITUTE(근태!U19,":","")))</f>
        <v/>
      </c>
      <c r="J19" s="39">
        <f>IF(근태!V19="","",IF(근태!W19="",근태!V19,근태!V19&amp;" "&amp;SUBSTITUTE(근태!W19,":","")&amp;"-"&amp;SUBSTITUTE(근태!X19,":","")))</f>
        <v/>
      </c>
      <c r="K19" s="39">
        <f>IF(근태!Y19="","",IF(근태!Z19="",근태!Y19,근태!Y19&amp;" "&amp;SUBSTITUTE(근태!Z19,":","")&amp;"-"&amp;SUBSTITUTE(근태!AA19,":","")))</f>
        <v/>
      </c>
      <c r="L19" s="39">
        <f>IF(근태!AB19="","",IF(근태!AC19="",근태!AB19,근태!AB19&amp;" "&amp;SUBSTITUTE(근태!AC19,":","")&amp;"-"&amp;SUBSTITUTE(근태!AD19,":","")))</f>
        <v/>
      </c>
      <c r="M19" s="39">
        <f>IF(근태!AE19="","",IF(근태!AF19="",근태!AE19,근태!AE19&amp;" "&amp;SUBSTITUTE(근태!AF19,":","")&amp;"-"&amp;SUBSTITUTE(근태!AG19,":","")))</f>
        <v/>
      </c>
      <c r="N19" s="39">
        <f>IF(근태!AH19="","",IF(근태!AI19="",근태!AH19,근태!AH19&amp;" "&amp;SUBSTITUTE(근태!AI19,":","")&amp;"-"&amp;SUBSTITUTE(근태!AJ19,":","")))</f>
        <v/>
      </c>
      <c r="O19" s="39">
        <f>IF(근태!AK19="","",IF(근태!AL19="",근태!AK19,근태!AK19&amp;" "&amp;SUBSTITUTE(근태!AL19,":","")&amp;"-"&amp;SUBSTITUTE(근태!AM19,":","")))</f>
        <v/>
      </c>
      <c r="P19" s="39">
        <f>IF(근태!AN19="","",IF(근태!AO19="",근태!AN19,근태!AN19&amp;" "&amp;SUBSTITUTE(근태!AO19,":","")&amp;"-"&amp;SUBSTITUTE(근태!AP19,":","")))</f>
        <v/>
      </c>
      <c r="Q19" s="39">
        <f>IF(근태!AQ19="","",IF(근태!AR19="",근태!AQ19,근태!AQ19&amp;" "&amp;SUBSTITUTE(근태!AR19,":","")&amp;"-"&amp;SUBSTITUTE(근태!AS19,":","")))</f>
        <v/>
      </c>
      <c r="R19" s="39">
        <f>IF(근태!AT19="","",IF(근태!AU19="",근태!AT19,근태!AT19&amp;" "&amp;SUBSTITUTE(근태!AU19,":","")&amp;"-"&amp;SUBSTITUTE(근태!AV19,":","")))</f>
        <v/>
      </c>
      <c r="S19" s="39">
        <f>IF(근태!AW19="","",IF(근태!AX19="",근태!AW19,근태!AW19&amp;" "&amp;SUBSTITUTE(근태!AX19,":","")&amp;"-"&amp;SUBSTITUTE(근태!AY19,":","")))</f>
        <v/>
      </c>
      <c r="T19" s="39">
        <f>IF(근태!AZ19="","",IF(근태!BA19="",근태!AZ19,근태!AZ19&amp;" "&amp;SUBSTITUTE(근태!BA19,":","")&amp;"-"&amp;SUBSTITUTE(근태!BB19,":","")))</f>
        <v/>
      </c>
      <c r="U19" s="39">
        <f>IF(근태!BC19="","",IF(근태!BD19="",근태!BC19,근태!BC19&amp;" "&amp;SUBSTITUTE(근태!BD19,":","")&amp;"-"&amp;SUBSTITUTE(근태!BE19,":","")))</f>
        <v/>
      </c>
      <c r="V19" s="39">
        <f>IF(근태!BF19="","",IF(근태!BG19="",근태!BF19,근태!BF19&amp;" "&amp;SUBSTITUTE(근태!BG19,":","")&amp;"-"&amp;SUBSTITUTE(근태!BH19,":","")))</f>
        <v/>
      </c>
      <c r="W19" s="39">
        <f>IF(근태!BI19="","",IF(근태!BJ19="",근태!BI19,근태!BI19&amp;" "&amp;SUBSTITUTE(근태!BJ19,":","")&amp;"-"&amp;SUBSTITUTE(근태!BK19,":","")))</f>
        <v/>
      </c>
      <c r="X19" s="39">
        <f>IF(근태!BL19="","",IF(근태!BM19="",근태!BL19,근태!BL19&amp;" "&amp;SUBSTITUTE(근태!BM19,":","")&amp;"-"&amp;SUBSTITUTE(근태!BN19,":","")))</f>
        <v/>
      </c>
      <c r="Y19" s="39">
        <f>IF(근태!BO19="","",IF(근태!BP19="",근태!BO19,근태!BO19&amp;" "&amp;SUBSTITUTE(근태!BP19,":","")&amp;"-"&amp;SUBSTITUTE(근태!BQ19,":","")))</f>
        <v/>
      </c>
      <c r="Z19" s="39">
        <f>IF(근태!BR19="","",IF(근태!BS19="",근태!BR19,근태!BR19&amp;" "&amp;SUBSTITUTE(근태!BS19,":","")&amp;"-"&amp;SUBSTITUTE(근태!BT19,":","")))</f>
        <v/>
      </c>
      <c r="AA19" s="39">
        <f>IF(근태!BU19="","",IF(근태!BV19="",근태!BU19,근태!BU19&amp;" "&amp;SUBSTITUTE(근태!BV19,":","")&amp;"-"&amp;SUBSTITUTE(근태!BW19,":","")))</f>
        <v/>
      </c>
      <c r="AB19" s="39">
        <f>IF(근태!BX19="","",IF(근태!BY19="",근태!BX19,근태!BX19&amp;" "&amp;SUBSTITUTE(근태!BY19,":","")&amp;"-"&amp;SUBSTITUTE(근태!BZ19,":","")))</f>
        <v/>
      </c>
      <c r="AC19" s="39">
        <f>IF(근태!CA19="","",IF(근태!CB19="",근태!CA19,근태!CA19&amp;" "&amp;SUBSTITUTE(근태!CB19,":","")&amp;"-"&amp;SUBSTITUTE(근태!CC19,":","")))</f>
        <v/>
      </c>
      <c r="AD19" s="39">
        <f>IF(근태!CD19="","",IF(근태!CE19="",근태!CD19,근태!CD19&amp;" "&amp;SUBSTITUTE(근태!CE19,":","")&amp;"-"&amp;SUBSTITUTE(근태!CF19,":","")))</f>
        <v/>
      </c>
      <c r="AE19" s="39">
        <f>IF(근태!CG19="","",IF(근태!CH19="",근태!CG19,근태!CG19&amp;" "&amp;SUBSTITUTE(근태!CH19,":","")&amp;"-"&amp;SUBSTITUTE(근태!CI19,":","")))</f>
        <v/>
      </c>
      <c r="AF19" s="39">
        <f>IF(근태!CJ19="","",IF(근태!CK19="",근태!CJ19,근태!CJ19&amp;" "&amp;SUBSTITUTE(근태!CK19,":","")&amp;"-"&amp;SUBSTITUTE(근태!CL19,":","")))</f>
        <v/>
      </c>
      <c r="AG19" s="39">
        <f>IF(근태!CM19="","",IF(근태!CN19="",근태!CM19,근태!CM19&amp;" "&amp;SUBSTITUTE(근태!CN19,":","")&amp;"-"&amp;SUBSTITUTE(근태!CO19,":","")))</f>
        <v/>
      </c>
      <c r="AH19" s="39">
        <f>IF(근태!CP19="","",IF(근태!CQ19="",근태!CP19,근태!CP19&amp;" "&amp;SUBSTITUTE(근태!CQ19,":","")&amp;"-"&amp;SUBSTITUTE(근태!CR19,":","")))</f>
        <v/>
      </c>
    </row>
    <row r="20">
      <c r="A20" s="15">
        <f>IF(명부!A14="","",명부!A14)</f>
        <v/>
      </c>
      <c r="B20" s="16">
        <f>IF(명부!C14="","",명부!C14)</f>
        <v/>
      </c>
      <c r="C20" s="17">
        <f>IF(명부!E14="","",명부!E14)</f>
        <v/>
      </c>
      <c r="D20" s="39">
        <f>IF(근태!D20="","",IF(근태!E20="",근태!D20,근태!D20&amp;" "&amp;SUBSTITUTE(근태!E20,":","")&amp;"-"&amp;SUBSTITUTE(근태!F20,":","")))</f>
        <v/>
      </c>
      <c r="E20" s="39">
        <f>IF(근태!G20="","",IF(근태!H20="",근태!G20,근태!G20&amp;" "&amp;SUBSTITUTE(근태!H20,":","")&amp;"-"&amp;SUBSTITUTE(근태!I20,":","")))</f>
        <v/>
      </c>
      <c r="F20" s="39">
        <f>IF(근태!J20="","",IF(근태!K20="",근태!J20,근태!J20&amp;" "&amp;SUBSTITUTE(근태!K20,":","")&amp;"-"&amp;SUBSTITUTE(근태!L20,":","")))</f>
        <v/>
      </c>
      <c r="G20" s="39">
        <f>IF(근태!M20="","",IF(근태!N20="",근태!M20,근태!M20&amp;" "&amp;SUBSTITUTE(근태!N20,":","")&amp;"-"&amp;SUBSTITUTE(근태!O20,":","")))</f>
        <v/>
      </c>
      <c r="H20" s="39">
        <f>IF(근태!P20="","",IF(근태!Q20="",근태!P20,근태!P20&amp;" "&amp;SUBSTITUTE(근태!Q20,":","")&amp;"-"&amp;SUBSTITUTE(근태!R20,":","")))</f>
        <v/>
      </c>
      <c r="I20" s="39">
        <f>IF(근태!S20="","",IF(근태!T20="",근태!S20,근태!S20&amp;" "&amp;SUBSTITUTE(근태!T20,":","")&amp;"-"&amp;SUBSTITUTE(근태!U20,":","")))</f>
        <v/>
      </c>
      <c r="J20" s="39">
        <f>IF(근태!V20="","",IF(근태!W20="",근태!V20,근태!V20&amp;" "&amp;SUBSTITUTE(근태!W20,":","")&amp;"-"&amp;SUBSTITUTE(근태!X20,":","")))</f>
        <v/>
      </c>
      <c r="K20" s="39">
        <f>IF(근태!Y20="","",IF(근태!Z20="",근태!Y20,근태!Y20&amp;" "&amp;SUBSTITUTE(근태!Z20,":","")&amp;"-"&amp;SUBSTITUTE(근태!AA20,":","")))</f>
        <v/>
      </c>
      <c r="L20" s="39">
        <f>IF(근태!AB20="","",IF(근태!AC20="",근태!AB20,근태!AB20&amp;" "&amp;SUBSTITUTE(근태!AC20,":","")&amp;"-"&amp;SUBSTITUTE(근태!AD20,":","")))</f>
        <v/>
      </c>
      <c r="M20" s="39">
        <f>IF(근태!AE20="","",IF(근태!AF20="",근태!AE20,근태!AE20&amp;" "&amp;SUBSTITUTE(근태!AF20,":","")&amp;"-"&amp;SUBSTITUTE(근태!AG20,":","")))</f>
        <v/>
      </c>
      <c r="N20" s="39">
        <f>IF(근태!AH20="","",IF(근태!AI20="",근태!AH20,근태!AH20&amp;" "&amp;SUBSTITUTE(근태!AI20,":","")&amp;"-"&amp;SUBSTITUTE(근태!AJ20,":","")))</f>
        <v/>
      </c>
      <c r="O20" s="39">
        <f>IF(근태!AK20="","",IF(근태!AL20="",근태!AK20,근태!AK20&amp;" "&amp;SUBSTITUTE(근태!AL20,":","")&amp;"-"&amp;SUBSTITUTE(근태!AM20,":","")))</f>
        <v/>
      </c>
      <c r="P20" s="39">
        <f>IF(근태!AN20="","",IF(근태!AO20="",근태!AN20,근태!AN20&amp;" "&amp;SUBSTITUTE(근태!AO20,":","")&amp;"-"&amp;SUBSTITUTE(근태!AP20,":","")))</f>
        <v/>
      </c>
      <c r="Q20" s="39">
        <f>IF(근태!AQ20="","",IF(근태!AR20="",근태!AQ20,근태!AQ20&amp;" "&amp;SUBSTITUTE(근태!AR20,":","")&amp;"-"&amp;SUBSTITUTE(근태!AS20,":","")))</f>
        <v/>
      </c>
      <c r="R20" s="39">
        <f>IF(근태!AT20="","",IF(근태!AU20="",근태!AT20,근태!AT20&amp;" "&amp;SUBSTITUTE(근태!AU20,":","")&amp;"-"&amp;SUBSTITUTE(근태!AV20,":","")))</f>
        <v/>
      </c>
      <c r="S20" s="39">
        <f>IF(근태!AW20="","",IF(근태!AX20="",근태!AW20,근태!AW20&amp;" "&amp;SUBSTITUTE(근태!AX20,":","")&amp;"-"&amp;SUBSTITUTE(근태!AY20,":","")))</f>
        <v/>
      </c>
      <c r="T20" s="39">
        <f>IF(근태!AZ20="","",IF(근태!BA20="",근태!AZ20,근태!AZ20&amp;" "&amp;SUBSTITUTE(근태!BA20,":","")&amp;"-"&amp;SUBSTITUTE(근태!BB20,":","")))</f>
        <v/>
      </c>
      <c r="U20" s="39">
        <f>IF(근태!BC20="","",IF(근태!BD20="",근태!BC20,근태!BC20&amp;" "&amp;SUBSTITUTE(근태!BD20,":","")&amp;"-"&amp;SUBSTITUTE(근태!BE20,":","")))</f>
        <v/>
      </c>
      <c r="V20" s="39">
        <f>IF(근태!BF20="","",IF(근태!BG20="",근태!BF20,근태!BF20&amp;" "&amp;SUBSTITUTE(근태!BG20,":","")&amp;"-"&amp;SUBSTITUTE(근태!BH20,":","")))</f>
        <v/>
      </c>
      <c r="W20" s="39">
        <f>IF(근태!BI20="","",IF(근태!BJ20="",근태!BI20,근태!BI20&amp;" "&amp;SUBSTITUTE(근태!BJ20,":","")&amp;"-"&amp;SUBSTITUTE(근태!BK20,":","")))</f>
        <v/>
      </c>
      <c r="X20" s="39">
        <f>IF(근태!BL20="","",IF(근태!BM20="",근태!BL20,근태!BL20&amp;" "&amp;SUBSTITUTE(근태!BM20,":","")&amp;"-"&amp;SUBSTITUTE(근태!BN20,":","")))</f>
        <v/>
      </c>
      <c r="Y20" s="39">
        <f>IF(근태!BO20="","",IF(근태!BP20="",근태!BO20,근태!BO20&amp;" "&amp;SUBSTITUTE(근태!BP20,":","")&amp;"-"&amp;SUBSTITUTE(근태!BQ20,":","")))</f>
        <v/>
      </c>
      <c r="Z20" s="39">
        <f>IF(근태!BR20="","",IF(근태!BS20="",근태!BR20,근태!BR20&amp;" "&amp;SUBSTITUTE(근태!BS20,":","")&amp;"-"&amp;SUBSTITUTE(근태!BT20,":","")))</f>
        <v/>
      </c>
      <c r="AA20" s="39">
        <f>IF(근태!BU20="","",IF(근태!BV20="",근태!BU20,근태!BU20&amp;" "&amp;SUBSTITUTE(근태!BV20,":","")&amp;"-"&amp;SUBSTITUTE(근태!BW20,":","")))</f>
        <v/>
      </c>
      <c r="AB20" s="39">
        <f>IF(근태!BX20="","",IF(근태!BY20="",근태!BX20,근태!BX20&amp;" "&amp;SUBSTITUTE(근태!BY20,":","")&amp;"-"&amp;SUBSTITUTE(근태!BZ20,":","")))</f>
        <v/>
      </c>
      <c r="AC20" s="39">
        <f>IF(근태!CA20="","",IF(근태!CB20="",근태!CA20,근태!CA20&amp;" "&amp;SUBSTITUTE(근태!CB20,":","")&amp;"-"&amp;SUBSTITUTE(근태!CC20,":","")))</f>
        <v/>
      </c>
      <c r="AD20" s="39">
        <f>IF(근태!CD20="","",IF(근태!CE20="",근태!CD20,근태!CD20&amp;" "&amp;SUBSTITUTE(근태!CE20,":","")&amp;"-"&amp;SUBSTITUTE(근태!CF20,":","")))</f>
        <v/>
      </c>
      <c r="AE20" s="39">
        <f>IF(근태!CG20="","",IF(근태!CH20="",근태!CG20,근태!CG20&amp;" "&amp;SUBSTITUTE(근태!CH20,":","")&amp;"-"&amp;SUBSTITUTE(근태!CI20,":","")))</f>
        <v/>
      </c>
      <c r="AF20" s="39">
        <f>IF(근태!CJ20="","",IF(근태!CK20="",근태!CJ20,근태!CJ20&amp;" "&amp;SUBSTITUTE(근태!CK20,":","")&amp;"-"&amp;SUBSTITUTE(근태!CL20,":","")))</f>
        <v/>
      </c>
      <c r="AG20" s="39">
        <f>IF(근태!CM20="","",IF(근태!CN20="",근태!CM20,근태!CM20&amp;" "&amp;SUBSTITUTE(근태!CN20,":","")&amp;"-"&amp;SUBSTITUTE(근태!CO20,":","")))</f>
        <v/>
      </c>
      <c r="AH20" s="39">
        <f>IF(근태!CP20="","",IF(근태!CQ20="",근태!CP20,근태!CP20&amp;" "&amp;SUBSTITUTE(근태!CQ20,":","")&amp;"-"&amp;SUBSTITUTE(근태!CR20,":","")))</f>
        <v/>
      </c>
    </row>
    <row r="21">
      <c r="A21" s="15">
        <f>IF(명부!A15="","",명부!A15)</f>
        <v/>
      </c>
      <c r="B21" s="16">
        <f>IF(명부!C15="","",명부!C15)</f>
        <v/>
      </c>
      <c r="C21" s="17">
        <f>IF(명부!E15="","",명부!E15)</f>
        <v/>
      </c>
      <c r="D21" s="39">
        <f>IF(근태!D21="","",IF(근태!E21="",근태!D21,근태!D21&amp;" "&amp;SUBSTITUTE(근태!E21,":","")&amp;"-"&amp;SUBSTITUTE(근태!F21,":","")))</f>
        <v/>
      </c>
      <c r="E21" s="39">
        <f>IF(근태!G21="","",IF(근태!H21="",근태!G21,근태!G21&amp;" "&amp;SUBSTITUTE(근태!H21,":","")&amp;"-"&amp;SUBSTITUTE(근태!I21,":","")))</f>
        <v/>
      </c>
      <c r="F21" s="39">
        <f>IF(근태!J21="","",IF(근태!K21="",근태!J21,근태!J21&amp;" "&amp;SUBSTITUTE(근태!K21,":","")&amp;"-"&amp;SUBSTITUTE(근태!L21,":","")))</f>
        <v/>
      </c>
      <c r="G21" s="39">
        <f>IF(근태!M21="","",IF(근태!N21="",근태!M21,근태!M21&amp;" "&amp;SUBSTITUTE(근태!N21,":","")&amp;"-"&amp;SUBSTITUTE(근태!O21,":","")))</f>
        <v/>
      </c>
      <c r="H21" s="39">
        <f>IF(근태!P21="","",IF(근태!Q21="",근태!P21,근태!P21&amp;" "&amp;SUBSTITUTE(근태!Q21,":","")&amp;"-"&amp;SUBSTITUTE(근태!R21,":","")))</f>
        <v/>
      </c>
      <c r="I21" s="39">
        <f>IF(근태!S21="","",IF(근태!T21="",근태!S21,근태!S21&amp;" "&amp;SUBSTITUTE(근태!T21,":","")&amp;"-"&amp;SUBSTITUTE(근태!U21,":","")))</f>
        <v/>
      </c>
      <c r="J21" s="39">
        <f>IF(근태!V21="","",IF(근태!W21="",근태!V21,근태!V21&amp;" "&amp;SUBSTITUTE(근태!W21,":","")&amp;"-"&amp;SUBSTITUTE(근태!X21,":","")))</f>
        <v/>
      </c>
      <c r="K21" s="39">
        <f>IF(근태!Y21="","",IF(근태!Z21="",근태!Y21,근태!Y21&amp;" "&amp;SUBSTITUTE(근태!Z21,":","")&amp;"-"&amp;SUBSTITUTE(근태!AA21,":","")))</f>
        <v/>
      </c>
      <c r="L21" s="39">
        <f>IF(근태!AB21="","",IF(근태!AC21="",근태!AB21,근태!AB21&amp;" "&amp;SUBSTITUTE(근태!AC21,":","")&amp;"-"&amp;SUBSTITUTE(근태!AD21,":","")))</f>
        <v/>
      </c>
      <c r="M21" s="39">
        <f>IF(근태!AE21="","",IF(근태!AF21="",근태!AE21,근태!AE21&amp;" "&amp;SUBSTITUTE(근태!AF21,":","")&amp;"-"&amp;SUBSTITUTE(근태!AG21,":","")))</f>
        <v/>
      </c>
      <c r="N21" s="39">
        <f>IF(근태!AH21="","",IF(근태!AI21="",근태!AH21,근태!AH21&amp;" "&amp;SUBSTITUTE(근태!AI21,":","")&amp;"-"&amp;SUBSTITUTE(근태!AJ21,":","")))</f>
        <v/>
      </c>
      <c r="O21" s="39">
        <f>IF(근태!AK21="","",IF(근태!AL21="",근태!AK21,근태!AK21&amp;" "&amp;SUBSTITUTE(근태!AL21,":","")&amp;"-"&amp;SUBSTITUTE(근태!AM21,":","")))</f>
        <v/>
      </c>
      <c r="P21" s="39">
        <f>IF(근태!AN21="","",IF(근태!AO21="",근태!AN21,근태!AN21&amp;" "&amp;SUBSTITUTE(근태!AO21,":","")&amp;"-"&amp;SUBSTITUTE(근태!AP21,":","")))</f>
        <v/>
      </c>
      <c r="Q21" s="39">
        <f>IF(근태!AQ21="","",IF(근태!AR21="",근태!AQ21,근태!AQ21&amp;" "&amp;SUBSTITUTE(근태!AR21,":","")&amp;"-"&amp;SUBSTITUTE(근태!AS21,":","")))</f>
        <v/>
      </c>
      <c r="R21" s="39">
        <f>IF(근태!AT21="","",IF(근태!AU21="",근태!AT21,근태!AT21&amp;" "&amp;SUBSTITUTE(근태!AU21,":","")&amp;"-"&amp;SUBSTITUTE(근태!AV21,":","")))</f>
        <v/>
      </c>
      <c r="S21" s="39">
        <f>IF(근태!AW21="","",IF(근태!AX21="",근태!AW21,근태!AW21&amp;" "&amp;SUBSTITUTE(근태!AX21,":","")&amp;"-"&amp;SUBSTITUTE(근태!AY21,":","")))</f>
        <v/>
      </c>
      <c r="T21" s="39">
        <f>IF(근태!AZ21="","",IF(근태!BA21="",근태!AZ21,근태!AZ21&amp;" "&amp;SUBSTITUTE(근태!BA21,":","")&amp;"-"&amp;SUBSTITUTE(근태!BB21,":","")))</f>
        <v/>
      </c>
      <c r="U21" s="39">
        <f>IF(근태!BC21="","",IF(근태!BD21="",근태!BC21,근태!BC21&amp;" "&amp;SUBSTITUTE(근태!BD21,":","")&amp;"-"&amp;SUBSTITUTE(근태!BE21,":","")))</f>
        <v/>
      </c>
      <c r="V21" s="39">
        <f>IF(근태!BF21="","",IF(근태!BG21="",근태!BF21,근태!BF21&amp;" "&amp;SUBSTITUTE(근태!BG21,":","")&amp;"-"&amp;SUBSTITUTE(근태!BH21,":","")))</f>
        <v/>
      </c>
      <c r="W21" s="39">
        <f>IF(근태!BI21="","",IF(근태!BJ21="",근태!BI21,근태!BI21&amp;" "&amp;SUBSTITUTE(근태!BJ21,":","")&amp;"-"&amp;SUBSTITUTE(근태!BK21,":","")))</f>
        <v/>
      </c>
      <c r="X21" s="39">
        <f>IF(근태!BL21="","",IF(근태!BM21="",근태!BL21,근태!BL21&amp;" "&amp;SUBSTITUTE(근태!BM21,":","")&amp;"-"&amp;SUBSTITUTE(근태!BN21,":","")))</f>
        <v/>
      </c>
      <c r="Y21" s="39">
        <f>IF(근태!BO21="","",IF(근태!BP21="",근태!BO21,근태!BO21&amp;" "&amp;SUBSTITUTE(근태!BP21,":","")&amp;"-"&amp;SUBSTITUTE(근태!BQ21,":","")))</f>
        <v/>
      </c>
      <c r="Z21" s="39">
        <f>IF(근태!BR21="","",IF(근태!BS21="",근태!BR21,근태!BR21&amp;" "&amp;SUBSTITUTE(근태!BS21,":","")&amp;"-"&amp;SUBSTITUTE(근태!BT21,":","")))</f>
        <v/>
      </c>
      <c r="AA21" s="39">
        <f>IF(근태!BU21="","",IF(근태!BV21="",근태!BU21,근태!BU21&amp;" "&amp;SUBSTITUTE(근태!BV21,":","")&amp;"-"&amp;SUBSTITUTE(근태!BW21,":","")))</f>
        <v/>
      </c>
      <c r="AB21" s="39">
        <f>IF(근태!BX21="","",IF(근태!BY21="",근태!BX21,근태!BX21&amp;" "&amp;SUBSTITUTE(근태!BY21,":","")&amp;"-"&amp;SUBSTITUTE(근태!BZ21,":","")))</f>
        <v/>
      </c>
      <c r="AC21" s="39">
        <f>IF(근태!CA21="","",IF(근태!CB21="",근태!CA21,근태!CA21&amp;" "&amp;SUBSTITUTE(근태!CB21,":","")&amp;"-"&amp;SUBSTITUTE(근태!CC21,":","")))</f>
        <v/>
      </c>
      <c r="AD21" s="39">
        <f>IF(근태!CD21="","",IF(근태!CE21="",근태!CD21,근태!CD21&amp;" "&amp;SUBSTITUTE(근태!CE21,":","")&amp;"-"&amp;SUBSTITUTE(근태!CF21,":","")))</f>
        <v/>
      </c>
      <c r="AE21" s="39">
        <f>IF(근태!CG21="","",IF(근태!CH21="",근태!CG21,근태!CG21&amp;" "&amp;SUBSTITUTE(근태!CH21,":","")&amp;"-"&amp;SUBSTITUTE(근태!CI21,":","")))</f>
        <v/>
      </c>
      <c r="AF21" s="39">
        <f>IF(근태!CJ21="","",IF(근태!CK21="",근태!CJ21,근태!CJ21&amp;" "&amp;SUBSTITUTE(근태!CK21,":","")&amp;"-"&amp;SUBSTITUTE(근태!CL21,":","")))</f>
        <v/>
      </c>
      <c r="AG21" s="39">
        <f>IF(근태!CM21="","",IF(근태!CN21="",근태!CM21,근태!CM21&amp;" "&amp;SUBSTITUTE(근태!CN21,":","")&amp;"-"&amp;SUBSTITUTE(근태!CO21,":","")))</f>
        <v/>
      </c>
      <c r="AH21" s="39">
        <f>IF(근태!CP21="","",IF(근태!CQ21="",근태!CP21,근태!CP21&amp;" "&amp;SUBSTITUTE(근태!CQ21,":","")&amp;"-"&amp;SUBSTITUTE(근태!CR21,":","")))</f>
        <v/>
      </c>
    </row>
    <row r="22">
      <c r="A22" s="15">
        <f>IF(명부!A16="","",명부!A16)</f>
        <v/>
      </c>
      <c r="B22" s="16">
        <f>IF(명부!C16="","",명부!C16)</f>
        <v/>
      </c>
      <c r="C22" s="17">
        <f>IF(명부!E16="","",명부!E16)</f>
        <v/>
      </c>
      <c r="D22" s="39">
        <f>IF(근태!D22="","",IF(근태!E22="",근태!D22,근태!D22&amp;" "&amp;SUBSTITUTE(근태!E22,":","")&amp;"-"&amp;SUBSTITUTE(근태!F22,":","")))</f>
        <v/>
      </c>
      <c r="E22" s="39">
        <f>IF(근태!G22="","",IF(근태!H22="",근태!G22,근태!G22&amp;" "&amp;SUBSTITUTE(근태!H22,":","")&amp;"-"&amp;SUBSTITUTE(근태!I22,":","")))</f>
        <v/>
      </c>
      <c r="F22" s="39">
        <f>IF(근태!J22="","",IF(근태!K22="",근태!J22,근태!J22&amp;" "&amp;SUBSTITUTE(근태!K22,":","")&amp;"-"&amp;SUBSTITUTE(근태!L22,":","")))</f>
        <v/>
      </c>
      <c r="G22" s="39">
        <f>IF(근태!M22="","",IF(근태!N22="",근태!M22,근태!M22&amp;" "&amp;SUBSTITUTE(근태!N22,":","")&amp;"-"&amp;SUBSTITUTE(근태!O22,":","")))</f>
        <v/>
      </c>
      <c r="H22" s="39">
        <f>IF(근태!P22="","",IF(근태!Q22="",근태!P22,근태!P22&amp;" "&amp;SUBSTITUTE(근태!Q22,":","")&amp;"-"&amp;SUBSTITUTE(근태!R22,":","")))</f>
        <v/>
      </c>
      <c r="I22" s="39">
        <f>IF(근태!S22="","",IF(근태!T22="",근태!S22,근태!S22&amp;" "&amp;SUBSTITUTE(근태!T22,":","")&amp;"-"&amp;SUBSTITUTE(근태!U22,":","")))</f>
        <v/>
      </c>
      <c r="J22" s="39">
        <f>IF(근태!V22="","",IF(근태!W22="",근태!V22,근태!V22&amp;" "&amp;SUBSTITUTE(근태!W22,":","")&amp;"-"&amp;SUBSTITUTE(근태!X22,":","")))</f>
        <v/>
      </c>
      <c r="K22" s="39">
        <f>IF(근태!Y22="","",IF(근태!Z22="",근태!Y22,근태!Y22&amp;" "&amp;SUBSTITUTE(근태!Z22,":","")&amp;"-"&amp;SUBSTITUTE(근태!AA22,":","")))</f>
        <v/>
      </c>
      <c r="L22" s="39">
        <f>IF(근태!AB22="","",IF(근태!AC22="",근태!AB22,근태!AB22&amp;" "&amp;SUBSTITUTE(근태!AC22,":","")&amp;"-"&amp;SUBSTITUTE(근태!AD22,":","")))</f>
        <v/>
      </c>
      <c r="M22" s="39">
        <f>IF(근태!AE22="","",IF(근태!AF22="",근태!AE22,근태!AE22&amp;" "&amp;SUBSTITUTE(근태!AF22,":","")&amp;"-"&amp;SUBSTITUTE(근태!AG22,":","")))</f>
        <v/>
      </c>
      <c r="N22" s="39">
        <f>IF(근태!AH22="","",IF(근태!AI22="",근태!AH22,근태!AH22&amp;" "&amp;SUBSTITUTE(근태!AI22,":","")&amp;"-"&amp;SUBSTITUTE(근태!AJ22,":","")))</f>
        <v/>
      </c>
      <c r="O22" s="39">
        <f>IF(근태!AK22="","",IF(근태!AL22="",근태!AK22,근태!AK22&amp;" "&amp;SUBSTITUTE(근태!AL22,":","")&amp;"-"&amp;SUBSTITUTE(근태!AM22,":","")))</f>
        <v/>
      </c>
      <c r="P22" s="39">
        <f>IF(근태!AN22="","",IF(근태!AO22="",근태!AN22,근태!AN22&amp;" "&amp;SUBSTITUTE(근태!AO22,":","")&amp;"-"&amp;SUBSTITUTE(근태!AP22,":","")))</f>
        <v/>
      </c>
      <c r="Q22" s="39">
        <f>IF(근태!AQ22="","",IF(근태!AR22="",근태!AQ22,근태!AQ22&amp;" "&amp;SUBSTITUTE(근태!AR22,":","")&amp;"-"&amp;SUBSTITUTE(근태!AS22,":","")))</f>
        <v/>
      </c>
      <c r="R22" s="39">
        <f>IF(근태!AT22="","",IF(근태!AU22="",근태!AT22,근태!AT22&amp;" "&amp;SUBSTITUTE(근태!AU22,":","")&amp;"-"&amp;SUBSTITUTE(근태!AV22,":","")))</f>
        <v/>
      </c>
      <c r="S22" s="39">
        <f>IF(근태!AW22="","",IF(근태!AX22="",근태!AW22,근태!AW22&amp;" "&amp;SUBSTITUTE(근태!AX22,":","")&amp;"-"&amp;SUBSTITUTE(근태!AY22,":","")))</f>
        <v/>
      </c>
      <c r="T22" s="39">
        <f>IF(근태!AZ22="","",IF(근태!BA22="",근태!AZ22,근태!AZ22&amp;" "&amp;SUBSTITUTE(근태!BA22,":","")&amp;"-"&amp;SUBSTITUTE(근태!BB22,":","")))</f>
        <v/>
      </c>
      <c r="U22" s="39">
        <f>IF(근태!BC22="","",IF(근태!BD22="",근태!BC22,근태!BC22&amp;" "&amp;SUBSTITUTE(근태!BD22,":","")&amp;"-"&amp;SUBSTITUTE(근태!BE22,":","")))</f>
        <v/>
      </c>
      <c r="V22" s="39">
        <f>IF(근태!BF22="","",IF(근태!BG22="",근태!BF22,근태!BF22&amp;" "&amp;SUBSTITUTE(근태!BG22,":","")&amp;"-"&amp;SUBSTITUTE(근태!BH22,":","")))</f>
        <v/>
      </c>
      <c r="W22" s="39">
        <f>IF(근태!BI22="","",IF(근태!BJ22="",근태!BI22,근태!BI22&amp;" "&amp;SUBSTITUTE(근태!BJ22,":","")&amp;"-"&amp;SUBSTITUTE(근태!BK22,":","")))</f>
        <v/>
      </c>
      <c r="X22" s="39">
        <f>IF(근태!BL22="","",IF(근태!BM22="",근태!BL22,근태!BL22&amp;" "&amp;SUBSTITUTE(근태!BM22,":","")&amp;"-"&amp;SUBSTITUTE(근태!BN22,":","")))</f>
        <v/>
      </c>
      <c r="Y22" s="39">
        <f>IF(근태!BO22="","",IF(근태!BP22="",근태!BO22,근태!BO22&amp;" "&amp;SUBSTITUTE(근태!BP22,":","")&amp;"-"&amp;SUBSTITUTE(근태!BQ22,":","")))</f>
        <v/>
      </c>
      <c r="Z22" s="39">
        <f>IF(근태!BR22="","",IF(근태!BS22="",근태!BR22,근태!BR22&amp;" "&amp;SUBSTITUTE(근태!BS22,":","")&amp;"-"&amp;SUBSTITUTE(근태!BT22,":","")))</f>
        <v/>
      </c>
      <c r="AA22" s="39">
        <f>IF(근태!BU22="","",IF(근태!BV22="",근태!BU22,근태!BU22&amp;" "&amp;SUBSTITUTE(근태!BV22,":","")&amp;"-"&amp;SUBSTITUTE(근태!BW22,":","")))</f>
        <v/>
      </c>
      <c r="AB22" s="39">
        <f>IF(근태!BX22="","",IF(근태!BY22="",근태!BX22,근태!BX22&amp;" "&amp;SUBSTITUTE(근태!BY22,":","")&amp;"-"&amp;SUBSTITUTE(근태!BZ22,":","")))</f>
        <v/>
      </c>
      <c r="AC22" s="39">
        <f>IF(근태!CA22="","",IF(근태!CB22="",근태!CA22,근태!CA22&amp;" "&amp;SUBSTITUTE(근태!CB22,":","")&amp;"-"&amp;SUBSTITUTE(근태!CC22,":","")))</f>
        <v/>
      </c>
      <c r="AD22" s="39">
        <f>IF(근태!CD22="","",IF(근태!CE22="",근태!CD22,근태!CD22&amp;" "&amp;SUBSTITUTE(근태!CE22,":","")&amp;"-"&amp;SUBSTITUTE(근태!CF22,":","")))</f>
        <v/>
      </c>
      <c r="AE22" s="39">
        <f>IF(근태!CG22="","",IF(근태!CH22="",근태!CG22,근태!CG22&amp;" "&amp;SUBSTITUTE(근태!CH22,":","")&amp;"-"&amp;SUBSTITUTE(근태!CI22,":","")))</f>
        <v/>
      </c>
      <c r="AF22" s="39">
        <f>IF(근태!CJ22="","",IF(근태!CK22="",근태!CJ22,근태!CJ22&amp;" "&amp;SUBSTITUTE(근태!CK22,":","")&amp;"-"&amp;SUBSTITUTE(근태!CL22,":","")))</f>
        <v/>
      </c>
      <c r="AG22" s="39">
        <f>IF(근태!CM22="","",IF(근태!CN22="",근태!CM22,근태!CM22&amp;" "&amp;SUBSTITUTE(근태!CN22,":","")&amp;"-"&amp;SUBSTITUTE(근태!CO22,":","")))</f>
        <v/>
      </c>
      <c r="AH22" s="39">
        <f>IF(근태!CP22="","",IF(근태!CQ22="",근태!CP22,근태!CP22&amp;" "&amp;SUBSTITUTE(근태!CQ22,":","")&amp;"-"&amp;SUBSTITUTE(근태!CR22,":","")))</f>
        <v/>
      </c>
    </row>
    <row r="23">
      <c r="A23" s="15">
        <f>IF(명부!A17="","",명부!A17)</f>
        <v/>
      </c>
      <c r="B23" s="16">
        <f>IF(명부!C17="","",명부!C17)</f>
        <v/>
      </c>
      <c r="C23" s="17">
        <f>IF(명부!E17="","",명부!E17)</f>
        <v/>
      </c>
      <c r="D23" s="39">
        <f>IF(근태!D23="","",IF(근태!E23="",근태!D23,근태!D23&amp;" "&amp;SUBSTITUTE(근태!E23,":","")&amp;"-"&amp;SUBSTITUTE(근태!F23,":","")))</f>
        <v/>
      </c>
      <c r="E23" s="39">
        <f>IF(근태!G23="","",IF(근태!H23="",근태!G23,근태!G23&amp;" "&amp;SUBSTITUTE(근태!H23,":","")&amp;"-"&amp;SUBSTITUTE(근태!I23,":","")))</f>
        <v/>
      </c>
      <c r="F23" s="39">
        <f>IF(근태!J23="","",IF(근태!K23="",근태!J23,근태!J23&amp;" "&amp;SUBSTITUTE(근태!K23,":","")&amp;"-"&amp;SUBSTITUTE(근태!L23,":","")))</f>
        <v/>
      </c>
      <c r="G23" s="39">
        <f>IF(근태!M23="","",IF(근태!N23="",근태!M23,근태!M23&amp;" "&amp;SUBSTITUTE(근태!N23,":","")&amp;"-"&amp;SUBSTITUTE(근태!O23,":","")))</f>
        <v/>
      </c>
      <c r="H23" s="39">
        <f>IF(근태!P23="","",IF(근태!Q23="",근태!P23,근태!P23&amp;" "&amp;SUBSTITUTE(근태!Q23,":","")&amp;"-"&amp;SUBSTITUTE(근태!R23,":","")))</f>
        <v/>
      </c>
      <c r="I23" s="39">
        <f>IF(근태!S23="","",IF(근태!T23="",근태!S23,근태!S23&amp;" "&amp;SUBSTITUTE(근태!T23,":","")&amp;"-"&amp;SUBSTITUTE(근태!U23,":","")))</f>
        <v/>
      </c>
      <c r="J23" s="39">
        <f>IF(근태!V23="","",IF(근태!W23="",근태!V23,근태!V23&amp;" "&amp;SUBSTITUTE(근태!W23,":","")&amp;"-"&amp;SUBSTITUTE(근태!X23,":","")))</f>
        <v/>
      </c>
      <c r="K23" s="39">
        <f>IF(근태!Y23="","",IF(근태!Z23="",근태!Y23,근태!Y23&amp;" "&amp;SUBSTITUTE(근태!Z23,":","")&amp;"-"&amp;SUBSTITUTE(근태!AA23,":","")))</f>
        <v/>
      </c>
      <c r="L23" s="39">
        <f>IF(근태!AB23="","",IF(근태!AC23="",근태!AB23,근태!AB23&amp;" "&amp;SUBSTITUTE(근태!AC23,":","")&amp;"-"&amp;SUBSTITUTE(근태!AD23,":","")))</f>
        <v/>
      </c>
      <c r="M23" s="39">
        <f>IF(근태!AE23="","",IF(근태!AF23="",근태!AE23,근태!AE23&amp;" "&amp;SUBSTITUTE(근태!AF23,":","")&amp;"-"&amp;SUBSTITUTE(근태!AG23,":","")))</f>
        <v/>
      </c>
      <c r="N23" s="39">
        <f>IF(근태!AH23="","",IF(근태!AI23="",근태!AH23,근태!AH23&amp;" "&amp;SUBSTITUTE(근태!AI23,":","")&amp;"-"&amp;SUBSTITUTE(근태!AJ23,":","")))</f>
        <v/>
      </c>
      <c r="O23" s="39">
        <f>IF(근태!AK23="","",IF(근태!AL23="",근태!AK23,근태!AK23&amp;" "&amp;SUBSTITUTE(근태!AL23,":","")&amp;"-"&amp;SUBSTITUTE(근태!AM23,":","")))</f>
        <v/>
      </c>
      <c r="P23" s="39">
        <f>IF(근태!AN23="","",IF(근태!AO23="",근태!AN23,근태!AN23&amp;" "&amp;SUBSTITUTE(근태!AO23,":","")&amp;"-"&amp;SUBSTITUTE(근태!AP23,":","")))</f>
        <v/>
      </c>
      <c r="Q23" s="39">
        <f>IF(근태!AQ23="","",IF(근태!AR23="",근태!AQ23,근태!AQ23&amp;" "&amp;SUBSTITUTE(근태!AR23,":","")&amp;"-"&amp;SUBSTITUTE(근태!AS23,":","")))</f>
        <v/>
      </c>
      <c r="R23" s="39">
        <f>IF(근태!AT23="","",IF(근태!AU23="",근태!AT23,근태!AT23&amp;" "&amp;SUBSTITUTE(근태!AU23,":","")&amp;"-"&amp;SUBSTITUTE(근태!AV23,":","")))</f>
        <v/>
      </c>
      <c r="S23" s="39">
        <f>IF(근태!AW23="","",IF(근태!AX23="",근태!AW23,근태!AW23&amp;" "&amp;SUBSTITUTE(근태!AX23,":","")&amp;"-"&amp;SUBSTITUTE(근태!AY23,":","")))</f>
        <v/>
      </c>
      <c r="T23" s="39">
        <f>IF(근태!AZ23="","",IF(근태!BA23="",근태!AZ23,근태!AZ23&amp;" "&amp;SUBSTITUTE(근태!BA23,":","")&amp;"-"&amp;SUBSTITUTE(근태!BB23,":","")))</f>
        <v/>
      </c>
      <c r="U23" s="39">
        <f>IF(근태!BC23="","",IF(근태!BD23="",근태!BC23,근태!BC23&amp;" "&amp;SUBSTITUTE(근태!BD23,":","")&amp;"-"&amp;SUBSTITUTE(근태!BE23,":","")))</f>
        <v/>
      </c>
      <c r="V23" s="39">
        <f>IF(근태!BF23="","",IF(근태!BG23="",근태!BF23,근태!BF23&amp;" "&amp;SUBSTITUTE(근태!BG23,":","")&amp;"-"&amp;SUBSTITUTE(근태!BH23,":","")))</f>
        <v/>
      </c>
      <c r="W23" s="39">
        <f>IF(근태!BI23="","",IF(근태!BJ23="",근태!BI23,근태!BI23&amp;" "&amp;SUBSTITUTE(근태!BJ23,":","")&amp;"-"&amp;SUBSTITUTE(근태!BK23,":","")))</f>
        <v/>
      </c>
      <c r="X23" s="39">
        <f>IF(근태!BL23="","",IF(근태!BM23="",근태!BL23,근태!BL23&amp;" "&amp;SUBSTITUTE(근태!BM23,":","")&amp;"-"&amp;SUBSTITUTE(근태!BN23,":","")))</f>
        <v/>
      </c>
      <c r="Y23" s="39">
        <f>IF(근태!BO23="","",IF(근태!BP23="",근태!BO23,근태!BO23&amp;" "&amp;SUBSTITUTE(근태!BP23,":","")&amp;"-"&amp;SUBSTITUTE(근태!BQ23,":","")))</f>
        <v/>
      </c>
      <c r="Z23" s="39">
        <f>IF(근태!BR23="","",IF(근태!BS23="",근태!BR23,근태!BR23&amp;" "&amp;SUBSTITUTE(근태!BS23,":","")&amp;"-"&amp;SUBSTITUTE(근태!BT23,":","")))</f>
        <v/>
      </c>
      <c r="AA23" s="39">
        <f>IF(근태!BU23="","",IF(근태!BV23="",근태!BU23,근태!BU23&amp;" "&amp;SUBSTITUTE(근태!BV23,":","")&amp;"-"&amp;SUBSTITUTE(근태!BW23,":","")))</f>
        <v/>
      </c>
      <c r="AB23" s="39">
        <f>IF(근태!BX23="","",IF(근태!BY23="",근태!BX23,근태!BX23&amp;" "&amp;SUBSTITUTE(근태!BY23,":","")&amp;"-"&amp;SUBSTITUTE(근태!BZ23,":","")))</f>
        <v/>
      </c>
      <c r="AC23" s="39">
        <f>IF(근태!CA23="","",IF(근태!CB23="",근태!CA23,근태!CA23&amp;" "&amp;SUBSTITUTE(근태!CB23,":","")&amp;"-"&amp;SUBSTITUTE(근태!CC23,":","")))</f>
        <v/>
      </c>
      <c r="AD23" s="39">
        <f>IF(근태!CD23="","",IF(근태!CE23="",근태!CD23,근태!CD23&amp;" "&amp;SUBSTITUTE(근태!CE23,":","")&amp;"-"&amp;SUBSTITUTE(근태!CF23,":","")))</f>
        <v/>
      </c>
      <c r="AE23" s="39">
        <f>IF(근태!CG23="","",IF(근태!CH23="",근태!CG23,근태!CG23&amp;" "&amp;SUBSTITUTE(근태!CH23,":","")&amp;"-"&amp;SUBSTITUTE(근태!CI23,":","")))</f>
        <v/>
      </c>
      <c r="AF23" s="39">
        <f>IF(근태!CJ23="","",IF(근태!CK23="",근태!CJ23,근태!CJ23&amp;" "&amp;SUBSTITUTE(근태!CK23,":","")&amp;"-"&amp;SUBSTITUTE(근태!CL23,":","")))</f>
        <v/>
      </c>
      <c r="AG23" s="39">
        <f>IF(근태!CM23="","",IF(근태!CN23="",근태!CM23,근태!CM23&amp;" "&amp;SUBSTITUTE(근태!CN23,":","")&amp;"-"&amp;SUBSTITUTE(근태!CO23,":","")))</f>
        <v/>
      </c>
      <c r="AH23" s="39">
        <f>IF(근태!CP23="","",IF(근태!CQ23="",근태!CP23,근태!CP23&amp;" "&amp;SUBSTITUTE(근태!CQ23,":","")&amp;"-"&amp;SUBSTITUTE(근태!CR23,":","")))</f>
        <v/>
      </c>
    </row>
    <row r="24">
      <c r="A24" s="15">
        <f>IF(명부!A18="","",명부!A18)</f>
        <v/>
      </c>
      <c r="B24" s="16">
        <f>IF(명부!C18="","",명부!C18)</f>
        <v/>
      </c>
      <c r="C24" s="17">
        <f>IF(명부!E18="","",명부!E18)</f>
        <v/>
      </c>
      <c r="D24" s="39">
        <f>IF(근태!D24="","",IF(근태!E24="",근태!D24,근태!D24&amp;" "&amp;SUBSTITUTE(근태!E24,":","")&amp;"-"&amp;SUBSTITUTE(근태!F24,":","")))</f>
        <v/>
      </c>
      <c r="E24" s="39">
        <f>IF(근태!G24="","",IF(근태!H24="",근태!G24,근태!G24&amp;" "&amp;SUBSTITUTE(근태!H24,":","")&amp;"-"&amp;SUBSTITUTE(근태!I24,":","")))</f>
        <v/>
      </c>
      <c r="F24" s="39">
        <f>IF(근태!J24="","",IF(근태!K24="",근태!J24,근태!J24&amp;" "&amp;SUBSTITUTE(근태!K24,":","")&amp;"-"&amp;SUBSTITUTE(근태!L24,":","")))</f>
        <v/>
      </c>
      <c r="G24" s="39">
        <f>IF(근태!M24="","",IF(근태!N24="",근태!M24,근태!M24&amp;" "&amp;SUBSTITUTE(근태!N24,":","")&amp;"-"&amp;SUBSTITUTE(근태!O24,":","")))</f>
        <v/>
      </c>
      <c r="H24" s="39">
        <f>IF(근태!P24="","",IF(근태!Q24="",근태!P24,근태!P24&amp;" "&amp;SUBSTITUTE(근태!Q24,":","")&amp;"-"&amp;SUBSTITUTE(근태!R24,":","")))</f>
        <v/>
      </c>
      <c r="I24" s="39">
        <f>IF(근태!S24="","",IF(근태!T24="",근태!S24,근태!S24&amp;" "&amp;SUBSTITUTE(근태!T24,":","")&amp;"-"&amp;SUBSTITUTE(근태!U24,":","")))</f>
        <v/>
      </c>
      <c r="J24" s="39">
        <f>IF(근태!V24="","",IF(근태!W24="",근태!V24,근태!V24&amp;" "&amp;SUBSTITUTE(근태!W24,":","")&amp;"-"&amp;SUBSTITUTE(근태!X24,":","")))</f>
        <v/>
      </c>
      <c r="K24" s="39">
        <f>IF(근태!Y24="","",IF(근태!Z24="",근태!Y24,근태!Y24&amp;" "&amp;SUBSTITUTE(근태!Z24,":","")&amp;"-"&amp;SUBSTITUTE(근태!AA24,":","")))</f>
        <v/>
      </c>
      <c r="L24" s="39">
        <f>IF(근태!AB24="","",IF(근태!AC24="",근태!AB24,근태!AB24&amp;" "&amp;SUBSTITUTE(근태!AC24,":","")&amp;"-"&amp;SUBSTITUTE(근태!AD24,":","")))</f>
        <v/>
      </c>
      <c r="M24" s="39">
        <f>IF(근태!AE24="","",IF(근태!AF24="",근태!AE24,근태!AE24&amp;" "&amp;SUBSTITUTE(근태!AF24,":","")&amp;"-"&amp;SUBSTITUTE(근태!AG24,":","")))</f>
        <v/>
      </c>
      <c r="N24" s="39">
        <f>IF(근태!AH24="","",IF(근태!AI24="",근태!AH24,근태!AH24&amp;" "&amp;SUBSTITUTE(근태!AI24,":","")&amp;"-"&amp;SUBSTITUTE(근태!AJ24,":","")))</f>
        <v/>
      </c>
      <c r="O24" s="39">
        <f>IF(근태!AK24="","",IF(근태!AL24="",근태!AK24,근태!AK24&amp;" "&amp;SUBSTITUTE(근태!AL24,":","")&amp;"-"&amp;SUBSTITUTE(근태!AM24,":","")))</f>
        <v/>
      </c>
      <c r="P24" s="39">
        <f>IF(근태!AN24="","",IF(근태!AO24="",근태!AN24,근태!AN24&amp;" "&amp;SUBSTITUTE(근태!AO24,":","")&amp;"-"&amp;SUBSTITUTE(근태!AP24,":","")))</f>
        <v/>
      </c>
      <c r="Q24" s="39">
        <f>IF(근태!AQ24="","",IF(근태!AR24="",근태!AQ24,근태!AQ24&amp;" "&amp;SUBSTITUTE(근태!AR24,":","")&amp;"-"&amp;SUBSTITUTE(근태!AS24,":","")))</f>
        <v/>
      </c>
      <c r="R24" s="39">
        <f>IF(근태!AT24="","",IF(근태!AU24="",근태!AT24,근태!AT24&amp;" "&amp;SUBSTITUTE(근태!AU24,":","")&amp;"-"&amp;SUBSTITUTE(근태!AV24,":","")))</f>
        <v/>
      </c>
      <c r="S24" s="39">
        <f>IF(근태!AW24="","",IF(근태!AX24="",근태!AW24,근태!AW24&amp;" "&amp;SUBSTITUTE(근태!AX24,":","")&amp;"-"&amp;SUBSTITUTE(근태!AY24,":","")))</f>
        <v/>
      </c>
      <c r="T24" s="39">
        <f>IF(근태!AZ24="","",IF(근태!BA24="",근태!AZ24,근태!AZ24&amp;" "&amp;SUBSTITUTE(근태!BA24,":","")&amp;"-"&amp;SUBSTITUTE(근태!BB24,":","")))</f>
        <v/>
      </c>
      <c r="U24" s="39">
        <f>IF(근태!BC24="","",IF(근태!BD24="",근태!BC24,근태!BC24&amp;" "&amp;SUBSTITUTE(근태!BD24,":","")&amp;"-"&amp;SUBSTITUTE(근태!BE24,":","")))</f>
        <v/>
      </c>
      <c r="V24" s="39">
        <f>IF(근태!BF24="","",IF(근태!BG24="",근태!BF24,근태!BF24&amp;" "&amp;SUBSTITUTE(근태!BG24,":","")&amp;"-"&amp;SUBSTITUTE(근태!BH24,":","")))</f>
        <v/>
      </c>
      <c r="W24" s="39">
        <f>IF(근태!BI24="","",IF(근태!BJ24="",근태!BI24,근태!BI24&amp;" "&amp;SUBSTITUTE(근태!BJ24,":","")&amp;"-"&amp;SUBSTITUTE(근태!BK24,":","")))</f>
        <v/>
      </c>
      <c r="X24" s="39">
        <f>IF(근태!BL24="","",IF(근태!BM24="",근태!BL24,근태!BL24&amp;" "&amp;SUBSTITUTE(근태!BM24,":","")&amp;"-"&amp;SUBSTITUTE(근태!BN24,":","")))</f>
        <v/>
      </c>
      <c r="Y24" s="39">
        <f>IF(근태!BO24="","",IF(근태!BP24="",근태!BO24,근태!BO24&amp;" "&amp;SUBSTITUTE(근태!BP24,":","")&amp;"-"&amp;SUBSTITUTE(근태!BQ24,":","")))</f>
        <v/>
      </c>
      <c r="Z24" s="39">
        <f>IF(근태!BR24="","",IF(근태!BS24="",근태!BR24,근태!BR24&amp;" "&amp;SUBSTITUTE(근태!BS24,":","")&amp;"-"&amp;SUBSTITUTE(근태!BT24,":","")))</f>
        <v/>
      </c>
      <c r="AA24" s="39">
        <f>IF(근태!BU24="","",IF(근태!BV24="",근태!BU24,근태!BU24&amp;" "&amp;SUBSTITUTE(근태!BV24,":","")&amp;"-"&amp;SUBSTITUTE(근태!BW24,":","")))</f>
        <v/>
      </c>
      <c r="AB24" s="39">
        <f>IF(근태!BX24="","",IF(근태!BY24="",근태!BX24,근태!BX24&amp;" "&amp;SUBSTITUTE(근태!BY24,":","")&amp;"-"&amp;SUBSTITUTE(근태!BZ24,":","")))</f>
        <v/>
      </c>
      <c r="AC24" s="39">
        <f>IF(근태!CA24="","",IF(근태!CB24="",근태!CA24,근태!CA24&amp;" "&amp;SUBSTITUTE(근태!CB24,":","")&amp;"-"&amp;SUBSTITUTE(근태!CC24,":","")))</f>
        <v/>
      </c>
      <c r="AD24" s="39">
        <f>IF(근태!CD24="","",IF(근태!CE24="",근태!CD24,근태!CD24&amp;" "&amp;SUBSTITUTE(근태!CE24,":","")&amp;"-"&amp;SUBSTITUTE(근태!CF24,":","")))</f>
        <v/>
      </c>
      <c r="AE24" s="39">
        <f>IF(근태!CG24="","",IF(근태!CH24="",근태!CG24,근태!CG24&amp;" "&amp;SUBSTITUTE(근태!CH24,":","")&amp;"-"&amp;SUBSTITUTE(근태!CI24,":","")))</f>
        <v/>
      </c>
      <c r="AF24" s="39">
        <f>IF(근태!CJ24="","",IF(근태!CK24="",근태!CJ24,근태!CJ24&amp;" "&amp;SUBSTITUTE(근태!CK24,":","")&amp;"-"&amp;SUBSTITUTE(근태!CL24,":","")))</f>
        <v/>
      </c>
      <c r="AG24" s="39">
        <f>IF(근태!CM24="","",IF(근태!CN24="",근태!CM24,근태!CM24&amp;" "&amp;SUBSTITUTE(근태!CN24,":","")&amp;"-"&amp;SUBSTITUTE(근태!CO24,":","")))</f>
        <v/>
      </c>
      <c r="AH24" s="39">
        <f>IF(근태!CP24="","",IF(근태!CQ24="",근태!CP24,근태!CP24&amp;" "&amp;SUBSTITUTE(근태!CQ24,":","")&amp;"-"&amp;SUBSTITUTE(근태!CR24,":","")))</f>
        <v/>
      </c>
    </row>
    <row r="25">
      <c r="A25" s="15">
        <f>IF(명부!A19="","",명부!A19)</f>
        <v/>
      </c>
      <c r="B25" s="16">
        <f>IF(명부!C19="","",명부!C19)</f>
        <v/>
      </c>
      <c r="C25" s="17">
        <f>IF(명부!E19="","",명부!E19)</f>
        <v/>
      </c>
      <c r="D25" s="39">
        <f>IF(근태!D25="","",IF(근태!E25="",근태!D25,근태!D25&amp;" "&amp;SUBSTITUTE(근태!E25,":","")&amp;"-"&amp;SUBSTITUTE(근태!F25,":","")))</f>
        <v/>
      </c>
      <c r="E25" s="39">
        <f>IF(근태!G25="","",IF(근태!H25="",근태!G25,근태!G25&amp;" "&amp;SUBSTITUTE(근태!H25,":","")&amp;"-"&amp;SUBSTITUTE(근태!I25,":","")))</f>
        <v/>
      </c>
      <c r="F25" s="39">
        <f>IF(근태!J25="","",IF(근태!K25="",근태!J25,근태!J25&amp;" "&amp;SUBSTITUTE(근태!K25,":","")&amp;"-"&amp;SUBSTITUTE(근태!L25,":","")))</f>
        <v/>
      </c>
      <c r="G25" s="39">
        <f>IF(근태!M25="","",IF(근태!N25="",근태!M25,근태!M25&amp;" "&amp;SUBSTITUTE(근태!N25,":","")&amp;"-"&amp;SUBSTITUTE(근태!O25,":","")))</f>
        <v/>
      </c>
      <c r="H25" s="39">
        <f>IF(근태!P25="","",IF(근태!Q25="",근태!P25,근태!P25&amp;" "&amp;SUBSTITUTE(근태!Q25,":","")&amp;"-"&amp;SUBSTITUTE(근태!R25,":","")))</f>
        <v/>
      </c>
      <c r="I25" s="39">
        <f>IF(근태!S25="","",IF(근태!T25="",근태!S25,근태!S25&amp;" "&amp;SUBSTITUTE(근태!T25,":","")&amp;"-"&amp;SUBSTITUTE(근태!U25,":","")))</f>
        <v/>
      </c>
      <c r="J25" s="39">
        <f>IF(근태!V25="","",IF(근태!W25="",근태!V25,근태!V25&amp;" "&amp;SUBSTITUTE(근태!W25,":","")&amp;"-"&amp;SUBSTITUTE(근태!X25,":","")))</f>
        <v/>
      </c>
      <c r="K25" s="39">
        <f>IF(근태!Y25="","",IF(근태!Z25="",근태!Y25,근태!Y25&amp;" "&amp;SUBSTITUTE(근태!Z25,":","")&amp;"-"&amp;SUBSTITUTE(근태!AA25,":","")))</f>
        <v/>
      </c>
      <c r="L25" s="39">
        <f>IF(근태!AB25="","",IF(근태!AC25="",근태!AB25,근태!AB25&amp;" "&amp;SUBSTITUTE(근태!AC25,":","")&amp;"-"&amp;SUBSTITUTE(근태!AD25,":","")))</f>
        <v/>
      </c>
      <c r="M25" s="39">
        <f>IF(근태!AE25="","",IF(근태!AF25="",근태!AE25,근태!AE25&amp;" "&amp;SUBSTITUTE(근태!AF25,":","")&amp;"-"&amp;SUBSTITUTE(근태!AG25,":","")))</f>
        <v/>
      </c>
      <c r="N25" s="39">
        <f>IF(근태!AH25="","",IF(근태!AI25="",근태!AH25,근태!AH25&amp;" "&amp;SUBSTITUTE(근태!AI25,":","")&amp;"-"&amp;SUBSTITUTE(근태!AJ25,":","")))</f>
        <v/>
      </c>
      <c r="O25" s="39">
        <f>IF(근태!AK25="","",IF(근태!AL25="",근태!AK25,근태!AK25&amp;" "&amp;SUBSTITUTE(근태!AL25,":","")&amp;"-"&amp;SUBSTITUTE(근태!AM25,":","")))</f>
        <v/>
      </c>
      <c r="P25" s="39">
        <f>IF(근태!AN25="","",IF(근태!AO25="",근태!AN25,근태!AN25&amp;" "&amp;SUBSTITUTE(근태!AO25,":","")&amp;"-"&amp;SUBSTITUTE(근태!AP25,":","")))</f>
        <v/>
      </c>
      <c r="Q25" s="39">
        <f>IF(근태!AQ25="","",IF(근태!AR25="",근태!AQ25,근태!AQ25&amp;" "&amp;SUBSTITUTE(근태!AR25,":","")&amp;"-"&amp;SUBSTITUTE(근태!AS25,":","")))</f>
        <v/>
      </c>
      <c r="R25" s="39">
        <f>IF(근태!AT25="","",IF(근태!AU25="",근태!AT25,근태!AT25&amp;" "&amp;SUBSTITUTE(근태!AU25,":","")&amp;"-"&amp;SUBSTITUTE(근태!AV25,":","")))</f>
        <v/>
      </c>
      <c r="S25" s="39">
        <f>IF(근태!AW25="","",IF(근태!AX25="",근태!AW25,근태!AW25&amp;" "&amp;SUBSTITUTE(근태!AX25,":","")&amp;"-"&amp;SUBSTITUTE(근태!AY25,":","")))</f>
        <v/>
      </c>
      <c r="T25" s="39">
        <f>IF(근태!AZ25="","",IF(근태!BA25="",근태!AZ25,근태!AZ25&amp;" "&amp;SUBSTITUTE(근태!BA25,":","")&amp;"-"&amp;SUBSTITUTE(근태!BB25,":","")))</f>
        <v/>
      </c>
      <c r="U25" s="39">
        <f>IF(근태!BC25="","",IF(근태!BD25="",근태!BC25,근태!BC25&amp;" "&amp;SUBSTITUTE(근태!BD25,":","")&amp;"-"&amp;SUBSTITUTE(근태!BE25,":","")))</f>
        <v/>
      </c>
      <c r="V25" s="39">
        <f>IF(근태!BF25="","",IF(근태!BG25="",근태!BF25,근태!BF25&amp;" "&amp;SUBSTITUTE(근태!BG25,":","")&amp;"-"&amp;SUBSTITUTE(근태!BH25,":","")))</f>
        <v/>
      </c>
      <c r="W25" s="39">
        <f>IF(근태!BI25="","",IF(근태!BJ25="",근태!BI25,근태!BI25&amp;" "&amp;SUBSTITUTE(근태!BJ25,":","")&amp;"-"&amp;SUBSTITUTE(근태!BK25,":","")))</f>
        <v/>
      </c>
      <c r="X25" s="39">
        <f>IF(근태!BL25="","",IF(근태!BM25="",근태!BL25,근태!BL25&amp;" "&amp;SUBSTITUTE(근태!BM25,":","")&amp;"-"&amp;SUBSTITUTE(근태!BN25,":","")))</f>
        <v/>
      </c>
      <c r="Y25" s="39">
        <f>IF(근태!BO25="","",IF(근태!BP25="",근태!BO25,근태!BO25&amp;" "&amp;SUBSTITUTE(근태!BP25,":","")&amp;"-"&amp;SUBSTITUTE(근태!BQ25,":","")))</f>
        <v/>
      </c>
      <c r="Z25" s="39">
        <f>IF(근태!BR25="","",IF(근태!BS25="",근태!BR25,근태!BR25&amp;" "&amp;SUBSTITUTE(근태!BS25,":","")&amp;"-"&amp;SUBSTITUTE(근태!BT25,":","")))</f>
        <v/>
      </c>
      <c r="AA25" s="39">
        <f>IF(근태!BU25="","",IF(근태!BV25="",근태!BU25,근태!BU25&amp;" "&amp;SUBSTITUTE(근태!BV25,":","")&amp;"-"&amp;SUBSTITUTE(근태!BW25,":","")))</f>
        <v/>
      </c>
      <c r="AB25" s="39">
        <f>IF(근태!BX25="","",IF(근태!BY25="",근태!BX25,근태!BX25&amp;" "&amp;SUBSTITUTE(근태!BY25,":","")&amp;"-"&amp;SUBSTITUTE(근태!BZ25,":","")))</f>
        <v/>
      </c>
      <c r="AC25" s="39">
        <f>IF(근태!CA25="","",IF(근태!CB25="",근태!CA25,근태!CA25&amp;" "&amp;SUBSTITUTE(근태!CB25,":","")&amp;"-"&amp;SUBSTITUTE(근태!CC25,":","")))</f>
        <v/>
      </c>
      <c r="AD25" s="39">
        <f>IF(근태!CD25="","",IF(근태!CE25="",근태!CD25,근태!CD25&amp;" "&amp;SUBSTITUTE(근태!CE25,":","")&amp;"-"&amp;SUBSTITUTE(근태!CF25,":","")))</f>
        <v/>
      </c>
      <c r="AE25" s="39">
        <f>IF(근태!CG25="","",IF(근태!CH25="",근태!CG25,근태!CG25&amp;" "&amp;SUBSTITUTE(근태!CH25,":","")&amp;"-"&amp;SUBSTITUTE(근태!CI25,":","")))</f>
        <v/>
      </c>
      <c r="AF25" s="39">
        <f>IF(근태!CJ25="","",IF(근태!CK25="",근태!CJ25,근태!CJ25&amp;" "&amp;SUBSTITUTE(근태!CK25,":","")&amp;"-"&amp;SUBSTITUTE(근태!CL25,":","")))</f>
        <v/>
      </c>
      <c r="AG25" s="39">
        <f>IF(근태!CM25="","",IF(근태!CN25="",근태!CM25,근태!CM25&amp;" "&amp;SUBSTITUTE(근태!CN25,":","")&amp;"-"&amp;SUBSTITUTE(근태!CO25,":","")))</f>
        <v/>
      </c>
      <c r="AH25" s="39">
        <f>IF(근태!CP25="","",IF(근태!CQ25="",근태!CP25,근태!CP25&amp;" "&amp;SUBSTITUTE(근태!CQ25,":","")&amp;"-"&amp;SUBSTITUTE(근태!CR25,":","")))</f>
        <v/>
      </c>
    </row>
    <row r="26">
      <c r="A26" s="15">
        <f>IF(명부!A20="","",명부!A20)</f>
        <v/>
      </c>
      <c r="B26" s="16">
        <f>IF(명부!C20="","",명부!C20)</f>
        <v/>
      </c>
      <c r="C26" s="17">
        <f>IF(명부!E20="","",명부!E20)</f>
        <v/>
      </c>
      <c r="D26" s="39">
        <f>IF(근태!D26="","",IF(근태!E26="",근태!D26,근태!D26&amp;" "&amp;SUBSTITUTE(근태!E26,":","")&amp;"-"&amp;SUBSTITUTE(근태!F26,":","")))</f>
        <v/>
      </c>
      <c r="E26" s="39">
        <f>IF(근태!G26="","",IF(근태!H26="",근태!G26,근태!G26&amp;" "&amp;SUBSTITUTE(근태!H26,":","")&amp;"-"&amp;SUBSTITUTE(근태!I26,":","")))</f>
        <v/>
      </c>
      <c r="F26" s="39">
        <f>IF(근태!J26="","",IF(근태!K26="",근태!J26,근태!J26&amp;" "&amp;SUBSTITUTE(근태!K26,":","")&amp;"-"&amp;SUBSTITUTE(근태!L26,":","")))</f>
        <v/>
      </c>
      <c r="G26" s="39">
        <f>IF(근태!M26="","",IF(근태!N26="",근태!M26,근태!M26&amp;" "&amp;SUBSTITUTE(근태!N26,":","")&amp;"-"&amp;SUBSTITUTE(근태!O26,":","")))</f>
        <v/>
      </c>
      <c r="H26" s="39">
        <f>IF(근태!P26="","",IF(근태!Q26="",근태!P26,근태!P26&amp;" "&amp;SUBSTITUTE(근태!Q26,":","")&amp;"-"&amp;SUBSTITUTE(근태!R26,":","")))</f>
        <v/>
      </c>
      <c r="I26" s="39">
        <f>IF(근태!S26="","",IF(근태!T26="",근태!S26,근태!S26&amp;" "&amp;SUBSTITUTE(근태!T26,":","")&amp;"-"&amp;SUBSTITUTE(근태!U26,":","")))</f>
        <v/>
      </c>
      <c r="J26" s="39">
        <f>IF(근태!V26="","",IF(근태!W26="",근태!V26,근태!V26&amp;" "&amp;SUBSTITUTE(근태!W26,":","")&amp;"-"&amp;SUBSTITUTE(근태!X26,":","")))</f>
        <v/>
      </c>
      <c r="K26" s="39">
        <f>IF(근태!Y26="","",IF(근태!Z26="",근태!Y26,근태!Y26&amp;" "&amp;SUBSTITUTE(근태!Z26,":","")&amp;"-"&amp;SUBSTITUTE(근태!AA26,":","")))</f>
        <v/>
      </c>
      <c r="L26" s="39">
        <f>IF(근태!AB26="","",IF(근태!AC26="",근태!AB26,근태!AB26&amp;" "&amp;SUBSTITUTE(근태!AC26,":","")&amp;"-"&amp;SUBSTITUTE(근태!AD26,":","")))</f>
        <v/>
      </c>
      <c r="M26" s="39">
        <f>IF(근태!AE26="","",IF(근태!AF26="",근태!AE26,근태!AE26&amp;" "&amp;SUBSTITUTE(근태!AF26,":","")&amp;"-"&amp;SUBSTITUTE(근태!AG26,":","")))</f>
        <v/>
      </c>
      <c r="N26" s="39">
        <f>IF(근태!AH26="","",IF(근태!AI26="",근태!AH26,근태!AH26&amp;" "&amp;SUBSTITUTE(근태!AI26,":","")&amp;"-"&amp;SUBSTITUTE(근태!AJ26,":","")))</f>
        <v/>
      </c>
      <c r="O26" s="39">
        <f>IF(근태!AK26="","",IF(근태!AL26="",근태!AK26,근태!AK26&amp;" "&amp;SUBSTITUTE(근태!AL26,":","")&amp;"-"&amp;SUBSTITUTE(근태!AM26,":","")))</f>
        <v/>
      </c>
      <c r="P26" s="39">
        <f>IF(근태!AN26="","",IF(근태!AO26="",근태!AN26,근태!AN26&amp;" "&amp;SUBSTITUTE(근태!AO26,":","")&amp;"-"&amp;SUBSTITUTE(근태!AP26,":","")))</f>
        <v/>
      </c>
      <c r="Q26" s="39">
        <f>IF(근태!AQ26="","",IF(근태!AR26="",근태!AQ26,근태!AQ26&amp;" "&amp;SUBSTITUTE(근태!AR26,":","")&amp;"-"&amp;SUBSTITUTE(근태!AS26,":","")))</f>
        <v/>
      </c>
      <c r="R26" s="39">
        <f>IF(근태!AT26="","",IF(근태!AU26="",근태!AT26,근태!AT26&amp;" "&amp;SUBSTITUTE(근태!AU26,":","")&amp;"-"&amp;SUBSTITUTE(근태!AV26,":","")))</f>
        <v/>
      </c>
      <c r="S26" s="39">
        <f>IF(근태!AW26="","",IF(근태!AX26="",근태!AW26,근태!AW26&amp;" "&amp;SUBSTITUTE(근태!AX26,":","")&amp;"-"&amp;SUBSTITUTE(근태!AY26,":","")))</f>
        <v/>
      </c>
      <c r="T26" s="39">
        <f>IF(근태!AZ26="","",IF(근태!BA26="",근태!AZ26,근태!AZ26&amp;" "&amp;SUBSTITUTE(근태!BA26,":","")&amp;"-"&amp;SUBSTITUTE(근태!BB26,":","")))</f>
        <v/>
      </c>
      <c r="U26" s="39">
        <f>IF(근태!BC26="","",IF(근태!BD26="",근태!BC26,근태!BC26&amp;" "&amp;SUBSTITUTE(근태!BD26,":","")&amp;"-"&amp;SUBSTITUTE(근태!BE26,":","")))</f>
        <v/>
      </c>
      <c r="V26" s="39">
        <f>IF(근태!BF26="","",IF(근태!BG26="",근태!BF26,근태!BF26&amp;" "&amp;SUBSTITUTE(근태!BG26,":","")&amp;"-"&amp;SUBSTITUTE(근태!BH26,":","")))</f>
        <v/>
      </c>
      <c r="W26" s="39">
        <f>IF(근태!BI26="","",IF(근태!BJ26="",근태!BI26,근태!BI26&amp;" "&amp;SUBSTITUTE(근태!BJ26,":","")&amp;"-"&amp;SUBSTITUTE(근태!BK26,":","")))</f>
        <v/>
      </c>
      <c r="X26" s="39">
        <f>IF(근태!BL26="","",IF(근태!BM26="",근태!BL26,근태!BL26&amp;" "&amp;SUBSTITUTE(근태!BM26,":","")&amp;"-"&amp;SUBSTITUTE(근태!BN26,":","")))</f>
        <v/>
      </c>
      <c r="Y26" s="39">
        <f>IF(근태!BO26="","",IF(근태!BP26="",근태!BO26,근태!BO26&amp;" "&amp;SUBSTITUTE(근태!BP26,":","")&amp;"-"&amp;SUBSTITUTE(근태!BQ26,":","")))</f>
        <v/>
      </c>
      <c r="Z26" s="39">
        <f>IF(근태!BR26="","",IF(근태!BS26="",근태!BR26,근태!BR26&amp;" "&amp;SUBSTITUTE(근태!BS26,":","")&amp;"-"&amp;SUBSTITUTE(근태!BT26,":","")))</f>
        <v/>
      </c>
      <c r="AA26" s="39">
        <f>IF(근태!BU26="","",IF(근태!BV26="",근태!BU26,근태!BU26&amp;" "&amp;SUBSTITUTE(근태!BV26,":","")&amp;"-"&amp;SUBSTITUTE(근태!BW26,":","")))</f>
        <v/>
      </c>
      <c r="AB26" s="39">
        <f>IF(근태!BX26="","",IF(근태!BY26="",근태!BX26,근태!BX26&amp;" "&amp;SUBSTITUTE(근태!BY26,":","")&amp;"-"&amp;SUBSTITUTE(근태!BZ26,":","")))</f>
        <v/>
      </c>
      <c r="AC26" s="39">
        <f>IF(근태!CA26="","",IF(근태!CB26="",근태!CA26,근태!CA26&amp;" "&amp;SUBSTITUTE(근태!CB26,":","")&amp;"-"&amp;SUBSTITUTE(근태!CC26,":","")))</f>
        <v/>
      </c>
      <c r="AD26" s="39">
        <f>IF(근태!CD26="","",IF(근태!CE26="",근태!CD26,근태!CD26&amp;" "&amp;SUBSTITUTE(근태!CE26,":","")&amp;"-"&amp;SUBSTITUTE(근태!CF26,":","")))</f>
        <v/>
      </c>
      <c r="AE26" s="39">
        <f>IF(근태!CG26="","",IF(근태!CH26="",근태!CG26,근태!CG26&amp;" "&amp;SUBSTITUTE(근태!CH26,":","")&amp;"-"&amp;SUBSTITUTE(근태!CI26,":","")))</f>
        <v/>
      </c>
      <c r="AF26" s="39">
        <f>IF(근태!CJ26="","",IF(근태!CK26="",근태!CJ26,근태!CJ26&amp;" "&amp;SUBSTITUTE(근태!CK26,":","")&amp;"-"&amp;SUBSTITUTE(근태!CL26,":","")))</f>
        <v/>
      </c>
      <c r="AG26" s="39">
        <f>IF(근태!CM26="","",IF(근태!CN26="",근태!CM26,근태!CM26&amp;" "&amp;SUBSTITUTE(근태!CN26,":","")&amp;"-"&amp;SUBSTITUTE(근태!CO26,":","")))</f>
        <v/>
      </c>
      <c r="AH26" s="39">
        <f>IF(근태!CP26="","",IF(근태!CQ26="",근태!CP26,근태!CP26&amp;" "&amp;SUBSTITUTE(근태!CQ26,":","")&amp;"-"&amp;SUBSTITUTE(근태!CR26,":","")))</f>
        <v/>
      </c>
    </row>
    <row r="27">
      <c r="A27" s="15">
        <f>IF(명부!A21="","",명부!A21)</f>
        <v/>
      </c>
      <c r="B27" s="16">
        <f>IF(명부!C21="","",명부!C21)</f>
        <v/>
      </c>
      <c r="C27" s="17">
        <f>IF(명부!E21="","",명부!E21)</f>
        <v/>
      </c>
      <c r="D27" s="39">
        <f>IF(근태!D27="","",IF(근태!E27="",근태!D27,근태!D27&amp;" "&amp;SUBSTITUTE(근태!E27,":","")&amp;"-"&amp;SUBSTITUTE(근태!F27,":","")))</f>
        <v/>
      </c>
      <c r="E27" s="39">
        <f>IF(근태!G27="","",IF(근태!H27="",근태!G27,근태!G27&amp;" "&amp;SUBSTITUTE(근태!H27,":","")&amp;"-"&amp;SUBSTITUTE(근태!I27,":","")))</f>
        <v/>
      </c>
      <c r="F27" s="39">
        <f>IF(근태!J27="","",IF(근태!K27="",근태!J27,근태!J27&amp;" "&amp;SUBSTITUTE(근태!K27,":","")&amp;"-"&amp;SUBSTITUTE(근태!L27,":","")))</f>
        <v/>
      </c>
      <c r="G27" s="39">
        <f>IF(근태!M27="","",IF(근태!N27="",근태!M27,근태!M27&amp;" "&amp;SUBSTITUTE(근태!N27,":","")&amp;"-"&amp;SUBSTITUTE(근태!O27,":","")))</f>
        <v/>
      </c>
      <c r="H27" s="39">
        <f>IF(근태!P27="","",IF(근태!Q27="",근태!P27,근태!P27&amp;" "&amp;SUBSTITUTE(근태!Q27,":","")&amp;"-"&amp;SUBSTITUTE(근태!R27,":","")))</f>
        <v/>
      </c>
      <c r="I27" s="39">
        <f>IF(근태!S27="","",IF(근태!T27="",근태!S27,근태!S27&amp;" "&amp;SUBSTITUTE(근태!T27,":","")&amp;"-"&amp;SUBSTITUTE(근태!U27,":","")))</f>
        <v/>
      </c>
      <c r="J27" s="39">
        <f>IF(근태!V27="","",IF(근태!W27="",근태!V27,근태!V27&amp;" "&amp;SUBSTITUTE(근태!W27,":","")&amp;"-"&amp;SUBSTITUTE(근태!X27,":","")))</f>
        <v/>
      </c>
      <c r="K27" s="39">
        <f>IF(근태!Y27="","",IF(근태!Z27="",근태!Y27,근태!Y27&amp;" "&amp;SUBSTITUTE(근태!Z27,":","")&amp;"-"&amp;SUBSTITUTE(근태!AA27,":","")))</f>
        <v/>
      </c>
      <c r="L27" s="39">
        <f>IF(근태!AB27="","",IF(근태!AC27="",근태!AB27,근태!AB27&amp;" "&amp;SUBSTITUTE(근태!AC27,":","")&amp;"-"&amp;SUBSTITUTE(근태!AD27,":","")))</f>
        <v/>
      </c>
      <c r="M27" s="39">
        <f>IF(근태!AE27="","",IF(근태!AF27="",근태!AE27,근태!AE27&amp;" "&amp;SUBSTITUTE(근태!AF27,":","")&amp;"-"&amp;SUBSTITUTE(근태!AG27,":","")))</f>
        <v/>
      </c>
      <c r="N27" s="39">
        <f>IF(근태!AH27="","",IF(근태!AI27="",근태!AH27,근태!AH27&amp;" "&amp;SUBSTITUTE(근태!AI27,":","")&amp;"-"&amp;SUBSTITUTE(근태!AJ27,":","")))</f>
        <v/>
      </c>
      <c r="O27" s="39">
        <f>IF(근태!AK27="","",IF(근태!AL27="",근태!AK27,근태!AK27&amp;" "&amp;SUBSTITUTE(근태!AL27,":","")&amp;"-"&amp;SUBSTITUTE(근태!AM27,":","")))</f>
        <v/>
      </c>
      <c r="P27" s="39">
        <f>IF(근태!AN27="","",IF(근태!AO27="",근태!AN27,근태!AN27&amp;" "&amp;SUBSTITUTE(근태!AO27,":","")&amp;"-"&amp;SUBSTITUTE(근태!AP27,":","")))</f>
        <v/>
      </c>
      <c r="Q27" s="39">
        <f>IF(근태!AQ27="","",IF(근태!AR27="",근태!AQ27,근태!AQ27&amp;" "&amp;SUBSTITUTE(근태!AR27,":","")&amp;"-"&amp;SUBSTITUTE(근태!AS27,":","")))</f>
        <v/>
      </c>
      <c r="R27" s="39">
        <f>IF(근태!AT27="","",IF(근태!AU27="",근태!AT27,근태!AT27&amp;" "&amp;SUBSTITUTE(근태!AU27,":","")&amp;"-"&amp;SUBSTITUTE(근태!AV27,":","")))</f>
        <v/>
      </c>
      <c r="S27" s="39">
        <f>IF(근태!AW27="","",IF(근태!AX27="",근태!AW27,근태!AW27&amp;" "&amp;SUBSTITUTE(근태!AX27,":","")&amp;"-"&amp;SUBSTITUTE(근태!AY27,":","")))</f>
        <v/>
      </c>
      <c r="T27" s="39">
        <f>IF(근태!AZ27="","",IF(근태!BA27="",근태!AZ27,근태!AZ27&amp;" "&amp;SUBSTITUTE(근태!BA27,":","")&amp;"-"&amp;SUBSTITUTE(근태!BB27,":","")))</f>
        <v/>
      </c>
      <c r="U27" s="39">
        <f>IF(근태!BC27="","",IF(근태!BD27="",근태!BC27,근태!BC27&amp;" "&amp;SUBSTITUTE(근태!BD27,":","")&amp;"-"&amp;SUBSTITUTE(근태!BE27,":","")))</f>
        <v/>
      </c>
      <c r="V27" s="39">
        <f>IF(근태!BF27="","",IF(근태!BG27="",근태!BF27,근태!BF27&amp;" "&amp;SUBSTITUTE(근태!BG27,":","")&amp;"-"&amp;SUBSTITUTE(근태!BH27,":","")))</f>
        <v/>
      </c>
      <c r="W27" s="39">
        <f>IF(근태!BI27="","",IF(근태!BJ27="",근태!BI27,근태!BI27&amp;" "&amp;SUBSTITUTE(근태!BJ27,":","")&amp;"-"&amp;SUBSTITUTE(근태!BK27,":","")))</f>
        <v/>
      </c>
      <c r="X27" s="39">
        <f>IF(근태!BL27="","",IF(근태!BM27="",근태!BL27,근태!BL27&amp;" "&amp;SUBSTITUTE(근태!BM27,":","")&amp;"-"&amp;SUBSTITUTE(근태!BN27,":","")))</f>
        <v/>
      </c>
      <c r="Y27" s="39">
        <f>IF(근태!BO27="","",IF(근태!BP27="",근태!BO27,근태!BO27&amp;" "&amp;SUBSTITUTE(근태!BP27,":","")&amp;"-"&amp;SUBSTITUTE(근태!BQ27,":","")))</f>
        <v/>
      </c>
      <c r="Z27" s="39">
        <f>IF(근태!BR27="","",IF(근태!BS27="",근태!BR27,근태!BR27&amp;" "&amp;SUBSTITUTE(근태!BS27,":","")&amp;"-"&amp;SUBSTITUTE(근태!BT27,":","")))</f>
        <v/>
      </c>
      <c r="AA27" s="39">
        <f>IF(근태!BU27="","",IF(근태!BV27="",근태!BU27,근태!BU27&amp;" "&amp;SUBSTITUTE(근태!BV27,":","")&amp;"-"&amp;SUBSTITUTE(근태!BW27,":","")))</f>
        <v/>
      </c>
      <c r="AB27" s="39">
        <f>IF(근태!BX27="","",IF(근태!BY27="",근태!BX27,근태!BX27&amp;" "&amp;SUBSTITUTE(근태!BY27,":","")&amp;"-"&amp;SUBSTITUTE(근태!BZ27,":","")))</f>
        <v/>
      </c>
      <c r="AC27" s="39">
        <f>IF(근태!CA27="","",IF(근태!CB27="",근태!CA27,근태!CA27&amp;" "&amp;SUBSTITUTE(근태!CB27,":","")&amp;"-"&amp;SUBSTITUTE(근태!CC27,":","")))</f>
        <v/>
      </c>
      <c r="AD27" s="39">
        <f>IF(근태!CD27="","",IF(근태!CE27="",근태!CD27,근태!CD27&amp;" "&amp;SUBSTITUTE(근태!CE27,":","")&amp;"-"&amp;SUBSTITUTE(근태!CF27,":","")))</f>
        <v/>
      </c>
      <c r="AE27" s="39">
        <f>IF(근태!CG27="","",IF(근태!CH27="",근태!CG27,근태!CG27&amp;" "&amp;SUBSTITUTE(근태!CH27,":","")&amp;"-"&amp;SUBSTITUTE(근태!CI27,":","")))</f>
        <v/>
      </c>
      <c r="AF27" s="39">
        <f>IF(근태!CJ27="","",IF(근태!CK27="",근태!CJ27,근태!CJ27&amp;" "&amp;SUBSTITUTE(근태!CK27,":","")&amp;"-"&amp;SUBSTITUTE(근태!CL27,":","")))</f>
        <v/>
      </c>
      <c r="AG27" s="39">
        <f>IF(근태!CM27="","",IF(근태!CN27="",근태!CM27,근태!CM27&amp;" "&amp;SUBSTITUTE(근태!CN27,":","")&amp;"-"&amp;SUBSTITUTE(근태!CO27,":","")))</f>
        <v/>
      </c>
      <c r="AH27" s="39">
        <f>IF(근태!CP27="","",IF(근태!CQ27="",근태!CP27,근태!CP27&amp;" "&amp;SUBSTITUTE(근태!CQ27,":","")&amp;"-"&amp;SUBSTITUTE(근태!CR27,":","")))</f>
        <v/>
      </c>
    </row>
    <row r="28">
      <c r="A28" s="15">
        <f>IF(명부!A22="","",명부!A22)</f>
        <v/>
      </c>
      <c r="B28" s="16">
        <f>IF(명부!C22="","",명부!C22)</f>
        <v/>
      </c>
      <c r="C28" s="17">
        <f>IF(명부!E22="","",명부!E22)</f>
        <v/>
      </c>
      <c r="D28" s="39">
        <f>IF(근태!D28="","",IF(근태!E28="",근태!D28,근태!D28&amp;" "&amp;SUBSTITUTE(근태!E28,":","")&amp;"-"&amp;SUBSTITUTE(근태!F28,":","")))</f>
        <v/>
      </c>
      <c r="E28" s="39">
        <f>IF(근태!G28="","",IF(근태!H28="",근태!G28,근태!G28&amp;" "&amp;SUBSTITUTE(근태!H28,":","")&amp;"-"&amp;SUBSTITUTE(근태!I28,":","")))</f>
        <v/>
      </c>
      <c r="F28" s="39">
        <f>IF(근태!J28="","",IF(근태!K28="",근태!J28,근태!J28&amp;" "&amp;SUBSTITUTE(근태!K28,":","")&amp;"-"&amp;SUBSTITUTE(근태!L28,":","")))</f>
        <v/>
      </c>
      <c r="G28" s="39">
        <f>IF(근태!M28="","",IF(근태!N28="",근태!M28,근태!M28&amp;" "&amp;SUBSTITUTE(근태!N28,":","")&amp;"-"&amp;SUBSTITUTE(근태!O28,":","")))</f>
        <v/>
      </c>
      <c r="H28" s="39">
        <f>IF(근태!P28="","",IF(근태!Q28="",근태!P28,근태!P28&amp;" "&amp;SUBSTITUTE(근태!Q28,":","")&amp;"-"&amp;SUBSTITUTE(근태!R28,":","")))</f>
        <v/>
      </c>
      <c r="I28" s="39">
        <f>IF(근태!S28="","",IF(근태!T28="",근태!S28,근태!S28&amp;" "&amp;SUBSTITUTE(근태!T28,":","")&amp;"-"&amp;SUBSTITUTE(근태!U28,":","")))</f>
        <v/>
      </c>
      <c r="J28" s="39">
        <f>IF(근태!V28="","",IF(근태!W28="",근태!V28,근태!V28&amp;" "&amp;SUBSTITUTE(근태!W28,":","")&amp;"-"&amp;SUBSTITUTE(근태!X28,":","")))</f>
        <v/>
      </c>
      <c r="K28" s="39">
        <f>IF(근태!Y28="","",IF(근태!Z28="",근태!Y28,근태!Y28&amp;" "&amp;SUBSTITUTE(근태!Z28,":","")&amp;"-"&amp;SUBSTITUTE(근태!AA28,":","")))</f>
        <v/>
      </c>
      <c r="L28" s="39">
        <f>IF(근태!AB28="","",IF(근태!AC28="",근태!AB28,근태!AB28&amp;" "&amp;SUBSTITUTE(근태!AC28,":","")&amp;"-"&amp;SUBSTITUTE(근태!AD28,":","")))</f>
        <v/>
      </c>
      <c r="M28" s="39">
        <f>IF(근태!AE28="","",IF(근태!AF28="",근태!AE28,근태!AE28&amp;" "&amp;SUBSTITUTE(근태!AF28,":","")&amp;"-"&amp;SUBSTITUTE(근태!AG28,":","")))</f>
        <v/>
      </c>
      <c r="N28" s="39">
        <f>IF(근태!AH28="","",IF(근태!AI28="",근태!AH28,근태!AH28&amp;" "&amp;SUBSTITUTE(근태!AI28,":","")&amp;"-"&amp;SUBSTITUTE(근태!AJ28,":","")))</f>
        <v/>
      </c>
      <c r="O28" s="39">
        <f>IF(근태!AK28="","",IF(근태!AL28="",근태!AK28,근태!AK28&amp;" "&amp;SUBSTITUTE(근태!AL28,":","")&amp;"-"&amp;SUBSTITUTE(근태!AM28,":","")))</f>
        <v/>
      </c>
      <c r="P28" s="39">
        <f>IF(근태!AN28="","",IF(근태!AO28="",근태!AN28,근태!AN28&amp;" "&amp;SUBSTITUTE(근태!AO28,":","")&amp;"-"&amp;SUBSTITUTE(근태!AP28,":","")))</f>
        <v/>
      </c>
      <c r="Q28" s="39">
        <f>IF(근태!AQ28="","",IF(근태!AR28="",근태!AQ28,근태!AQ28&amp;" "&amp;SUBSTITUTE(근태!AR28,":","")&amp;"-"&amp;SUBSTITUTE(근태!AS28,":","")))</f>
        <v/>
      </c>
      <c r="R28" s="39">
        <f>IF(근태!AT28="","",IF(근태!AU28="",근태!AT28,근태!AT28&amp;" "&amp;SUBSTITUTE(근태!AU28,":","")&amp;"-"&amp;SUBSTITUTE(근태!AV28,":","")))</f>
        <v/>
      </c>
      <c r="S28" s="39">
        <f>IF(근태!AW28="","",IF(근태!AX28="",근태!AW28,근태!AW28&amp;" "&amp;SUBSTITUTE(근태!AX28,":","")&amp;"-"&amp;SUBSTITUTE(근태!AY28,":","")))</f>
        <v/>
      </c>
      <c r="T28" s="39">
        <f>IF(근태!AZ28="","",IF(근태!BA28="",근태!AZ28,근태!AZ28&amp;" "&amp;SUBSTITUTE(근태!BA28,":","")&amp;"-"&amp;SUBSTITUTE(근태!BB28,":","")))</f>
        <v/>
      </c>
      <c r="U28" s="39">
        <f>IF(근태!BC28="","",IF(근태!BD28="",근태!BC28,근태!BC28&amp;" "&amp;SUBSTITUTE(근태!BD28,":","")&amp;"-"&amp;SUBSTITUTE(근태!BE28,":","")))</f>
        <v/>
      </c>
      <c r="V28" s="39">
        <f>IF(근태!BF28="","",IF(근태!BG28="",근태!BF28,근태!BF28&amp;" "&amp;SUBSTITUTE(근태!BG28,":","")&amp;"-"&amp;SUBSTITUTE(근태!BH28,":","")))</f>
        <v/>
      </c>
      <c r="W28" s="39">
        <f>IF(근태!BI28="","",IF(근태!BJ28="",근태!BI28,근태!BI28&amp;" "&amp;SUBSTITUTE(근태!BJ28,":","")&amp;"-"&amp;SUBSTITUTE(근태!BK28,":","")))</f>
        <v/>
      </c>
      <c r="X28" s="39">
        <f>IF(근태!BL28="","",IF(근태!BM28="",근태!BL28,근태!BL28&amp;" "&amp;SUBSTITUTE(근태!BM28,":","")&amp;"-"&amp;SUBSTITUTE(근태!BN28,":","")))</f>
        <v/>
      </c>
      <c r="Y28" s="39">
        <f>IF(근태!BO28="","",IF(근태!BP28="",근태!BO28,근태!BO28&amp;" "&amp;SUBSTITUTE(근태!BP28,":","")&amp;"-"&amp;SUBSTITUTE(근태!BQ28,":","")))</f>
        <v/>
      </c>
      <c r="Z28" s="39">
        <f>IF(근태!BR28="","",IF(근태!BS28="",근태!BR28,근태!BR28&amp;" "&amp;SUBSTITUTE(근태!BS28,":","")&amp;"-"&amp;SUBSTITUTE(근태!BT28,":","")))</f>
        <v/>
      </c>
      <c r="AA28" s="39">
        <f>IF(근태!BU28="","",IF(근태!BV28="",근태!BU28,근태!BU28&amp;" "&amp;SUBSTITUTE(근태!BV28,":","")&amp;"-"&amp;SUBSTITUTE(근태!BW28,":","")))</f>
        <v/>
      </c>
      <c r="AB28" s="39">
        <f>IF(근태!BX28="","",IF(근태!BY28="",근태!BX28,근태!BX28&amp;" "&amp;SUBSTITUTE(근태!BY28,":","")&amp;"-"&amp;SUBSTITUTE(근태!BZ28,":","")))</f>
        <v/>
      </c>
      <c r="AC28" s="39">
        <f>IF(근태!CA28="","",IF(근태!CB28="",근태!CA28,근태!CA28&amp;" "&amp;SUBSTITUTE(근태!CB28,":","")&amp;"-"&amp;SUBSTITUTE(근태!CC28,":","")))</f>
        <v/>
      </c>
      <c r="AD28" s="39">
        <f>IF(근태!CD28="","",IF(근태!CE28="",근태!CD28,근태!CD28&amp;" "&amp;SUBSTITUTE(근태!CE28,":","")&amp;"-"&amp;SUBSTITUTE(근태!CF28,":","")))</f>
        <v/>
      </c>
      <c r="AE28" s="39">
        <f>IF(근태!CG28="","",IF(근태!CH28="",근태!CG28,근태!CG28&amp;" "&amp;SUBSTITUTE(근태!CH28,":","")&amp;"-"&amp;SUBSTITUTE(근태!CI28,":","")))</f>
        <v/>
      </c>
      <c r="AF28" s="39">
        <f>IF(근태!CJ28="","",IF(근태!CK28="",근태!CJ28,근태!CJ28&amp;" "&amp;SUBSTITUTE(근태!CK28,":","")&amp;"-"&amp;SUBSTITUTE(근태!CL28,":","")))</f>
        <v/>
      </c>
      <c r="AG28" s="39">
        <f>IF(근태!CM28="","",IF(근태!CN28="",근태!CM28,근태!CM28&amp;" "&amp;SUBSTITUTE(근태!CN28,":","")&amp;"-"&amp;SUBSTITUTE(근태!CO28,":","")))</f>
        <v/>
      </c>
      <c r="AH28" s="39">
        <f>IF(근태!CP28="","",IF(근태!CQ28="",근태!CP28,근태!CP28&amp;" "&amp;SUBSTITUTE(근태!CQ28,":","")&amp;"-"&amp;SUBSTITUTE(근태!CR28,":","")))</f>
        <v/>
      </c>
    </row>
    <row r="29">
      <c r="A29" s="15">
        <f>IF(명부!A23="","",명부!A23)</f>
        <v/>
      </c>
      <c r="B29" s="16">
        <f>IF(명부!C23="","",명부!C23)</f>
        <v/>
      </c>
      <c r="C29" s="17">
        <f>IF(명부!E23="","",명부!E23)</f>
        <v/>
      </c>
      <c r="D29" s="39">
        <f>IF(근태!D29="","",IF(근태!E29="",근태!D29,근태!D29&amp;" "&amp;SUBSTITUTE(근태!E29,":","")&amp;"-"&amp;SUBSTITUTE(근태!F29,":","")))</f>
        <v/>
      </c>
      <c r="E29" s="39">
        <f>IF(근태!G29="","",IF(근태!H29="",근태!G29,근태!G29&amp;" "&amp;SUBSTITUTE(근태!H29,":","")&amp;"-"&amp;SUBSTITUTE(근태!I29,":","")))</f>
        <v/>
      </c>
      <c r="F29" s="39">
        <f>IF(근태!J29="","",IF(근태!K29="",근태!J29,근태!J29&amp;" "&amp;SUBSTITUTE(근태!K29,":","")&amp;"-"&amp;SUBSTITUTE(근태!L29,":","")))</f>
        <v/>
      </c>
      <c r="G29" s="39">
        <f>IF(근태!M29="","",IF(근태!N29="",근태!M29,근태!M29&amp;" "&amp;SUBSTITUTE(근태!N29,":","")&amp;"-"&amp;SUBSTITUTE(근태!O29,":","")))</f>
        <v/>
      </c>
      <c r="H29" s="39">
        <f>IF(근태!P29="","",IF(근태!Q29="",근태!P29,근태!P29&amp;" "&amp;SUBSTITUTE(근태!Q29,":","")&amp;"-"&amp;SUBSTITUTE(근태!R29,":","")))</f>
        <v/>
      </c>
      <c r="I29" s="39">
        <f>IF(근태!S29="","",IF(근태!T29="",근태!S29,근태!S29&amp;" "&amp;SUBSTITUTE(근태!T29,":","")&amp;"-"&amp;SUBSTITUTE(근태!U29,":","")))</f>
        <v/>
      </c>
      <c r="J29" s="39">
        <f>IF(근태!V29="","",IF(근태!W29="",근태!V29,근태!V29&amp;" "&amp;SUBSTITUTE(근태!W29,":","")&amp;"-"&amp;SUBSTITUTE(근태!X29,":","")))</f>
        <v/>
      </c>
      <c r="K29" s="39">
        <f>IF(근태!Y29="","",IF(근태!Z29="",근태!Y29,근태!Y29&amp;" "&amp;SUBSTITUTE(근태!Z29,":","")&amp;"-"&amp;SUBSTITUTE(근태!AA29,":","")))</f>
        <v/>
      </c>
      <c r="L29" s="39">
        <f>IF(근태!AB29="","",IF(근태!AC29="",근태!AB29,근태!AB29&amp;" "&amp;SUBSTITUTE(근태!AC29,":","")&amp;"-"&amp;SUBSTITUTE(근태!AD29,":","")))</f>
        <v/>
      </c>
      <c r="M29" s="39">
        <f>IF(근태!AE29="","",IF(근태!AF29="",근태!AE29,근태!AE29&amp;" "&amp;SUBSTITUTE(근태!AF29,":","")&amp;"-"&amp;SUBSTITUTE(근태!AG29,":","")))</f>
        <v/>
      </c>
      <c r="N29" s="39">
        <f>IF(근태!AH29="","",IF(근태!AI29="",근태!AH29,근태!AH29&amp;" "&amp;SUBSTITUTE(근태!AI29,":","")&amp;"-"&amp;SUBSTITUTE(근태!AJ29,":","")))</f>
        <v/>
      </c>
      <c r="O29" s="39">
        <f>IF(근태!AK29="","",IF(근태!AL29="",근태!AK29,근태!AK29&amp;" "&amp;SUBSTITUTE(근태!AL29,":","")&amp;"-"&amp;SUBSTITUTE(근태!AM29,":","")))</f>
        <v/>
      </c>
      <c r="P29" s="39">
        <f>IF(근태!AN29="","",IF(근태!AO29="",근태!AN29,근태!AN29&amp;" "&amp;SUBSTITUTE(근태!AO29,":","")&amp;"-"&amp;SUBSTITUTE(근태!AP29,":","")))</f>
        <v/>
      </c>
      <c r="Q29" s="39">
        <f>IF(근태!AQ29="","",IF(근태!AR29="",근태!AQ29,근태!AQ29&amp;" "&amp;SUBSTITUTE(근태!AR29,":","")&amp;"-"&amp;SUBSTITUTE(근태!AS29,":","")))</f>
        <v/>
      </c>
      <c r="R29" s="39">
        <f>IF(근태!AT29="","",IF(근태!AU29="",근태!AT29,근태!AT29&amp;" "&amp;SUBSTITUTE(근태!AU29,":","")&amp;"-"&amp;SUBSTITUTE(근태!AV29,":","")))</f>
        <v/>
      </c>
      <c r="S29" s="39">
        <f>IF(근태!AW29="","",IF(근태!AX29="",근태!AW29,근태!AW29&amp;" "&amp;SUBSTITUTE(근태!AX29,":","")&amp;"-"&amp;SUBSTITUTE(근태!AY29,":","")))</f>
        <v/>
      </c>
      <c r="T29" s="39">
        <f>IF(근태!AZ29="","",IF(근태!BA29="",근태!AZ29,근태!AZ29&amp;" "&amp;SUBSTITUTE(근태!BA29,":","")&amp;"-"&amp;SUBSTITUTE(근태!BB29,":","")))</f>
        <v/>
      </c>
      <c r="U29" s="39">
        <f>IF(근태!BC29="","",IF(근태!BD29="",근태!BC29,근태!BC29&amp;" "&amp;SUBSTITUTE(근태!BD29,":","")&amp;"-"&amp;SUBSTITUTE(근태!BE29,":","")))</f>
        <v/>
      </c>
      <c r="V29" s="39">
        <f>IF(근태!BF29="","",IF(근태!BG29="",근태!BF29,근태!BF29&amp;" "&amp;SUBSTITUTE(근태!BG29,":","")&amp;"-"&amp;SUBSTITUTE(근태!BH29,":","")))</f>
        <v/>
      </c>
      <c r="W29" s="39">
        <f>IF(근태!BI29="","",IF(근태!BJ29="",근태!BI29,근태!BI29&amp;" "&amp;SUBSTITUTE(근태!BJ29,":","")&amp;"-"&amp;SUBSTITUTE(근태!BK29,":","")))</f>
        <v/>
      </c>
      <c r="X29" s="39">
        <f>IF(근태!BL29="","",IF(근태!BM29="",근태!BL29,근태!BL29&amp;" "&amp;SUBSTITUTE(근태!BM29,":","")&amp;"-"&amp;SUBSTITUTE(근태!BN29,":","")))</f>
        <v/>
      </c>
      <c r="Y29" s="39">
        <f>IF(근태!BO29="","",IF(근태!BP29="",근태!BO29,근태!BO29&amp;" "&amp;SUBSTITUTE(근태!BP29,":","")&amp;"-"&amp;SUBSTITUTE(근태!BQ29,":","")))</f>
        <v/>
      </c>
      <c r="Z29" s="39">
        <f>IF(근태!BR29="","",IF(근태!BS29="",근태!BR29,근태!BR29&amp;" "&amp;SUBSTITUTE(근태!BS29,":","")&amp;"-"&amp;SUBSTITUTE(근태!BT29,":","")))</f>
        <v/>
      </c>
      <c r="AA29" s="39">
        <f>IF(근태!BU29="","",IF(근태!BV29="",근태!BU29,근태!BU29&amp;" "&amp;SUBSTITUTE(근태!BV29,":","")&amp;"-"&amp;SUBSTITUTE(근태!BW29,":","")))</f>
        <v/>
      </c>
      <c r="AB29" s="39">
        <f>IF(근태!BX29="","",IF(근태!BY29="",근태!BX29,근태!BX29&amp;" "&amp;SUBSTITUTE(근태!BY29,":","")&amp;"-"&amp;SUBSTITUTE(근태!BZ29,":","")))</f>
        <v/>
      </c>
      <c r="AC29" s="39">
        <f>IF(근태!CA29="","",IF(근태!CB29="",근태!CA29,근태!CA29&amp;" "&amp;SUBSTITUTE(근태!CB29,":","")&amp;"-"&amp;SUBSTITUTE(근태!CC29,":","")))</f>
        <v/>
      </c>
      <c r="AD29" s="39">
        <f>IF(근태!CD29="","",IF(근태!CE29="",근태!CD29,근태!CD29&amp;" "&amp;SUBSTITUTE(근태!CE29,":","")&amp;"-"&amp;SUBSTITUTE(근태!CF29,":","")))</f>
        <v/>
      </c>
      <c r="AE29" s="39">
        <f>IF(근태!CG29="","",IF(근태!CH29="",근태!CG29,근태!CG29&amp;" "&amp;SUBSTITUTE(근태!CH29,":","")&amp;"-"&amp;SUBSTITUTE(근태!CI29,":","")))</f>
        <v/>
      </c>
      <c r="AF29" s="39">
        <f>IF(근태!CJ29="","",IF(근태!CK29="",근태!CJ29,근태!CJ29&amp;" "&amp;SUBSTITUTE(근태!CK29,":","")&amp;"-"&amp;SUBSTITUTE(근태!CL29,":","")))</f>
        <v/>
      </c>
      <c r="AG29" s="39">
        <f>IF(근태!CM29="","",IF(근태!CN29="",근태!CM29,근태!CM29&amp;" "&amp;SUBSTITUTE(근태!CN29,":","")&amp;"-"&amp;SUBSTITUTE(근태!CO29,":","")))</f>
        <v/>
      </c>
      <c r="AH29" s="39">
        <f>IF(근태!CP29="","",IF(근태!CQ29="",근태!CP29,근태!CP29&amp;" "&amp;SUBSTITUTE(근태!CQ29,":","")&amp;"-"&amp;SUBSTITUTE(근태!CR29,":","")))</f>
        <v/>
      </c>
    </row>
    <row r="30">
      <c r="A30" s="15">
        <f>IF(명부!A24="","",명부!A24)</f>
        <v/>
      </c>
      <c r="B30" s="16">
        <f>IF(명부!C24="","",명부!C24)</f>
        <v/>
      </c>
      <c r="C30" s="17">
        <f>IF(명부!E24="","",명부!E24)</f>
        <v/>
      </c>
      <c r="D30" s="39">
        <f>IF(근태!D30="","",IF(근태!E30="",근태!D30,근태!D30&amp;" "&amp;SUBSTITUTE(근태!E30,":","")&amp;"-"&amp;SUBSTITUTE(근태!F30,":","")))</f>
        <v/>
      </c>
      <c r="E30" s="39">
        <f>IF(근태!G30="","",IF(근태!H30="",근태!G30,근태!G30&amp;" "&amp;SUBSTITUTE(근태!H30,":","")&amp;"-"&amp;SUBSTITUTE(근태!I30,":","")))</f>
        <v/>
      </c>
      <c r="F30" s="39">
        <f>IF(근태!J30="","",IF(근태!K30="",근태!J30,근태!J30&amp;" "&amp;SUBSTITUTE(근태!K30,":","")&amp;"-"&amp;SUBSTITUTE(근태!L30,":","")))</f>
        <v/>
      </c>
      <c r="G30" s="39">
        <f>IF(근태!M30="","",IF(근태!N30="",근태!M30,근태!M30&amp;" "&amp;SUBSTITUTE(근태!N30,":","")&amp;"-"&amp;SUBSTITUTE(근태!O30,":","")))</f>
        <v/>
      </c>
      <c r="H30" s="39">
        <f>IF(근태!P30="","",IF(근태!Q30="",근태!P30,근태!P30&amp;" "&amp;SUBSTITUTE(근태!Q30,":","")&amp;"-"&amp;SUBSTITUTE(근태!R30,":","")))</f>
        <v/>
      </c>
      <c r="I30" s="39">
        <f>IF(근태!S30="","",IF(근태!T30="",근태!S30,근태!S30&amp;" "&amp;SUBSTITUTE(근태!T30,":","")&amp;"-"&amp;SUBSTITUTE(근태!U30,":","")))</f>
        <v/>
      </c>
      <c r="J30" s="39">
        <f>IF(근태!V30="","",IF(근태!W30="",근태!V30,근태!V30&amp;" "&amp;SUBSTITUTE(근태!W30,":","")&amp;"-"&amp;SUBSTITUTE(근태!X30,":","")))</f>
        <v/>
      </c>
      <c r="K30" s="39">
        <f>IF(근태!Y30="","",IF(근태!Z30="",근태!Y30,근태!Y30&amp;" "&amp;SUBSTITUTE(근태!Z30,":","")&amp;"-"&amp;SUBSTITUTE(근태!AA30,":","")))</f>
        <v/>
      </c>
      <c r="L30" s="39">
        <f>IF(근태!AB30="","",IF(근태!AC30="",근태!AB30,근태!AB30&amp;" "&amp;SUBSTITUTE(근태!AC30,":","")&amp;"-"&amp;SUBSTITUTE(근태!AD30,":","")))</f>
        <v/>
      </c>
      <c r="M30" s="39">
        <f>IF(근태!AE30="","",IF(근태!AF30="",근태!AE30,근태!AE30&amp;" "&amp;SUBSTITUTE(근태!AF30,":","")&amp;"-"&amp;SUBSTITUTE(근태!AG30,":","")))</f>
        <v/>
      </c>
      <c r="N30" s="39">
        <f>IF(근태!AH30="","",IF(근태!AI30="",근태!AH30,근태!AH30&amp;" "&amp;SUBSTITUTE(근태!AI30,":","")&amp;"-"&amp;SUBSTITUTE(근태!AJ30,":","")))</f>
        <v/>
      </c>
      <c r="O30" s="39">
        <f>IF(근태!AK30="","",IF(근태!AL30="",근태!AK30,근태!AK30&amp;" "&amp;SUBSTITUTE(근태!AL30,":","")&amp;"-"&amp;SUBSTITUTE(근태!AM30,":","")))</f>
        <v/>
      </c>
      <c r="P30" s="39">
        <f>IF(근태!AN30="","",IF(근태!AO30="",근태!AN30,근태!AN30&amp;" "&amp;SUBSTITUTE(근태!AO30,":","")&amp;"-"&amp;SUBSTITUTE(근태!AP30,":","")))</f>
        <v/>
      </c>
      <c r="Q30" s="39">
        <f>IF(근태!AQ30="","",IF(근태!AR30="",근태!AQ30,근태!AQ30&amp;" "&amp;SUBSTITUTE(근태!AR30,":","")&amp;"-"&amp;SUBSTITUTE(근태!AS30,":","")))</f>
        <v/>
      </c>
      <c r="R30" s="39">
        <f>IF(근태!AT30="","",IF(근태!AU30="",근태!AT30,근태!AT30&amp;" "&amp;SUBSTITUTE(근태!AU30,":","")&amp;"-"&amp;SUBSTITUTE(근태!AV30,":","")))</f>
        <v/>
      </c>
      <c r="S30" s="39">
        <f>IF(근태!AW30="","",IF(근태!AX30="",근태!AW30,근태!AW30&amp;" "&amp;SUBSTITUTE(근태!AX30,":","")&amp;"-"&amp;SUBSTITUTE(근태!AY30,":","")))</f>
        <v/>
      </c>
      <c r="T30" s="39">
        <f>IF(근태!AZ30="","",IF(근태!BA30="",근태!AZ30,근태!AZ30&amp;" "&amp;SUBSTITUTE(근태!BA30,":","")&amp;"-"&amp;SUBSTITUTE(근태!BB30,":","")))</f>
        <v/>
      </c>
      <c r="U30" s="39">
        <f>IF(근태!BC30="","",IF(근태!BD30="",근태!BC30,근태!BC30&amp;" "&amp;SUBSTITUTE(근태!BD30,":","")&amp;"-"&amp;SUBSTITUTE(근태!BE30,":","")))</f>
        <v/>
      </c>
      <c r="V30" s="39">
        <f>IF(근태!BF30="","",IF(근태!BG30="",근태!BF30,근태!BF30&amp;" "&amp;SUBSTITUTE(근태!BG30,":","")&amp;"-"&amp;SUBSTITUTE(근태!BH30,":","")))</f>
        <v/>
      </c>
      <c r="W30" s="39">
        <f>IF(근태!BI30="","",IF(근태!BJ30="",근태!BI30,근태!BI30&amp;" "&amp;SUBSTITUTE(근태!BJ30,":","")&amp;"-"&amp;SUBSTITUTE(근태!BK30,":","")))</f>
        <v/>
      </c>
      <c r="X30" s="39">
        <f>IF(근태!BL30="","",IF(근태!BM30="",근태!BL30,근태!BL30&amp;" "&amp;SUBSTITUTE(근태!BM30,":","")&amp;"-"&amp;SUBSTITUTE(근태!BN30,":","")))</f>
        <v/>
      </c>
      <c r="Y30" s="39">
        <f>IF(근태!BO30="","",IF(근태!BP30="",근태!BO30,근태!BO30&amp;" "&amp;SUBSTITUTE(근태!BP30,":","")&amp;"-"&amp;SUBSTITUTE(근태!BQ30,":","")))</f>
        <v/>
      </c>
      <c r="Z30" s="39">
        <f>IF(근태!BR30="","",IF(근태!BS30="",근태!BR30,근태!BR30&amp;" "&amp;SUBSTITUTE(근태!BS30,":","")&amp;"-"&amp;SUBSTITUTE(근태!BT30,":","")))</f>
        <v/>
      </c>
      <c r="AA30" s="39">
        <f>IF(근태!BU30="","",IF(근태!BV30="",근태!BU30,근태!BU30&amp;" "&amp;SUBSTITUTE(근태!BV30,":","")&amp;"-"&amp;SUBSTITUTE(근태!BW30,":","")))</f>
        <v/>
      </c>
      <c r="AB30" s="39">
        <f>IF(근태!BX30="","",IF(근태!BY30="",근태!BX30,근태!BX30&amp;" "&amp;SUBSTITUTE(근태!BY30,":","")&amp;"-"&amp;SUBSTITUTE(근태!BZ30,":","")))</f>
        <v/>
      </c>
      <c r="AC30" s="39">
        <f>IF(근태!CA30="","",IF(근태!CB30="",근태!CA30,근태!CA30&amp;" "&amp;SUBSTITUTE(근태!CB30,":","")&amp;"-"&amp;SUBSTITUTE(근태!CC30,":","")))</f>
        <v/>
      </c>
      <c r="AD30" s="39">
        <f>IF(근태!CD30="","",IF(근태!CE30="",근태!CD30,근태!CD30&amp;" "&amp;SUBSTITUTE(근태!CE30,":","")&amp;"-"&amp;SUBSTITUTE(근태!CF30,":","")))</f>
        <v/>
      </c>
      <c r="AE30" s="39">
        <f>IF(근태!CG30="","",IF(근태!CH30="",근태!CG30,근태!CG30&amp;" "&amp;SUBSTITUTE(근태!CH30,":","")&amp;"-"&amp;SUBSTITUTE(근태!CI30,":","")))</f>
        <v/>
      </c>
      <c r="AF30" s="39">
        <f>IF(근태!CJ30="","",IF(근태!CK30="",근태!CJ30,근태!CJ30&amp;" "&amp;SUBSTITUTE(근태!CK30,":","")&amp;"-"&amp;SUBSTITUTE(근태!CL30,":","")))</f>
        <v/>
      </c>
      <c r="AG30" s="39">
        <f>IF(근태!CM30="","",IF(근태!CN30="",근태!CM30,근태!CM30&amp;" "&amp;SUBSTITUTE(근태!CN30,":","")&amp;"-"&amp;SUBSTITUTE(근태!CO30,":","")))</f>
        <v/>
      </c>
      <c r="AH30" s="39">
        <f>IF(근태!CP30="","",IF(근태!CQ30="",근태!CP30,근태!CP30&amp;" "&amp;SUBSTITUTE(근태!CQ30,":","")&amp;"-"&amp;SUBSTITUTE(근태!CR30,":","")))</f>
        <v/>
      </c>
    </row>
    <row r="31">
      <c r="A31" s="15">
        <f>IF(명부!A25="","",명부!A25)</f>
        <v/>
      </c>
      <c r="B31" s="16">
        <f>IF(명부!C25="","",명부!C25)</f>
        <v/>
      </c>
      <c r="C31" s="17">
        <f>IF(명부!E25="","",명부!E25)</f>
        <v/>
      </c>
      <c r="D31" s="39">
        <f>IF(근태!D31="","",IF(근태!E31="",근태!D31,근태!D31&amp;" "&amp;SUBSTITUTE(근태!E31,":","")&amp;"-"&amp;SUBSTITUTE(근태!F31,":","")))</f>
        <v/>
      </c>
      <c r="E31" s="39">
        <f>IF(근태!G31="","",IF(근태!H31="",근태!G31,근태!G31&amp;" "&amp;SUBSTITUTE(근태!H31,":","")&amp;"-"&amp;SUBSTITUTE(근태!I31,":","")))</f>
        <v/>
      </c>
      <c r="F31" s="39">
        <f>IF(근태!J31="","",IF(근태!K31="",근태!J31,근태!J31&amp;" "&amp;SUBSTITUTE(근태!K31,":","")&amp;"-"&amp;SUBSTITUTE(근태!L31,":","")))</f>
        <v/>
      </c>
      <c r="G31" s="39">
        <f>IF(근태!M31="","",IF(근태!N31="",근태!M31,근태!M31&amp;" "&amp;SUBSTITUTE(근태!N31,":","")&amp;"-"&amp;SUBSTITUTE(근태!O31,":","")))</f>
        <v/>
      </c>
      <c r="H31" s="39">
        <f>IF(근태!P31="","",IF(근태!Q31="",근태!P31,근태!P31&amp;" "&amp;SUBSTITUTE(근태!Q31,":","")&amp;"-"&amp;SUBSTITUTE(근태!R31,":","")))</f>
        <v/>
      </c>
      <c r="I31" s="39">
        <f>IF(근태!S31="","",IF(근태!T31="",근태!S31,근태!S31&amp;" "&amp;SUBSTITUTE(근태!T31,":","")&amp;"-"&amp;SUBSTITUTE(근태!U31,":","")))</f>
        <v/>
      </c>
      <c r="J31" s="39">
        <f>IF(근태!V31="","",IF(근태!W31="",근태!V31,근태!V31&amp;" "&amp;SUBSTITUTE(근태!W31,":","")&amp;"-"&amp;SUBSTITUTE(근태!X31,":","")))</f>
        <v/>
      </c>
      <c r="K31" s="39">
        <f>IF(근태!Y31="","",IF(근태!Z31="",근태!Y31,근태!Y31&amp;" "&amp;SUBSTITUTE(근태!Z31,":","")&amp;"-"&amp;SUBSTITUTE(근태!AA31,":","")))</f>
        <v/>
      </c>
      <c r="L31" s="39">
        <f>IF(근태!AB31="","",IF(근태!AC31="",근태!AB31,근태!AB31&amp;" "&amp;SUBSTITUTE(근태!AC31,":","")&amp;"-"&amp;SUBSTITUTE(근태!AD31,":","")))</f>
        <v/>
      </c>
      <c r="M31" s="39">
        <f>IF(근태!AE31="","",IF(근태!AF31="",근태!AE31,근태!AE31&amp;" "&amp;SUBSTITUTE(근태!AF31,":","")&amp;"-"&amp;SUBSTITUTE(근태!AG31,":","")))</f>
        <v/>
      </c>
      <c r="N31" s="39">
        <f>IF(근태!AH31="","",IF(근태!AI31="",근태!AH31,근태!AH31&amp;" "&amp;SUBSTITUTE(근태!AI31,":","")&amp;"-"&amp;SUBSTITUTE(근태!AJ31,":","")))</f>
        <v/>
      </c>
      <c r="O31" s="39">
        <f>IF(근태!AK31="","",IF(근태!AL31="",근태!AK31,근태!AK31&amp;" "&amp;SUBSTITUTE(근태!AL31,":","")&amp;"-"&amp;SUBSTITUTE(근태!AM31,":","")))</f>
        <v/>
      </c>
      <c r="P31" s="39">
        <f>IF(근태!AN31="","",IF(근태!AO31="",근태!AN31,근태!AN31&amp;" "&amp;SUBSTITUTE(근태!AO31,":","")&amp;"-"&amp;SUBSTITUTE(근태!AP31,":","")))</f>
        <v/>
      </c>
      <c r="Q31" s="39">
        <f>IF(근태!AQ31="","",IF(근태!AR31="",근태!AQ31,근태!AQ31&amp;" "&amp;SUBSTITUTE(근태!AR31,":","")&amp;"-"&amp;SUBSTITUTE(근태!AS31,":","")))</f>
        <v/>
      </c>
      <c r="R31" s="39">
        <f>IF(근태!AT31="","",IF(근태!AU31="",근태!AT31,근태!AT31&amp;" "&amp;SUBSTITUTE(근태!AU31,":","")&amp;"-"&amp;SUBSTITUTE(근태!AV31,":","")))</f>
        <v/>
      </c>
      <c r="S31" s="39">
        <f>IF(근태!AW31="","",IF(근태!AX31="",근태!AW31,근태!AW31&amp;" "&amp;SUBSTITUTE(근태!AX31,":","")&amp;"-"&amp;SUBSTITUTE(근태!AY31,":","")))</f>
        <v/>
      </c>
      <c r="T31" s="39">
        <f>IF(근태!AZ31="","",IF(근태!BA31="",근태!AZ31,근태!AZ31&amp;" "&amp;SUBSTITUTE(근태!BA31,":","")&amp;"-"&amp;SUBSTITUTE(근태!BB31,":","")))</f>
        <v/>
      </c>
      <c r="U31" s="39">
        <f>IF(근태!BC31="","",IF(근태!BD31="",근태!BC31,근태!BC31&amp;" "&amp;SUBSTITUTE(근태!BD31,":","")&amp;"-"&amp;SUBSTITUTE(근태!BE31,":","")))</f>
        <v/>
      </c>
      <c r="V31" s="39">
        <f>IF(근태!BF31="","",IF(근태!BG31="",근태!BF31,근태!BF31&amp;" "&amp;SUBSTITUTE(근태!BG31,":","")&amp;"-"&amp;SUBSTITUTE(근태!BH31,":","")))</f>
        <v/>
      </c>
      <c r="W31" s="39">
        <f>IF(근태!BI31="","",IF(근태!BJ31="",근태!BI31,근태!BI31&amp;" "&amp;SUBSTITUTE(근태!BJ31,":","")&amp;"-"&amp;SUBSTITUTE(근태!BK31,":","")))</f>
        <v/>
      </c>
      <c r="X31" s="39">
        <f>IF(근태!BL31="","",IF(근태!BM31="",근태!BL31,근태!BL31&amp;" "&amp;SUBSTITUTE(근태!BM31,":","")&amp;"-"&amp;SUBSTITUTE(근태!BN31,":","")))</f>
        <v/>
      </c>
      <c r="Y31" s="39">
        <f>IF(근태!BO31="","",IF(근태!BP31="",근태!BO31,근태!BO31&amp;" "&amp;SUBSTITUTE(근태!BP31,":","")&amp;"-"&amp;SUBSTITUTE(근태!BQ31,":","")))</f>
        <v/>
      </c>
      <c r="Z31" s="39">
        <f>IF(근태!BR31="","",IF(근태!BS31="",근태!BR31,근태!BR31&amp;" "&amp;SUBSTITUTE(근태!BS31,":","")&amp;"-"&amp;SUBSTITUTE(근태!BT31,":","")))</f>
        <v/>
      </c>
      <c r="AA31" s="39">
        <f>IF(근태!BU31="","",IF(근태!BV31="",근태!BU31,근태!BU31&amp;" "&amp;SUBSTITUTE(근태!BV31,":","")&amp;"-"&amp;SUBSTITUTE(근태!BW31,":","")))</f>
        <v/>
      </c>
      <c r="AB31" s="39">
        <f>IF(근태!BX31="","",IF(근태!BY31="",근태!BX31,근태!BX31&amp;" "&amp;SUBSTITUTE(근태!BY31,":","")&amp;"-"&amp;SUBSTITUTE(근태!BZ31,":","")))</f>
        <v/>
      </c>
      <c r="AC31" s="39">
        <f>IF(근태!CA31="","",IF(근태!CB31="",근태!CA31,근태!CA31&amp;" "&amp;SUBSTITUTE(근태!CB31,":","")&amp;"-"&amp;SUBSTITUTE(근태!CC31,":","")))</f>
        <v/>
      </c>
      <c r="AD31" s="39">
        <f>IF(근태!CD31="","",IF(근태!CE31="",근태!CD31,근태!CD31&amp;" "&amp;SUBSTITUTE(근태!CE31,":","")&amp;"-"&amp;SUBSTITUTE(근태!CF31,":","")))</f>
        <v/>
      </c>
      <c r="AE31" s="39">
        <f>IF(근태!CG31="","",IF(근태!CH31="",근태!CG31,근태!CG31&amp;" "&amp;SUBSTITUTE(근태!CH31,":","")&amp;"-"&amp;SUBSTITUTE(근태!CI31,":","")))</f>
        <v/>
      </c>
      <c r="AF31" s="39">
        <f>IF(근태!CJ31="","",IF(근태!CK31="",근태!CJ31,근태!CJ31&amp;" "&amp;SUBSTITUTE(근태!CK31,":","")&amp;"-"&amp;SUBSTITUTE(근태!CL31,":","")))</f>
        <v/>
      </c>
      <c r="AG31" s="39">
        <f>IF(근태!CM31="","",IF(근태!CN31="",근태!CM31,근태!CM31&amp;" "&amp;SUBSTITUTE(근태!CN31,":","")&amp;"-"&amp;SUBSTITUTE(근태!CO31,":","")))</f>
        <v/>
      </c>
      <c r="AH31" s="39">
        <f>IF(근태!CP31="","",IF(근태!CQ31="",근태!CP31,근태!CP31&amp;" "&amp;SUBSTITUTE(근태!CQ31,":","")&amp;"-"&amp;SUBSTITUTE(근태!CR31,":","")))</f>
        <v/>
      </c>
    </row>
    <row r="35">
      <c r="A35" s="20" t="inlineStr">
        <is>
          <t>실근로</t>
        </is>
      </c>
    </row>
    <row r="36">
      <c r="A36" s="15">
        <f>IF(명부!A2="","",명부!A2)</f>
        <v/>
      </c>
      <c r="B36" s="16">
        <f>IF(명부!C2="","",명부!C2)</f>
        <v/>
      </c>
      <c r="C36" s="17">
        <f>IF(명부!E2="","",명부!E2)</f>
        <v/>
      </c>
      <c r="D36" s="40">
        <f>IF(D8="",IF(D$6="휴일",0,8),IFERROR(INDEX(코드!$D$2:$D$107,MATCH(D8,코드!$A$2:$A$107,0)),0))</f>
        <v/>
      </c>
      <c r="E36" s="40">
        <f>IF(E8="",IF(E$6="휴일",0,8),IFERROR(INDEX(코드!$D$2:$D$107,MATCH(E8,코드!$A$2:$A$107,0)),0))</f>
        <v/>
      </c>
      <c r="F36" s="40">
        <f>IF(F8="",IF(F$6="휴일",0,8),IFERROR(INDEX(코드!$D$2:$D$107,MATCH(F8,코드!$A$2:$A$107,0)),0))</f>
        <v/>
      </c>
      <c r="G36" s="40">
        <f>IF(G8="",IF(G$6="휴일",0,8),IFERROR(INDEX(코드!$D$2:$D$107,MATCH(G8,코드!$A$2:$A$107,0)),0))</f>
        <v/>
      </c>
      <c r="H36" s="40">
        <f>IF(H8="",IF(H$6="휴일",0,8),IFERROR(INDEX(코드!$D$2:$D$107,MATCH(H8,코드!$A$2:$A$107,0)),0))</f>
        <v/>
      </c>
      <c r="I36" s="40">
        <f>IF(I8="",IF(I$6="휴일",0,8),IFERROR(INDEX(코드!$D$2:$D$107,MATCH(I8,코드!$A$2:$A$107,0)),0))</f>
        <v/>
      </c>
      <c r="J36" s="40">
        <f>IF(J8="",IF(J$6="휴일",0,8),IFERROR(INDEX(코드!$D$2:$D$107,MATCH(J8,코드!$A$2:$A$107,0)),0))</f>
        <v/>
      </c>
      <c r="K36" s="40">
        <f>IF(K8="",IF(K$6="휴일",0,8),IFERROR(INDEX(코드!$D$2:$D$107,MATCH(K8,코드!$A$2:$A$107,0)),0))</f>
        <v/>
      </c>
      <c r="L36" s="40">
        <f>IF(L8="",IF(L$6="휴일",0,8),IFERROR(INDEX(코드!$D$2:$D$107,MATCH(L8,코드!$A$2:$A$107,0)),0))</f>
        <v/>
      </c>
      <c r="M36" s="40">
        <f>IF(M8="",IF(M$6="휴일",0,8),IFERROR(INDEX(코드!$D$2:$D$107,MATCH(M8,코드!$A$2:$A$107,0)),0))</f>
        <v/>
      </c>
      <c r="N36" s="40">
        <f>IF(N8="",IF(N$6="휴일",0,8),IFERROR(INDEX(코드!$D$2:$D$107,MATCH(N8,코드!$A$2:$A$107,0)),0))</f>
        <v/>
      </c>
      <c r="O36" s="40">
        <f>IF(O8="",IF(O$6="휴일",0,8),IFERROR(INDEX(코드!$D$2:$D$107,MATCH(O8,코드!$A$2:$A$107,0)),0))</f>
        <v/>
      </c>
      <c r="P36" s="40">
        <f>IF(P8="",IF(P$6="휴일",0,8),IFERROR(INDEX(코드!$D$2:$D$107,MATCH(P8,코드!$A$2:$A$107,0)),0))</f>
        <v/>
      </c>
      <c r="Q36" s="40">
        <f>IF(Q8="",IF(Q$6="휴일",0,8),IFERROR(INDEX(코드!$D$2:$D$107,MATCH(Q8,코드!$A$2:$A$107,0)),0))</f>
        <v/>
      </c>
      <c r="R36" s="40">
        <f>IF(R8="",IF(R$6="휴일",0,8),IFERROR(INDEX(코드!$D$2:$D$107,MATCH(R8,코드!$A$2:$A$107,0)),0))</f>
        <v/>
      </c>
      <c r="S36" s="40">
        <f>IF(S8="",IF(S$6="휴일",0,8),IFERROR(INDEX(코드!$D$2:$D$107,MATCH(S8,코드!$A$2:$A$107,0)),0))</f>
        <v/>
      </c>
      <c r="T36" s="40">
        <f>IF(T8="",IF(T$6="휴일",0,8),IFERROR(INDEX(코드!$D$2:$D$107,MATCH(T8,코드!$A$2:$A$107,0)),0))</f>
        <v/>
      </c>
      <c r="U36" s="40">
        <f>IF(U8="",IF(U$6="휴일",0,8),IFERROR(INDEX(코드!$D$2:$D$107,MATCH(U8,코드!$A$2:$A$107,0)),0))</f>
        <v/>
      </c>
      <c r="V36" s="40">
        <f>IF(V8="",IF(V$6="휴일",0,8),IFERROR(INDEX(코드!$D$2:$D$107,MATCH(V8,코드!$A$2:$A$107,0)),0))</f>
        <v/>
      </c>
      <c r="W36" s="40">
        <f>IF(W8="",IF(W$6="휴일",0,8),IFERROR(INDEX(코드!$D$2:$D$107,MATCH(W8,코드!$A$2:$A$107,0)),0))</f>
        <v/>
      </c>
      <c r="X36" s="40">
        <f>IF(X8="",IF(X$6="휴일",0,8),IFERROR(INDEX(코드!$D$2:$D$107,MATCH(X8,코드!$A$2:$A$107,0)),0))</f>
        <v/>
      </c>
      <c r="Y36" s="40">
        <f>IF(Y8="",IF(Y$6="휴일",0,8),IFERROR(INDEX(코드!$D$2:$D$107,MATCH(Y8,코드!$A$2:$A$107,0)),0))</f>
        <v/>
      </c>
      <c r="Z36" s="40">
        <f>IF(Z8="",IF(Z$6="휴일",0,8),IFERROR(INDEX(코드!$D$2:$D$107,MATCH(Z8,코드!$A$2:$A$107,0)),0))</f>
        <v/>
      </c>
      <c r="AA36" s="40">
        <f>IF(AA8="",IF(AA$6="휴일",0,8),IFERROR(INDEX(코드!$D$2:$D$107,MATCH(AA8,코드!$A$2:$A$107,0)),0))</f>
        <v/>
      </c>
      <c r="AB36" s="40">
        <f>IF(AB8="",IF(AB$6="휴일",0,8),IFERROR(INDEX(코드!$D$2:$D$107,MATCH(AB8,코드!$A$2:$A$107,0)),0))</f>
        <v/>
      </c>
      <c r="AC36" s="40">
        <f>IF(AC8="",IF(AC$6="휴일",0,8),IFERROR(INDEX(코드!$D$2:$D$107,MATCH(AC8,코드!$A$2:$A$107,0)),0))</f>
        <v/>
      </c>
      <c r="AD36" s="40">
        <f>IF(AD8="",IF(AD$6="휴일",0,8),IFERROR(INDEX(코드!$D$2:$D$107,MATCH(AD8,코드!$A$2:$A$107,0)),0))</f>
        <v/>
      </c>
      <c r="AE36" s="40">
        <f>IF(AE8="",IF(AE$6="휴일",0,8),IFERROR(INDEX(코드!$D$2:$D$107,MATCH(AE8,코드!$A$2:$A$107,0)),0))</f>
        <v/>
      </c>
      <c r="AF36" s="40">
        <f>IF(AF8="",IF(AF$6="휴일",0,8),IFERROR(INDEX(코드!$D$2:$D$107,MATCH(AF8,코드!$A$2:$A$107,0)),0))</f>
        <v/>
      </c>
      <c r="AG36" s="40">
        <f>IF(AG8="",IF(AG$6="휴일",0,8),IFERROR(INDEX(코드!$D$2:$D$107,MATCH(AG8,코드!$A$2:$A$107,0)),0))</f>
        <v/>
      </c>
      <c r="AH36" s="40">
        <f>IF(AH8="",IF(AH$6="휴일",0,8),IFERROR(INDEX(코드!$D$2:$D$107,MATCH(AH8,코드!$A$2:$A$107,0)),0))</f>
        <v/>
      </c>
    </row>
    <row r="37">
      <c r="A37" s="15">
        <f>IF(명부!A3="","",명부!A3)</f>
        <v/>
      </c>
      <c r="B37" s="16">
        <f>IF(명부!C3="","",명부!C3)</f>
        <v/>
      </c>
      <c r="C37" s="17">
        <f>IF(명부!E3="","",명부!E3)</f>
        <v/>
      </c>
      <c r="D37" s="40">
        <f>IF(D9="",IF(D$6="휴일",0,8),IFERROR(INDEX(코드!$D$2:$D$107,MATCH(D9,코드!$A$2:$A$107,0)),0))</f>
        <v/>
      </c>
      <c r="E37" s="40">
        <f>IF(E9="",IF(E$6="휴일",0,8),IFERROR(INDEX(코드!$D$2:$D$107,MATCH(E9,코드!$A$2:$A$107,0)),0))</f>
        <v/>
      </c>
      <c r="F37" s="40">
        <f>IF(F9="",IF(F$6="휴일",0,8),IFERROR(INDEX(코드!$D$2:$D$107,MATCH(F9,코드!$A$2:$A$107,0)),0))</f>
        <v/>
      </c>
      <c r="G37" s="40">
        <f>IF(G9="",IF(G$6="휴일",0,8),IFERROR(INDEX(코드!$D$2:$D$107,MATCH(G9,코드!$A$2:$A$107,0)),0))</f>
        <v/>
      </c>
      <c r="H37" s="40">
        <f>IF(H9="",IF(H$6="휴일",0,8),IFERROR(INDEX(코드!$D$2:$D$107,MATCH(H9,코드!$A$2:$A$107,0)),0))</f>
        <v/>
      </c>
      <c r="I37" s="40">
        <f>IF(I9="",IF(I$6="휴일",0,8),IFERROR(INDEX(코드!$D$2:$D$107,MATCH(I9,코드!$A$2:$A$107,0)),0))</f>
        <v/>
      </c>
      <c r="J37" s="40">
        <f>IF(J9="",IF(J$6="휴일",0,8),IFERROR(INDEX(코드!$D$2:$D$107,MATCH(J9,코드!$A$2:$A$107,0)),0))</f>
        <v/>
      </c>
      <c r="K37" s="40">
        <f>IF(K9="",IF(K$6="휴일",0,8),IFERROR(INDEX(코드!$D$2:$D$107,MATCH(K9,코드!$A$2:$A$107,0)),0))</f>
        <v/>
      </c>
      <c r="L37" s="40">
        <f>IF(L9="",IF(L$6="휴일",0,8),IFERROR(INDEX(코드!$D$2:$D$107,MATCH(L9,코드!$A$2:$A$107,0)),0))</f>
        <v/>
      </c>
      <c r="M37" s="40">
        <f>IF(M9="",IF(M$6="휴일",0,8),IFERROR(INDEX(코드!$D$2:$D$107,MATCH(M9,코드!$A$2:$A$107,0)),0))</f>
        <v/>
      </c>
      <c r="N37" s="40">
        <f>IF(N9="",IF(N$6="휴일",0,8),IFERROR(INDEX(코드!$D$2:$D$107,MATCH(N9,코드!$A$2:$A$107,0)),0))</f>
        <v/>
      </c>
      <c r="O37" s="40">
        <f>IF(O9="",IF(O$6="휴일",0,8),IFERROR(INDEX(코드!$D$2:$D$107,MATCH(O9,코드!$A$2:$A$107,0)),0))</f>
        <v/>
      </c>
      <c r="P37" s="40">
        <f>IF(P9="",IF(P$6="휴일",0,8),IFERROR(INDEX(코드!$D$2:$D$107,MATCH(P9,코드!$A$2:$A$107,0)),0))</f>
        <v/>
      </c>
      <c r="Q37" s="40">
        <f>IF(Q9="",IF(Q$6="휴일",0,8),IFERROR(INDEX(코드!$D$2:$D$107,MATCH(Q9,코드!$A$2:$A$107,0)),0))</f>
        <v/>
      </c>
      <c r="R37" s="40">
        <f>IF(R9="",IF(R$6="휴일",0,8),IFERROR(INDEX(코드!$D$2:$D$107,MATCH(R9,코드!$A$2:$A$107,0)),0))</f>
        <v/>
      </c>
      <c r="S37" s="40">
        <f>IF(S9="",IF(S$6="휴일",0,8),IFERROR(INDEX(코드!$D$2:$D$107,MATCH(S9,코드!$A$2:$A$107,0)),0))</f>
        <v/>
      </c>
      <c r="T37" s="40">
        <f>IF(T9="",IF(T$6="휴일",0,8),IFERROR(INDEX(코드!$D$2:$D$107,MATCH(T9,코드!$A$2:$A$107,0)),0))</f>
        <v/>
      </c>
      <c r="U37" s="40">
        <f>IF(U9="",IF(U$6="휴일",0,8),IFERROR(INDEX(코드!$D$2:$D$107,MATCH(U9,코드!$A$2:$A$107,0)),0))</f>
        <v/>
      </c>
      <c r="V37" s="40">
        <f>IF(V9="",IF(V$6="휴일",0,8),IFERROR(INDEX(코드!$D$2:$D$107,MATCH(V9,코드!$A$2:$A$107,0)),0))</f>
        <v/>
      </c>
      <c r="W37" s="40">
        <f>IF(W9="",IF(W$6="휴일",0,8),IFERROR(INDEX(코드!$D$2:$D$107,MATCH(W9,코드!$A$2:$A$107,0)),0))</f>
        <v/>
      </c>
      <c r="X37" s="40">
        <f>IF(X9="",IF(X$6="휴일",0,8),IFERROR(INDEX(코드!$D$2:$D$107,MATCH(X9,코드!$A$2:$A$107,0)),0))</f>
        <v/>
      </c>
      <c r="Y37" s="40">
        <f>IF(Y9="",IF(Y$6="휴일",0,8),IFERROR(INDEX(코드!$D$2:$D$107,MATCH(Y9,코드!$A$2:$A$107,0)),0))</f>
        <v/>
      </c>
      <c r="Z37" s="40">
        <f>IF(Z9="",IF(Z$6="휴일",0,8),IFERROR(INDEX(코드!$D$2:$D$107,MATCH(Z9,코드!$A$2:$A$107,0)),0))</f>
        <v/>
      </c>
      <c r="AA37" s="40">
        <f>IF(AA9="",IF(AA$6="휴일",0,8),IFERROR(INDEX(코드!$D$2:$D$107,MATCH(AA9,코드!$A$2:$A$107,0)),0))</f>
        <v/>
      </c>
      <c r="AB37" s="40">
        <f>IF(AB9="",IF(AB$6="휴일",0,8),IFERROR(INDEX(코드!$D$2:$D$107,MATCH(AB9,코드!$A$2:$A$107,0)),0))</f>
        <v/>
      </c>
      <c r="AC37" s="40">
        <f>IF(AC9="",IF(AC$6="휴일",0,8),IFERROR(INDEX(코드!$D$2:$D$107,MATCH(AC9,코드!$A$2:$A$107,0)),0))</f>
        <v/>
      </c>
      <c r="AD37" s="40">
        <f>IF(AD9="",IF(AD$6="휴일",0,8),IFERROR(INDEX(코드!$D$2:$D$107,MATCH(AD9,코드!$A$2:$A$107,0)),0))</f>
        <v/>
      </c>
      <c r="AE37" s="40">
        <f>IF(AE9="",IF(AE$6="휴일",0,8),IFERROR(INDEX(코드!$D$2:$D$107,MATCH(AE9,코드!$A$2:$A$107,0)),0))</f>
        <v/>
      </c>
      <c r="AF37" s="40">
        <f>IF(AF9="",IF(AF$6="휴일",0,8),IFERROR(INDEX(코드!$D$2:$D$107,MATCH(AF9,코드!$A$2:$A$107,0)),0))</f>
        <v/>
      </c>
      <c r="AG37" s="40">
        <f>IF(AG9="",IF(AG$6="휴일",0,8),IFERROR(INDEX(코드!$D$2:$D$107,MATCH(AG9,코드!$A$2:$A$107,0)),0))</f>
        <v/>
      </c>
      <c r="AH37" s="40">
        <f>IF(AH9="",IF(AH$6="휴일",0,8),IFERROR(INDEX(코드!$D$2:$D$107,MATCH(AH9,코드!$A$2:$A$107,0)),0))</f>
        <v/>
      </c>
    </row>
    <row r="38">
      <c r="A38" s="15">
        <f>IF(명부!A4="","",명부!A4)</f>
        <v/>
      </c>
      <c r="B38" s="16">
        <f>IF(명부!C4="","",명부!C4)</f>
        <v/>
      </c>
      <c r="C38" s="17">
        <f>IF(명부!E4="","",명부!E4)</f>
        <v/>
      </c>
      <c r="D38" s="40">
        <f>IF(D10="",IF(D$6="휴일",0,8),IFERROR(INDEX(코드!$D$2:$D$107,MATCH(D10,코드!$A$2:$A$107,0)),0))</f>
        <v/>
      </c>
      <c r="E38" s="40">
        <f>IF(E10="",IF(E$6="휴일",0,8),IFERROR(INDEX(코드!$D$2:$D$107,MATCH(E10,코드!$A$2:$A$107,0)),0))</f>
        <v/>
      </c>
      <c r="F38" s="40">
        <f>IF(F10="",IF(F$6="휴일",0,8),IFERROR(INDEX(코드!$D$2:$D$107,MATCH(F10,코드!$A$2:$A$107,0)),0))</f>
        <v/>
      </c>
      <c r="G38" s="40">
        <f>IF(G10="",IF(G$6="휴일",0,8),IFERROR(INDEX(코드!$D$2:$D$107,MATCH(G10,코드!$A$2:$A$107,0)),0))</f>
        <v/>
      </c>
      <c r="H38" s="40">
        <f>IF(H10="",IF(H$6="휴일",0,8),IFERROR(INDEX(코드!$D$2:$D$107,MATCH(H10,코드!$A$2:$A$107,0)),0))</f>
        <v/>
      </c>
      <c r="I38" s="40">
        <f>IF(I10="",IF(I$6="휴일",0,8),IFERROR(INDEX(코드!$D$2:$D$107,MATCH(I10,코드!$A$2:$A$107,0)),0))</f>
        <v/>
      </c>
      <c r="J38" s="40">
        <f>IF(J10="",IF(J$6="휴일",0,8),IFERROR(INDEX(코드!$D$2:$D$107,MATCH(J10,코드!$A$2:$A$107,0)),0))</f>
        <v/>
      </c>
      <c r="K38" s="40">
        <f>IF(K10="",IF(K$6="휴일",0,8),IFERROR(INDEX(코드!$D$2:$D$107,MATCH(K10,코드!$A$2:$A$107,0)),0))</f>
        <v/>
      </c>
      <c r="L38" s="40">
        <f>IF(L10="",IF(L$6="휴일",0,8),IFERROR(INDEX(코드!$D$2:$D$107,MATCH(L10,코드!$A$2:$A$107,0)),0))</f>
        <v/>
      </c>
      <c r="M38" s="40">
        <f>IF(M10="",IF(M$6="휴일",0,8),IFERROR(INDEX(코드!$D$2:$D$107,MATCH(M10,코드!$A$2:$A$107,0)),0))</f>
        <v/>
      </c>
      <c r="N38" s="40">
        <f>IF(N10="",IF(N$6="휴일",0,8),IFERROR(INDEX(코드!$D$2:$D$107,MATCH(N10,코드!$A$2:$A$107,0)),0))</f>
        <v/>
      </c>
      <c r="O38" s="40">
        <f>IF(O10="",IF(O$6="휴일",0,8),IFERROR(INDEX(코드!$D$2:$D$107,MATCH(O10,코드!$A$2:$A$107,0)),0))</f>
        <v/>
      </c>
      <c r="P38" s="40">
        <f>IF(P10="",IF(P$6="휴일",0,8),IFERROR(INDEX(코드!$D$2:$D$107,MATCH(P10,코드!$A$2:$A$107,0)),0))</f>
        <v/>
      </c>
      <c r="Q38" s="40">
        <f>IF(Q10="",IF(Q$6="휴일",0,8),IFERROR(INDEX(코드!$D$2:$D$107,MATCH(Q10,코드!$A$2:$A$107,0)),0))</f>
        <v/>
      </c>
      <c r="R38" s="40">
        <f>IF(R10="",IF(R$6="휴일",0,8),IFERROR(INDEX(코드!$D$2:$D$107,MATCH(R10,코드!$A$2:$A$107,0)),0))</f>
        <v/>
      </c>
      <c r="S38" s="40">
        <f>IF(S10="",IF(S$6="휴일",0,8),IFERROR(INDEX(코드!$D$2:$D$107,MATCH(S10,코드!$A$2:$A$107,0)),0))</f>
        <v/>
      </c>
      <c r="T38" s="40">
        <f>IF(T10="",IF(T$6="휴일",0,8),IFERROR(INDEX(코드!$D$2:$D$107,MATCH(T10,코드!$A$2:$A$107,0)),0))</f>
        <v/>
      </c>
      <c r="U38" s="40">
        <f>IF(U10="",IF(U$6="휴일",0,8),IFERROR(INDEX(코드!$D$2:$D$107,MATCH(U10,코드!$A$2:$A$107,0)),0))</f>
        <v/>
      </c>
      <c r="V38" s="40">
        <f>IF(V10="",IF(V$6="휴일",0,8),IFERROR(INDEX(코드!$D$2:$D$107,MATCH(V10,코드!$A$2:$A$107,0)),0))</f>
        <v/>
      </c>
      <c r="W38" s="40">
        <f>IF(W10="",IF(W$6="휴일",0,8),IFERROR(INDEX(코드!$D$2:$D$107,MATCH(W10,코드!$A$2:$A$107,0)),0))</f>
        <v/>
      </c>
      <c r="X38" s="40">
        <f>IF(X10="",IF(X$6="휴일",0,8),IFERROR(INDEX(코드!$D$2:$D$107,MATCH(X10,코드!$A$2:$A$107,0)),0))</f>
        <v/>
      </c>
      <c r="Y38" s="40">
        <f>IF(Y10="",IF(Y$6="휴일",0,8),IFERROR(INDEX(코드!$D$2:$D$107,MATCH(Y10,코드!$A$2:$A$107,0)),0))</f>
        <v/>
      </c>
      <c r="Z38" s="40">
        <f>IF(Z10="",IF(Z$6="휴일",0,8),IFERROR(INDEX(코드!$D$2:$D$107,MATCH(Z10,코드!$A$2:$A$107,0)),0))</f>
        <v/>
      </c>
      <c r="AA38" s="40">
        <f>IF(AA10="",IF(AA$6="휴일",0,8),IFERROR(INDEX(코드!$D$2:$D$107,MATCH(AA10,코드!$A$2:$A$107,0)),0))</f>
        <v/>
      </c>
      <c r="AB38" s="40">
        <f>IF(AB10="",IF(AB$6="휴일",0,8),IFERROR(INDEX(코드!$D$2:$D$107,MATCH(AB10,코드!$A$2:$A$107,0)),0))</f>
        <v/>
      </c>
      <c r="AC38" s="40">
        <f>IF(AC10="",IF(AC$6="휴일",0,8),IFERROR(INDEX(코드!$D$2:$D$107,MATCH(AC10,코드!$A$2:$A$107,0)),0))</f>
        <v/>
      </c>
      <c r="AD38" s="40">
        <f>IF(AD10="",IF(AD$6="휴일",0,8),IFERROR(INDEX(코드!$D$2:$D$107,MATCH(AD10,코드!$A$2:$A$107,0)),0))</f>
        <v/>
      </c>
      <c r="AE38" s="40">
        <f>IF(AE10="",IF(AE$6="휴일",0,8),IFERROR(INDEX(코드!$D$2:$D$107,MATCH(AE10,코드!$A$2:$A$107,0)),0))</f>
        <v/>
      </c>
      <c r="AF38" s="40">
        <f>IF(AF10="",IF(AF$6="휴일",0,8),IFERROR(INDEX(코드!$D$2:$D$107,MATCH(AF10,코드!$A$2:$A$107,0)),0))</f>
        <v/>
      </c>
      <c r="AG38" s="40">
        <f>IF(AG10="",IF(AG$6="휴일",0,8),IFERROR(INDEX(코드!$D$2:$D$107,MATCH(AG10,코드!$A$2:$A$107,0)),0))</f>
        <v/>
      </c>
      <c r="AH38" s="40">
        <f>IF(AH10="",IF(AH$6="휴일",0,8),IFERROR(INDEX(코드!$D$2:$D$107,MATCH(AH10,코드!$A$2:$A$107,0)),0))</f>
        <v/>
      </c>
    </row>
    <row r="39">
      <c r="A39" s="15">
        <f>IF(명부!A5="","",명부!A5)</f>
        <v/>
      </c>
      <c r="B39" s="16">
        <f>IF(명부!C5="","",명부!C5)</f>
        <v/>
      </c>
      <c r="C39" s="17">
        <f>IF(명부!E5="","",명부!E5)</f>
        <v/>
      </c>
      <c r="D39" s="40">
        <f>IF(D11="",IF(D$6="휴일",0,8),IFERROR(INDEX(코드!$D$2:$D$107,MATCH(D11,코드!$A$2:$A$107,0)),0))</f>
        <v/>
      </c>
      <c r="E39" s="40">
        <f>IF(E11="",IF(E$6="휴일",0,8),IFERROR(INDEX(코드!$D$2:$D$107,MATCH(E11,코드!$A$2:$A$107,0)),0))</f>
        <v/>
      </c>
      <c r="F39" s="40">
        <f>IF(F11="",IF(F$6="휴일",0,8),IFERROR(INDEX(코드!$D$2:$D$107,MATCH(F11,코드!$A$2:$A$107,0)),0))</f>
        <v/>
      </c>
      <c r="G39" s="40">
        <f>IF(G11="",IF(G$6="휴일",0,8),IFERROR(INDEX(코드!$D$2:$D$107,MATCH(G11,코드!$A$2:$A$107,0)),0))</f>
        <v/>
      </c>
      <c r="H39" s="40">
        <f>IF(H11="",IF(H$6="휴일",0,8),IFERROR(INDEX(코드!$D$2:$D$107,MATCH(H11,코드!$A$2:$A$107,0)),0))</f>
        <v/>
      </c>
      <c r="I39" s="40">
        <f>IF(I11="",IF(I$6="휴일",0,8),IFERROR(INDEX(코드!$D$2:$D$107,MATCH(I11,코드!$A$2:$A$107,0)),0))</f>
        <v/>
      </c>
      <c r="J39" s="40">
        <f>IF(J11="",IF(J$6="휴일",0,8),IFERROR(INDEX(코드!$D$2:$D$107,MATCH(J11,코드!$A$2:$A$107,0)),0))</f>
        <v/>
      </c>
      <c r="K39" s="40">
        <f>IF(K11="",IF(K$6="휴일",0,8),IFERROR(INDEX(코드!$D$2:$D$107,MATCH(K11,코드!$A$2:$A$107,0)),0))</f>
        <v/>
      </c>
      <c r="L39" s="40">
        <f>IF(L11="",IF(L$6="휴일",0,8),IFERROR(INDEX(코드!$D$2:$D$107,MATCH(L11,코드!$A$2:$A$107,0)),0))</f>
        <v/>
      </c>
      <c r="M39" s="40">
        <f>IF(M11="",IF(M$6="휴일",0,8),IFERROR(INDEX(코드!$D$2:$D$107,MATCH(M11,코드!$A$2:$A$107,0)),0))</f>
        <v/>
      </c>
      <c r="N39" s="40">
        <f>IF(N11="",IF(N$6="휴일",0,8),IFERROR(INDEX(코드!$D$2:$D$107,MATCH(N11,코드!$A$2:$A$107,0)),0))</f>
        <v/>
      </c>
      <c r="O39" s="40">
        <f>IF(O11="",IF(O$6="휴일",0,8),IFERROR(INDEX(코드!$D$2:$D$107,MATCH(O11,코드!$A$2:$A$107,0)),0))</f>
        <v/>
      </c>
      <c r="P39" s="40">
        <f>IF(P11="",IF(P$6="휴일",0,8),IFERROR(INDEX(코드!$D$2:$D$107,MATCH(P11,코드!$A$2:$A$107,0)),0))</f>
        <v/>
      </c>
      <c r="Q39" s="40">
        <f>IF(Q11="",IF(Q$6="휴일",0,8),IFERROR(INDEX(코드!$D$2:$D$107,MATCH(Q11,코드!$A$2:$A$107,0)),0))</f>
        <v/>
      </c>
      <c r="R39" s="40">
        <f>IF(R11="",IF(R$6="휴일",0,8),IFERROR(INDEX(코드!$D$2:$D$107,MATCH(R11,코드!$A$2:$A$107,0)),0))</f>
        <v/>
      </c>
      <c r="S39" s="40">
        <f>IF(S11="",IF(S$6="휴일",0,8),IFERROR(INDEX(코드!$D$2:$D$107,MATCH(S11,코드!$A$2:$A$107,0)),0))</f>
        <v/>
      </c>
      <c r="T39" s="40">
        <f>IF(T11="",IF(T$6="휴일",0,8),IFERROR(INDEX(코드!$D$2:$D$107,MATCH(T11,코드!$A$2:$A$107,0)),0))</f>
        <v/>
      </c>
      <c r="U39" s="40">
        <f>IF(U11="",IF(U$6="휴일",0,8),IFERROR(INDEX(코드!$D$2:$D$107,MATCH(U11,코드!$A$2:$A$107,0)),0))</f>
        <v/>
      </c>
      <c r="V39" s="40">
        <f>IF(V11="",IF(V$6="휴일",0,8),IFERROR(INDEX(코드!$D$2:$D$107,MATCH(V11,코드!$A$2:$A$107,0)),0))</f>
        <v/>
      </c>
      <c r="W39" s="40">
        <f>IF(W11="",IF(W$6="휴일",0,8),IFERROR(INDEX(코드!$D$2:$D$107,MATCH(W11,코드!$A$2:$A$107,0)),0))</f>
        <v/>
      </c>
      <c r="X39" s="40">
        <f>IF(X11="",IF(X$6="휴일",0,8),IFERROR(INDEX(코드!$D$2:$D$107,MATCH(X11,코드!$A$2:$A$107,0)),0))</f>
        <v/>
      </c>
      <c r="Y39" s="40">
        <f>IF(Y11="",IF(Y$6="휴일",0,8),IFERROR(INDEX(코드!$D$2:$D$107,MATCH(Y11,코드!$A$2:$A$107,0)),0))</f>
        <v/>
      </c>
      <c r="Z39" s="40">
        <f>IF(Z11="",IF(Z$6="휴일",0,8),IFERROR(INDEX(코드!$D$2:$D$107,MATCH(Z11,코드!$A$2:$A$107,0)),0))</f>
        <v/>
      </c>
      <c r="AA39" s="40">
        <f>IF(AA11="",IF(AA$6="휴일",0,8),IFERROR(INDEX(코드!$D$2:$D$107,MATCH(AA11,코드!$A$2:$A$107,0)),0))</f>
        <v/>
      </c>
      <c r="AB39" s="40">
        <f>IF(AB11="",IF(AB$6="휴일",0,8),IFERROR(INDEX(코드!$D$2:$D$107,MATCH(AB11,코드!$A$2:$A$107,0)),0))</f>
        <v/>
      </c>
      <c r="AC39" s="40">
        <f>IF(AC11="",IF(AC$6="휴일",0,8),IFERROR(INDEX(코드!$D$2:$D$107,MATCH(AC11,코드!$A$2:$A$107,0)),0))</f>
        <v/>
      </c>
      <c r="AD39" s="40">
        <f>IF(AD11="",IF(AD$6="휴일",0,8),IFERROR(INDEX(코드!$D$2:$D$107,MATCH(AD11,코드!$A$2:$A$107,0)),0))</f>
        <v/>
      </c>
      <c r="AE39" s="40">
        <f>IF(AE11="",IF(AE$6="휴일",0,8),IFERROR(INDEX(코드!$D$2:$D$107,MATCH(AE11,코드!$A$2:$A$107,0)),0))</f>
        <v/>
      </c>
      <c r="AF39" s="40">
        <f>IF(AF11="",IF(AF$6="휴일",0,8),IFERROR(INDEX(코드!$D$2:$D$107,MATCH(AF11,코드!$A$2:$A$107,0)),0))</f>
        <v/>
      </c>
      <c r="AG39" s="40">
        <f>IF(AG11="",IF(AG$6="휴일",0,8),IFERROR(INDEX(코드!$D$2:$D$107,MATCH(AG11,코드!$A$2:$A$107,0)),0))</f>
        <v/>
      </c>
      <c r="AH39" s="40">
        <f>IF(AH11="",IF(AH$6="휴일",0,8),IFERROR(INDEX(코드!$D$2:$D$107,MATCH(AH11,코드!$A$2:$A$107,0)),0))</f>
        <v/>
      </c>
    </row>
    <row r="40">
      <c r="A40" s="15">
        <f>IF(명부!A6="","",명부!A6)</f>
        <v/>
      </c>
      <c r="B40" s="16">
        <f>IF(명부!C6="","",명부!C6)</f>
        <v/>
      </c>
      <c r="C40" s="17">
        <f>IF(명부!E6="","",명부!E6)</f>
        <v/>
      </c>
      <c r="D40" s="40">
        <f>IF(D12="",IF(D$6="휴일",0,8),IFERROR(INDEX(코드!$D$2:$D$107,MATCH(D12,코드!$A$2:$A$107,0)),0))</f>
        <v/>
      </c>
      <c r="E40" s="40">
        <f>IF(E12="",IF(E$6="휴일",0,8),IFERROR(INDEX(코드!$D$2:$D$107,MATCH(E12,코드!$A$2:$A$107,0)),0))</f>
        <v/>
      </c>
      <c r="F40" s="40">
        <f>IF(F12="",IF(F$6="휴일",0,8),IFERROR(INDEX(코드!$D$2:$D$107,MATCH(F12,코드!$A$2:$A$107,0)),0))</f>
        <v/>
      </c>
      <c r="G40" s="40">
        <f>IF(G12="",IF(G$6="휴일",0,8),IFERROR(INDEX(코드!$D$2:$D$107,MATCH(G12,코드!$A$2:$A$107,0)),0))</f>
        <v/>
      </c>
      <c r="H40" s="40">
        <f>IF(H12="",IF(H$6="휴일",0,8),IFERROR(INDEX(코드!$D$2:$D$107,MATCH(H12,코드!$A$2:$A$107,0)),0))</f>
        <v/>
      </c>
      <c r="I40" s="40">
        <f>IF(I12="",IF(I$6="휴일",0,8),IFERROR(INDEX(코드!$D$2:$D$107,MATCH(I12,코드!$A$2:$A$107,0)),0))</f>
        <v/>
      </c>
      <c r="J40" s="40">
        <f>IF(J12="",IF(J$6="휴일",0,8),IFERROR(INDEX(코드!$D$2:$D$107,MATCH(J12,코드!$A$2:$A$107,0)),0))</f>
        <v/>
      </c>
      <c r="K40" s="40">
        <f>IF(K12="",IF(K$6="휴일",0,8),IFERROR(INDEX(코드!$D$2:$D$107,MATCH(K12,코드!$A$2:$A$107,0)),0))</f>
        <v/>
      </c>
      <c r="L40" s="40">
        <f>IF(L12="",IF(L$6="휴일",0,8),IFERROR(INDEX(코드!$D$2:$D$107,MATCH(L12,코드!$A$2:$A$107,0)),0))</f>
        <v/>
      </c>
      <c r="M40" s="40">
        <f>IF(M12="",IF(M$6="휴일",0,8),IFERROR(INDEX(코드!$D$2:$D$107,MATCH(M12,코드!$A$2:$A$107,0)),0))</f>
        <v/>
      </c>
      <c r="N40" s="40">
        <f>IF(N12="",IF(N$6="휴일",0,8),IFERROR(INDEX(코드!$D$2:$D$107,MATCH(N12,코드!$A$2:$A$107,0)),0))</f>
        <v/>
      </c>
      <c r="O40" s="40">
        <f>IF(O12="",IF(O$6="휴일",0,8),IFERROR(INDEX(코드!$D$2:$D$107,MATCH(O12,코드!$A$2:$A$107,0)),0))</f>
        <v/>
      </c>
      <c r="P40" s="40">
        <f>IF(P12="",IF(P$6="휴일",0,8),IFERROR(INDEX(코드!$D$2:$D$107,MATCH(P12,코드!$A$2:$A$107,0)),0))</f>
        <v/>
      </c>
      <c r="Q40" s="40">
        <f>IF(Q12="",IF(Q$6="휴일",0,8),IFERROR(INDEX(코드!$D$2:$D$107,MATCH(Q12,코드!$A$2:$A$107,0)),0))</f>
        <v/>
      </c>
      <c r="R40" s="40">
        <f>IF(R12="",IF(R$6="휴일",0,8),IFERROR(INDEX(코드!$D$2:$D$107,MATCH(R12,코드!$A$2:$A$107,0)),0))</f>
        <v/>
      </c>
      <c r="S40" s="40">
        <f>IF(S12="",IF(S$6="휴일",0,8),IFERROR(INDEX(코드!$D$2:$D$107,MATCH(S12,코드!$A$2:$A$107,0)),0))</f>
        <v/>
      </c>
      <c r="T40" s="40">
        <f>IF(T12="",IF(T$6="휴일",0,8),IFERROR(INDEX(코드!$D$2:$D$107,MATCH(T12,코드!$A$2:$A$107,0)),0))</f>
        <v/>
      </c>
      <c r="U40" s="40">
        <f>IF(U12="",IF(U$6="휴일",0,8),IFERROR(INDEX(코드!$D$2:$D$107,MATCH(U12,코드!$A$2:$A$107,0)),0))</f>
        <v/>
      </c>
      <c r="V40" s="40">
        <f>IF(V12="",IF(V$6="휴일",0,8),IFERROR(INDEX(코드!$D$2:$D$107,MATCH(V12,코드!$A$2:$A$107,0)),0))</f>
        <v/>
      </c>
      <c r="W40" s="40">
        <f>IF(W12="",IF(W$6="휴일",0,8),IFERROR(INDEX(코드!$D$2:$D$107,MATCH(W12,코드!$A$2:$A$107,0)),0))</f>
        <v/>
      </c>
      <c r="X40" s="40">
        <f>IF(X12="",IF(X$6="휴일",0,8),IFERROR(INDEX(코드!$D$2:$D$107,MATCH(X12,코드!$A$2:$A$107,0)),0))</f>
        <v/>
      </c>
      <c r="Y40" s="40">
        <f>IF(Y12="",IF(Y$6="휴일",0,8),IFERROR(INDEX(코드!$D$2:$D$107,MATCH(Y12,코드!$A$2:$A$107,0)),0))</f>
        <v/>
      </c>
      <c r="Z40" s="40">
        <f>IF(Z12="",IF(Z$6="휴일",0,8),IFERROR(INDEX(코드!$D$2:$D$107,MATCH(Z12,코드!$A$2:$A$107,0)),0))</f>
        <v/>
      </c>
      <c r="AA40" s="40">
        <f>IF(AA12="",IF(AA$6="휴일",0,8),IFERROR(INDEX(코드!$D$2:$D$107,MATCH(AA12,코드!$A$2:$A$107,0)),0))</f>
        <v/>
      </c>
      <c r="AB40" s="40">
        <f>IF(AB12="",IF(AB$6="휴일",0,8),IFERROR(INDEX(코드!$D$2:$D$107,MATCH(AB12,코드!$A$2:$A$107,0)),0))</f>
        <v/>
      </c>
      <c r="AC40" s="40">
        <f>IF(AC12="",IF(AC$6="휴일",0,8),IFERROR(INDEX(코드!$D$2:$D$107,MATCH(AC12,코드!$A$2:$A$107,0)),0))</f>
        <v/>
      </c>
      <c r="AD40" s="40">
        <f>IF(AD12="",IF(AD$6="휴일",0,8),IFERROR(INDEX(코드!$D$2:$D$107,MATCH(AD12,코드!$A$2:$A$107,0)),0))</f>
        <v/>
      </c>
      <c r="AE40" s="40">
        <f>IF(AE12="",IF(AE$6="휴일",0,8),IFERROR(INDEX(코드!$D$2:$D$107,MATCH(AE12,코드!$A$2:$A$107,0)),0))</f>
        <v/>
      </c>
      <c r="AF40" s="40">
        <f>IF(AF12="",IF(AF$6="휴일",0,8),IFERROR(INDEX(코드!$D$2:$D$107,MATCH(AF12,코드!$A$2:$A$107,0)),0))</f>
        <v/>
      </c>
      <c r="AG40" s="40">
        <f>IF(AG12="",IF(AG$6="휴일",0,8),IFERROR(INDEX(코드!$D$2:$D$107,MATCH(AG12,코드!$A$2:$A$107,0)),0))</f>
        <v/>
      </c>
      <c r="AH40" s="40">
        <f>IF(AH12="",IF(AH$6="휴일",0,8),IFERROR(INDEX(코드!$D$2:$D$107,MATCH(AH12,코드!$A$2:$A$107,0)),0))</f>
        <v/>
      </c>
    </row>
    <row r="41">
      <c r="A41" s="15">
        <f>IF(명부!A7="","",명부!A7)</f>
        <v/>
      </c>
      <c r="B41" s="16">
        <f>IF(명부!C7="","",명부!C7)</f>
        <v/>
      </c>
      <c r="C41" s="17">
        <f>IF(명부!E7="","",명부!E7)</f>
        <v/>
      </c>
      <c r="D41" s="40">
        <f>IF(D13="",IF(D$6="휴일",0,8),IFERROR(INDEX(코드!$D$2:$D$107,MATCH(D13,코드!$A$2:$A$107,0)),0))</f>
        <v/>
      </c>
      <c r="E41" s="40">
        <f>IF(E13="",IF(E$6="휴일",0,8),IFERROR(INDEX(코드!$D$2:$D$107,MATCH(E13,코드!$A$2:$A$107,0)),0))</f>
        <v/>
      </c>
      <c r="F41" s="40">
        <f>IF(F13="",IF(F$6="휴일",0,8),IFERROR(INDEX(코드!$D$2:$D$107,MATCH(F13,코드!$A$2:$A$107,0)),0))</f>
        <v/>
      </c>
      <c r="G41" s="40">
        <f>IF(G13="",IF(G$6="휴일",0,8),IFERROR(INDEX(코드!$D$2:$D$107,MATCH(G13,코드!$A$2:$A$107,0)),0))</f>
        <v/>
      </c>
      <c r="H41" s="40">
        <f>IF(H13="",IF(H$6="휴일",0,8),IFERROR(INDEX(코드!$D$2:$D$107,MATCH(H13,코드!$A$2:$A$107,0)),0))</f>
        <v/>
      </c>
      <c r="I41" s="40">
        <f>IF(I13="",IF(I$6="휴일",0,8),IFERROR(INDEX(코드!$D$2:$D$107,MATCH(I13,코드!$A$2:$A$107,0)),0))</f>
        <v/>
      </c>
      <c r="J41" s="40">
        <f>IF(J13="",IF(J$6="휴일",0,8),IFERROR(INDEX(코드!$D$2:$D$107,MATCH(J13,코드!$A$2:$A$107,0)),0))</f>
        <v/>
      </c>
      <c r="K41" s="40">
        <f>IF(K13="",IF(K$6="휴일",0,8),IFERROR(INDEX(코드!$D$2:$D$107,MATCH(K13,코드!$A$2:$A$107,0)),0))</f>
        <v/>
      </c>
      <c r="L41" s="40">
        <f>IF(L13="",IF(L$6="휴일",0,8),IFERROR(INDEX(코드!$D$2:$D$107,MATCH(L13,코드!$A$2:$A$107,0)),0))</f>
        <v/>
      </c>
      <c r="M41" s="40">
        <f>IF(M13="",IF(M$6="휴일",0,8),IFERROR(INDEX(코드!$D$2:$D$107,MATCH(M13,코드!$A$2:$A$107,0)),0))</f>
        <v/>
      </c>
      <c r="N41" s="40">
        <f>IF(N13="",IF(N$6="휴일",0,8),IFERROR(INDEX(코드!$D$2:$D$107,MATCH(N13,코드!$A$2:$A$107,0)),0))</f>
        <v/>
      </c>
      <c r="O41" s="40">
        <f>IF(O13="",IF(O$6="휴일",0,8),IFERROR(INDEX(코드!$D$2:$D$107,MATCH(O13,코드!$A$2:$A$107,0)),0))</f>
        <v/>
      </c>
      <c r="P41" s="40">
        <f>IF(P13="",IF(P$6="휴일",0,8),IFERROR(INDEX(코드!$D$2:$D$107,MATCH(P13,코드!$A$2:$A$107,0)),0))</f>
        <v/>
      </c>
      <c r="Q41" s="40">
        <f>IF(Q13="",IF(Q$6="휴일",0,8),IFERROR(INDEX(코드!$D$2:$D$107,MATCH(Q13,코드!$A$2:$A$107,0)),0))</f>
        <v/>
      </c>
      <c r="R41" s="40">
        <f>IF(R13="",IF(R$6="휴일",0,8),IFERROR(INDEX(코드!$D$2:$D$107,MATCH(R13,코드!$A$2:$A$107,0)),0))</f>
        <v/>
      </c>
      <c r="S41" s="40">
        <f>IF(S13="",IF(S$6="휴일",0,8),IFERROR(INDEX(코드!$D$2:$D$107,MATCH(S13,코드!$A$2:$A$107,0)),0))</f>
        <v/>
      </c>
      <c r="T41" s="40">
        <f>IF(T13="",IF(T$6="휴일",0,8),IFERROR(INDEX(코드!$D$2:$D$107,MATCH(T13,코드!$A$2:$A$107,0)),0))</f>
        <v/>
      </c>
      <c r="U41" s="40">
        <f>IF(U13="",IF(U$6="휴일",0,8),IFERROR(INDEX(코드!$D$2:$D$107,MATCH(U13,코드!$A$2:$A$107,0)),0))</f>
        <v/>
      </c>
      <c r="V41" s="40">
        <f>IF(V13="",IF(V$6="휴일",0,8),IFERROR(INDEX(코드!$D$2:$D$107,MATCH(V13,코드!$A$2:$A$107,0)),0))</f>
        <v/>
      </c>
      <c r="W41" s="40">
        <f>IF(W13="",IF(W$6="휴일",0,8),IFERROR(INDEX(코드!$D$2:$D$107,MATCH(W13,코드!$A$2:$A$107,0)),0))</f>
        <v/>
      </c>
      <c r="X41" s="40">
        <f>IF(X13="",IF(X$6="휴일",0,8),IFERROR(INDEX(코드!$D$2:$D$107,MATCH(X13,코드!$A$2:$A$107,0)),0))</f>
        <v/>
      </c>
      <c r="Y41" s="40">
        <f>IF(Y13="",IF(Y$6="휴일",0,8),IFERROR(INDEX(코드!$D$2:$D$107,MATCH(Y13,코드!$A$2:$A$107,0)),0))</f>
        <v/>
      </c>
      <c r="Z41" s="40">
        <f>IF(Z13="",IF(Z$6="휴일",0,8),IFERROR(INDEX(코드!$D$2:$D$107,MATCH(Z13,코드!$A$2:$A$107,0)),0))</f>
        <v/>
      </c>
      <c r="AA41" s="40">
        <f>IF(AA13="",IF(AA$6="휴일",0,8),IFERROR(INDEX(코드!$D$2:$D$107,MATCH(AA13,코드!$A$2:$A$107,0)),0))</f>
        <v/>
      </c>
      <c r="AB41" s="40">
        <f>IF(AB13="",IF(AB$6="휴일",0,8),IFERROR(INDEX(코드!$D$2:$D$107,MATCH(AB13,코드!$A$2:$A$107,0)),0))</f>
        <v/>
      </c>
      <c r="AC41" s="40">
        <f>IF(AC13="",IF(AC$6="휴일",0,8),IFERROR(INDEX(코드!$D$2:$D$107,MATCH(AC13,코드!$A$2:$A$107,0)),0))</f>
        <v/>
      </c>
      <c r="AD41" s="40">
        <f>IF(AD13="",IF(AD$6="휴일",0,8),IFERROR(INDEX(코드!$D$2:$D$107,MATCH(AD13,코드!$A$2:$A$107,0)),0))</f>
        <v/>
      </c>
      <c r="AE41" s="40">
        <f>IF(AE13="",IF(AE$6="휴일",0,8),IFERROR(INDEX(코드!$D$2:$D$107,MATCH(AE13,코드!$A$2:$A$107,0)),0))</f>
        <v/>
      </c>
      <c r="AF41" s="40">
        <f>IF(AF13="",IF(AF$6="휴일",0,8),IFERROR(INDEX(코드!$D$2:$D$107,MATCH(AF13,코드!$A$2:$A$107,0)),0))</f>
        <v/>
      </c>
      <c r="AG41" s="40">
        <f>IF(AG13="",IF(AG$6="휴일",0,8),IFERROR(INDEX(코드!$D$2:$D$107,MATCH(AG13,코드!$A$2:$A$107,0)),0))</f>
        <v/>
      </c>
      <c r="AH41" s="40">
        <f>IF(AH13="",IF(AH$6="휴일",0,8),IFERROR(INDEX(코드!$D$2:$D$107,MATCH(AH13,코드!$A$2:$A$107,0)),0))</f>
        <v/>
      </c>
    </row>
    <row r="42">
      <c r="A42" s="15">
        <f>IF(명부!A8="","",명부!A8)</f>
        <v/>
      </c>
      <c r="B42" s="16">
        <f>IF(명부!C8="","",명부!C8)</f>
        <v/>
      </c>
      <c r="C42" s="17">
        <f>IF(명부!E8="","",명부!E8)</f>
        <v/>
      </c>
      <c r="D42" s="40">
        <f>IF(D14="",IF(D$6="휴일",0,8),IFERROR(INDEX(코드!$D$2:$D$107,MATCH(D14,코드!$A$2:$A$107,0)),0))</f>
        <v/>
      </c>
      <c r="E42" s="40">
        <f>IF(E14="",IF(E$6="휴일",0,8),IFERROR(INDEX(코드!$D$2:$D$107,MATCH(E14,코드!$A$2:$A$107,0)),0))</f>
        <v/>
      </c>
      <c r="F42" s="40">
        <f>IF(F14="",IF(F$6="휴일",0,8),IFERROR(INDEX(코드!$D$2:$D$107,MATCH(F14,코드!$A$2:$A$107,0)),0))</f>
        <v/>
      </c>
      <c r="G42" s="40">
        <f>IF(G14="",IF(G$6="휴일",0,8),IFERROR(INDEX(코드!$D$2:$D$107,MATCH(G14,코드!$A$2:$A$107,0)),0))</f>
        <v/>
      </c>
      <c r="H42" s="40">
        <f>IF(H14="",IF(H$6="휴일",0,8),IFERROR(INDEX(코드!$D$2:$D$107,MATCH(H14,코드!$A$2:$A$107,0)),0))</f>
        <v/>
      </c>
      <c r="I42" s="40">
        <f>IF(I14="",IF(I$6="휴일",0,8),IFERROR(INDEX(코드!$D$2:$D$107,MATCH(I14,코드!$A$2:$A$107,0)),0))</f>
        <v/>
      </c>
      <c r="J42" s="40">
        <f>IF(J14="",IF(J$6="휴일",0,8),IFERROR(INDEX(코드!$D$2:$D$107,MATCH(J14,코드!$A$2:$A$107,0)),0))</f>
        <v/>
      </c>
      <c r="K42" s="40">
        <f>IF(K14="",IF(K$6="휴일",0,8),IFERROR(INDEX(코드!$D$2:$D$107,MATCH(K14,코드!$A$2:$A$107,0)),0))</f>
        <v/>
      </c>
      <c r="L42" s="40">
        <f>IF(L14="",IF(L$6="휴일",0,8),IFERROR(INDEX(코드!$D$2:$D$107,MATCH(L14,코드!$A$2:$A$107,0)),0))</f>
        <v/>
      </c>
      <c r="M42" s="40">
        <f>IF(M14="",IF(M$6="휴일",0,8),IFERROR(INDEX(코드!$D$2:$D$107,MATCH(M14,코드!$A$2:$A$107,0)),0))</f>
        <v/>
      </c>
      <c r="N42" s="40">
        <f>IF(N14="",IF(N$6="휴일",0,8),IFERROR(INDEX(코드!$D$2:$D$107,MATCH(N14,코드!$A$2:$A$107,0)),0))</f>
        <v/>
      </c>
      <c r="O42" s="40">
        <f>IF(O14="",IF(O$6="휴일",0,8),IFERROR(INDEX(코드!$D$2:$D$107,MATCH(O14,코드!$A$2:$A$107,0)),0))</f>
        <v/>
      </c>
      <c r="P42" s="40">
        <f>IF(P14="",IF(P$6="휴일",0,8),IFERROR(INDEX(코드!$D$2:$D$107,MATCH(P14,코드!$A$2:$A$107,0)),0))</f>
        <v/>
      </c>
      <c r="Q42" s="40">
        <f>IF(Q14="",IF(Q$6="휴일",0,8),IFERROR(INDEX(코드!$D$2:$D$107,MATCH(Q14,코드!$A$2:$A$107,0)),0))</f>
        <v/>
      </c>
      <c r="R42" s="40">
        <f>IF(R14="",IF(R$6="휴일",0,8),IFERROR(INDEX(코드!$D$2:$D$107,MATCH(R14,코드!$A$2:$A$107,0)),0))</f>
        <v/>
      </c>
      <c r="S42" s="40">
        <f>IF(S14="",IF(S$6="휴일",0,8),IFERROR(INDEX(코드!$D$2:$D$107,MATCH(S14,코드!$A$2:$A$107,0)),0))</f>
        <v/>
      </c>
      <c r="T42" s="40">
        <f>IF(T14="",IF(T$6="휴일",0,8),IFERROR(INDEX(코드!$D$2:$D$107,MATCH(T14,코드!$A$2:$A$107,0)),0))</f>
        <v/>
      </c>
      <c r="U42" s="40">
        <f>IF(U14="",IF(U$6="휴일",0,8),IFERROR(INDEX(코드!$D$2:$D$107,MATCH(U14,코드!$A$2:$A$107,0)),0))</f>
        <v/>
      </c>
      <c r="V42" s="40">
        <f>IF(V14="",IF(V$6="휴일",0,8),IFERROR(INDEX(코드!$D$2:$D$107,MATCH(V14,코드!$A$2:$A$107,0)),0))</f>
        <v/>
      </c>
      <c r="W42" s="40">
        <f>IF(W14="",IF(W$6="휴일",0,8),IFERROR(INDEX(코드!$D$2:$D$107,MATCH(W14,코드!$A$2:$A$107,0)),0))</f>
        <v/>
      </c>
      <c r="X42" s="40">
        <f>IF(X14="",IF(X$6="휴일",0,8),IFERROR(INDEX(코드!$D$2:$D$107,MATCH(X14,코드!$A$2:$A$107,0)),0))</f>
        <v/>
      </c>
      <c r="Y42" s="40">
        <f>IF(Y14="",IF(Y$6="휴일",0,8),IFERROR(INDEX(코드!$D$2:$D$107,MATCH(Y14,코드!$A$2:$A$107,0)),0))</f>
        <v/>
      </c>
      <c r="Z42" s="40">
        <f>IF(Z14="",IF(Z$6="휴일",0,8),IFERROR(INDEX(코드!$D$2:$D$107,MATCH(Z14,코드!$A$2:$A$107,0)),0))</f>
        <v/>
      </c>
      <c r="AA42" s="40">
        <f>IF(AA14="",IF(AA$6="휴일",0,8),IFERROR(INDEX(코드!$D$2:$D$107,MATCH(AA14,코드!$A$2:$A$107,0)),0))</f>
        <v/>
      </c>
      <c r="AB42" s="40">
        <f>IF(AB14="",IF(AB$6="휴일",0,8),IFERROR(INDEX(코드!$D$2:$D$107,MATCH(AB14,코드!$A$2:$A$107,0)),0))</f>
        <v/>
      </c>
      <c r="AC42" s="40">
        <f>IF(AC14="",IF(AC$6="휴일",0,8),IFERROR(INDEX(코드!$D$2:$D$107,MATCH(AC14,코드!$A$2:$A$107,0)),0))</f>
        <v/>
      </c>
      <c r="AD42" s="40">
        <f>IF(AD14="",IF(AD$6="휴일",0,8),IFERROR(INDEX(코드!$D$2:$D$107,MATCH(AD14,코드!$A$2:$A$107,0)),0))</f>
        <v/>
      </c>
      <c r="AE42" s="40">
        <f>IF(AE14="",IF(AE$6="휴일",0,8),IFERROR(INDEX(코드!$D$2:$D$107,MATCH(AE14,코드!$A$2:$A$107,0)),0))</f>
        <v/>
      </c>
      <c r="AF42" s="40">
        <f>IF(AF14="",IF(AF$6="휴일",0,8),IFERROR(INDEX(코드!$D$2:$D$107,MATCH(AF14,코드!$A$2:$A$107,0)),0))</f>
        <v/>
      </c>
      <c r="AG42" s="40">
        <f>IF(AG14="",IF(AG$6="휴일",0,8),IFERROR(INDEX(코드!$D$2:$D$107,MATCH(AG14,코드!$A$2:$A$107,0)),0))</f>
        <v/>
      </c>
      <c r="AH42" s="40">
        <f>IF(AH14="",IF(AH$6="휴일",0,8),IFERROR(INDEX(코드!$D$2:$D$107,MATCH(AH14,코드!$A$2:$A$107,0)),0))</f>
        <v/>
      </c>
    </row>
    <row r="43">
      <c r="A43" s="15">
        <f>IF(명부!A9="","",명부!A9)</f>
        <v/>
      </c>
      <c r="B43" s="16">
        <f>IF(명부!C9="","",명부!C9)</f>
        <v/>
      </c>
      <c r="C43" s="17">
        <f>IF(명부!E9="","",명부!E9)</f>
        <v/>
      </c>
      <c r="D43" s="40">
        <f>IF(D15="",IF(D$6="휴일",0,8),IFERROR(INDEX(코드!$D$2:$D$107,MATCH(D15,코드!$A$2:$A$107,0)),0))</f>
        <v/>
      </c>
      <c r="E43" s="40">
        <f>IF(E15="",IF(E$6="휴일",0,8),IFERROR(INDEX(코드!$D$2:$D$107,MATCH(E15,코드!$A$2:$A$107,0)),0))</f>
        <v/>
      </c>
      <c r="F43" s="40">
        <f>IF(F15="",IF(F$6="휴일",0,8),IFERROR(INDEX(코드!$D$2:$D$107,MATCH(F15,코드!$A$2:$A$107,0)),0))</f>
        <v/>
      </c>
      <c r="G43" s="40">
        <f>IF(G15="",IF(G$6="휴일",0,8),IFERROR(INDEX(코드!$D$2:$D$107,MATCH(G15,코드!$A$2:$A$107,0)),0))</f>
        <v/>
      </c>
      <c r="H43" s="40">
        <f>IF(H15="",IF(H$6="휴일",0,8),IFERROR(INDEX(코드!$D$2:$D$107,MATCH(H15,코드!$A$2:$A$107,0)),0))</f>
        <v/>
      </c>
      <c r="I43" s="40">
        <f>IF(I15="",IF(I$6="휴일",0,8),IFERROR(INDEX(코드!$D$2:$D$107,MATCH(I15,코드!$A$2:$A$107,0)),0))</f>
        <v/>
      </c>
      <c r="J43" s="40">
        <f>IF(J15="",IF(J$6="휴일",0,8),IFERROR(INDEX(코드!$D$2:$D$107,MATCH(J15,코드!$A$2:$A$107,0)),0))</f>
        <v/>
      </c>
      <c r="K43" s="40">
        <f>IF(K15="",IF(K$6="휴일",0,8),IFERROR(INDEX(코드!$D$2:$D$107,MATCH(K15,코드!$A$2:$A$107,0)),0))</f>
        <v/>
      </c>
      <c r="L43" s="40">
        <f>IF(L15="",IF(L$6="휴일",0,8),IFERROR(INDEX(코드!$D$2:$D$107,MATCH(L15,코드!$A$2:$A$107,0)),0))</f>
        <v/>
      </c>
      <c r="M43" s="40">
        <f>IF(M15="",IF(M$6="휴일",0,8),IFERROR(INDEX(코드!$D$2:$D$107,MATCH(M15,코드!$A$2:$A$107,0)),0))</f>
        <v/>
      </c>
      <c r="N43" s="40">
        <f>IF(N15="",IF(N$6="휴일",0,8),IFERROR(INDEX(코드!$D$2:$D$107,MATCH(N15,코드!$A$2:$A$107,0)),0))</f>
        <v/>
      </c>
      <c r="O43" s="40">
        <f>IF(O15="",IF(O$6="휴일",0,8),IFERROR(INDEX(코드!$D$2:$D$107,MATCH(O15,코드!$A$2:$A$107,0)),0))</f>
        <v/>
      </c>
      <c r="P43" s="40">
        <f>IF(P15="",IF(P$6="휴일",0,8),IFERROR(INDEX(코드!$D$2:$D$107,MATCH(P15,코드!$A$2:$A$107,0)),0))</f>
        <v/>
      </c>
      <c r="Q43" s="40">
        <f>IF(Q15="",IF(Q$6="휴일",0,8),IFERROR(INDEX(코드!$D$2:$D$107,MATCH(Q15,코드!$A$2:$A$107,0)),0))</f>
        <v/>
      </c>
      <c r="R43" s="40">
        <f>IF(R15="",IF(R$6="휴일",0,8),IFERROR(INDEX(코드!$D$2:$D$107,MATCH(R15,코드!$A$2:$A$107,0)),0))</f>
        <v/>
      </c>
      <c r="S43" s="40">
        <f>IF(S15="",IF(S$6="휴일",0,8),IFERROR(INDEX(코드!$D$2:$D$107,MATCH(S15,코드!$A$2:$A$107,0)),0))</f>
        <v/>
      </c>
      <c r="T43" s="40">
        <f>IF(T15="",IF(T$6="휴일",0,8),IFERROR(INDEX(코드!$D$2:$D$107,MATCH(T15,코드!$A$2:$A$107,0)),0))</f>
        <v/>
      </c>
      <c r="U43" s="40">
        <f>IF(U15="",IF(U$6="휴일",0,8),IFERROR(INDEX(코드!$D$2:$D$107,MATCH(U15,코드!$A$2:$A$107,0)),0))</f>
        <v/>
      </c>
      <c r="V43" s="40">
        <f>IF(V15="",IF(V$6="휴일",0,8),IFERROR(INDEX(코드!$D$2:$D$107,MATCH(V15,코드!$A$2:$A$107,0)),0))</f>
        <v/>
      </c>
      <c r="W43" s="40">
        <f>IF(W15="",IF(W$6="휴일",0,8),IFERROR(INDEX(코드!$D$2:$D$107,MATCH(W15,코드!$A$2:$A$107,0)),0))</f>
        <v/>
      </c>
      <c r="X43" s="40">
        <f>IF(X15="",IF(X$6="휴일",0,8),IFERROR(INDEX(코드!$D$2:$D$107,MATCH(X15,코드!$A$2:$A$107,0)),0))</f>
        <v/>
      </c>
      <c r="Y43" s="40">
        <f>IF(Y15="",IF(Y$6="휴일",0,8),IFERROR(INDEX(코드!$D$2:$D$107,MATCH(Y15,코드!$A$2:$A$107,0)),0))</f>
        <v/>
      </c>
      <c r="Z43" s="40">
        <f>IF(Z15="",IF(Z$6="휴일",0,8),IFERROR(INDEX(코드!$D$2:$D$107,MATCH(Z15,코드!$A$2:$A$107,0)),0))</f>
        <v/>
      </c>
      <c r="AA43" s="40">
        <f>IF(AA15="",IF(AA$6="휴일",0,8),IFERROR(INDEX(코드!$D$2:$D$107,MATCH(AA15,코드!$A$2:$A$107,0)),0))</f>
        <v/>
      </c>
      <c r="AB43" s="40">
        <f>IF(AB15="",IF(AB$6="휴일",0,8),IFERROR(INDEX(코드!$D$2:$D$107,MATCH(AB15,코드!$A$2:$A$107,0)),0))</f>
        <v/>
      </c>
      <c r="AC43" s="40">
        <f>IF(AC15="",IF(AC$6="휴일",0,8),IFERROR(INDEX(코드!$D$2:$D$107,MATCH(AC15,코드!$A$2:$A$107,0)),0))</f>
        <v/>
      </c>
      <c r="AD43" s="40">
        <f>IF(AD15="",IF(AD$6="휴일",0,8),IFERROR(INDEX(코드!$D$2:$D$107,MATCH(AD15,코드!$A$2:$A$107,0)),0))</f>
        <v/>
      </c>
      <c r="AE43" s="40">
        <f>IF(AE15="",IF(AE$6="휴일",0,8),IFERROR(INDEX(코드!$D$2:$D$107,MATCH(AE15,코드!$A$2:$A$107,0)),0))</f>
        <v/>
      </c>
      <c r="AF43" s="40">
        <f>IF(AF15="",IF(AF$6="휴일",0,8),IFERROR(INDEX(코드!$D$2:$D$107,MATCH(AF15,코드!$A$2:$A$107,0)),0))</f>
        <v/>
      </c>
      <c r="AG43" s="40">
        <f>IF(AG15="",IF(AG$6="휴일",0,8),IFERROR(INDEX(코드!$D$2:$D$107,MATCH(AG15,코드!$A$2:$A$107,0)),0))</f>
        <v/>
      </c>
      <c r="AH43" s="40">
        <f>IF(AH15="",IF(AH$6="휴일",0,8),IFERROR(INDEX(코드!$D$2:$D$107,MATCH(AH15,코드!$A$2:$A$107,0)),0))</f>
        <v/>
      </c>
    </row>
    <row r="44">
      <c r="A44" s="15">
        <f>IF(명부!A10="","",명부!A10)</f>
        <v/>
      </c>
      <c r="B44" s="16">
        <f>IF(명부!C10="","",명부!C10)</f>
        <v/>
      </c>
      <c r="C44" s="17">
        <f>IF(명부!E10="","",명부!E10)</f>
        <v/>
      </c>
      <c r="D44" s="40">
        <f>IF(D16="",IF(D$6="휴일",0,8),IFERROR(INDEX(코드!$D$2:$D$107,MATCH(D16,코드!$A$2:$A$107,0)),0))</f>
        <v/>
      </c>
      <c r="E44" s="40">
        <f>IF(E16="",IF(E$6="휴일",0,8),IFERROR(INDEX(코드!$D$2:$D$107,MATCH(E16,코드!$A$2:$A$107,0)),0))</f>
        <v/>
      </c>
      <c r="F44" s="40">
        <f>IF(F16="",IF(F$6="휴일",0,8),IFERROR(INDEX(코드!$D$2:$D$107,MATCH(F16,코드!$A$2:$A$107,0)),0))</f>
        <v/>
      </c>
      <c r="G44" s="40">
        <f>IF(G16="",IF(G$6="휴일",0,8),IFERROR(INDEX(코드!$D$2:$D$107,MATCH(G16,코드!$A$2:$A$107,0)),0))</f>
        <v/>
      </c>
      <c r="H44" s="40">
        <f>IF(H16="",IF(H$6="휴일",0,8),IFERROR(INDEX(코드!$D$2:$D$107,MATCH(H16,코드!$A$2:$A$107,0)),0))</f>
        <v/>
      </c>
      <c r="I44" s="40">
        <f>IF(I16="",IF(I$6="휴일",0,8),IFERROR(INDEX(코드!$D$2:$D$107,MATCH(I16,코드!$A$2:$A$107,0)),0))</f>
        <v/>
      </c>
      <c r="J44" s="40">
        <f>IF(J16="",IF(J$6="휴일",0,8),IFERROR(INDEX(코드!$D$2:$D$107,MATCH(J16,코드!$A$2:$A$107,0)),0))</f>
        <v/>
      </c>
      <c r="K44" s="40">
        <f>IF(K16="",IF(K$6="휴일",0,8),IFERROR(INDEX(코드!$D$2:$D$107,MATCH(K16,코드!$A$2:$A$107,0)),0))</f>
        <v/>
      </c>
      <c r="L44" s="40">
        <f>IF(L16="",IF(L$6="휴일",0,8),IFERROR(INDEX(코드!$D$2:$D$107,MATCH(L16,코드!$A$2:$A$107,0)),0))</f>
        <v/>
      </c>
      <c r="M44" s="40">
        <f>IF(M16="",IF(M$6="휴일",0,8),IFERROR(INDEX(코드!$D$2:$D$107,MATCH(M16,코드!$A$2:$A$107,0)),0))</f>
        <v/>
      </c>
      <c r="N44" s="40">
        <f>IF(N16="",IF(N$6="휴일",0,8),IFERROR(INDEX(코드!$D$2:$D$107,MATCH(N16,코드!$A$2:$A$107,0)),0))</f>
        <v/>
      </c>
      <c r="O44" s="40">
        <f>IF(O16="",IF(O$6="휴일",0,8),IFERROR(INDEX(코드!$D$2:$D$107,MATCH(O16,코드!$A$2:$A$107,0)),0))</f>
        <v/>
      </c>
      <c r="P44" s="40">
        <f>IF(P16="",IF(P$6="휴일",0,8),IFERROR(INDEX(코드!$D$2:$D$107,MATCH(P16,코드!$A$2:$A$107,0)),0))</f>
        <v/>
      </c>
      <c r="Q44" s="40">
        <f>IF(Q16="",IF(Q$6="휴일",0,8),IFERROR(INDEX(코드!$D$2:$D$107,MATCH(Q16,코드!$A$2:$A$107,0)),0))</f>
        <v/>
      </c>
      <c r="R44" s="40">
        <f>IF(R16="",IF(R$6="휴일",0,8),IFERROR(INDEX(코드!$D$2:$D$107,MATCH(R16,코드!$A$2:$A$107,0)),0))</f>
        <v/>
      </c>
      <c r="S44" s="40">
        <f>IF(S16="",IF(S$6="휴일",0,8),IFERROR(INDEX(코드!$D$2:$D$107,MATCH(S16,코드!$A$2:$A$107,0)),0))</f>
        <v/>
      </c>
      <c r="T44" s="40">
        <f>IF(T16="",IF(T$6="휴일",0,8),IFERROR(INDEX(코드!$D$2:$D$107,MATCH(T16,코드!$A$2:$A$107,0)),0))</f>
        <v/>
      </c>
      <c r="U44" s="40">
        <f>IF(U16="",IF(U$6="휴일",0,8),IFERROR(INDEX(코드!$D$2:$D$107,MATCH(U16,코드!$A$2:$A$107,0)),0))</f>
        <v/>
      </c>
      <c r="V44" s="40">
        <f>IF(V16="",IF(V$6="휴일",0,8),IFERROR(INDEX(코드!$D$2:$D$107,MATCH(V16,코드!$A$2:$A$107,0)),0))</f>
        <v/>
      </c>
      <c r="W44" s="40">
        <f>IF(W16="",IF(W$6="휴일",0,8),IFERROR(INDEX(코드!$D$2:$D$107,MATCH(W16,코드!$A$2:$A$107,0)),0))</f>
        <v/>
      </c>
      <c r="X44" s="40">
        <f>IF(X16="",IF(X$6="휴일",0,8),IFERROR(INDEX(코드!$D$2:$D$107,MATCH(X16,코드!$A$2:$A$107,0)),0))</f>
        <v/>
      </c>
      <c r="Y44" s="40">
        <f>IF(Y16="",IF(Y$6="휴일",0,8),IFERROR(INDEX(코드!$D$2:$D$107,MATCH(Y16,코드!$A$2:$A$107,0)),0))</f>
        <v/>
      </c>
      <c r="Z44" s="40">
        <f>IF(Z16="",IF(Z$6="휴일",0,8),IFERROR(INDEX(코드!$D$2:$D$107,MATCH(Z16,코드!$A$2:$A$107,0)),0))</f>
        <v/>
      </c>
      <c r="AA44" s="40">
        <f>IF(AA16="",IF(AA$6="휴일",0,8),IFERROR(INDEX(코드!$D$2:$D$107,MATCH(AA16,코드!$A$2:$A$107,0)),0))</f>
        <v/>
      </c>
      <c r="AB44" s="40">
        <f>IF(AB16="",IF(AB$6="휴일",0,8),IFERROR(INDEX(코드!$D$2:$D$107,MATCH(AB16,코드!$A$2:$A$107,0)),0))</f>
        <v/>
      </c>
      <c r="AC44" s="40">
        <f>IF(AC16="",IF(AC$6="휴일",0,8),IFERROR(INDEX(코드!$D$2:$D$107,MATCH(AC16,코드!$A$2:$A$107,0)),0))</f>
        <v/>
      </c>
      <c r="AD44" s="40">
        <f>IF(AD16="",IF(AD$6="휴일",0,8),IFERROR(INDEX(코드!$D$2:$D$107,MATCH(AD16,코드!$A$2:$A$107,0)),0))</f>
        <v/>
      </c>
      <c r="AE44" s="40">
        <f>IF(AE16="",IF(AE$6="휴일",0,8),IFERROR(INDEX(코드!$D$2:$D$107,MATCH(AE16,코드!$A$2:$A$107,0)),0))</f>
        <v/>
      </c>
      <c r="AF44" s="40">
        <f>IF(AF16="",IF(AF$6="휴일",0,8),IFERROR(INDEX(코드!$D$2:$D$107,MATCH(AF16,코드!$A$2:$A$107,0)),0))</f>
        <v/>
      </c>
      <c r="AG44" s="40">
        <f>IF(AG16="",IF(AG$6="휴일",0,8),IFERROR(INDEX(코드!$D$2:$D$107,MATCH(AG16,코드!$A$2:$A$107,0)),0))</f>
        <v/>
      </c>
      <c r="AH44" s="40">
        <f>IF(AH16="",IF(AH$6="휴일",0,8),IFERROR(INDEX(코드!$D$2:$D$107,MATCH(AH16,코드!$A$2:$A$107,0)),0))</f>
        <v/>
      </c>
    </row>
    <row r="45">
      <c r="A45" s="15">
        <f>IF(명부!A11="","",명부!A11)</f>
        <v/>
      </c>
      <c r="B45" s="16">
        <f>IF(명부!C11="","",명부!C11)</f>
        <v/>
      </c>
      <c r="C45" s="17">
        <f>IF(명부!E11="","",명부!E11)</f>
        <v/>
      </c>
      <c r="D45" s="40">
        <f>IF(D17="",IF(D$6="휴일",0,8),IFERROR(INDEX(코드!$D$2:$D$107,MATCH(D17,코드!$A$2:$A$107,0)),0))</f>
        <v/>
      </c>
      <c r="E45" s="40">
        <f>IF(E17="",IF(E$6="휴일",0,8),IFERROR(INDEX(코드!$D$2:$D$107,MATCH(E17,코드!$A$2:$A$107,0)),0))</f>
        <v/>
      </c>
      <c r="F45" s="40">
        <f>IF(F17="",IF(F$6="휴일",0,8),IFERROR(INDEX(코드!$D$2:$D$107,MATCH(F17,코드!$A$2:$A$107,0)),0))</f>
        <v/>
      </c>
      <c r="G45" s="40">
        <f>IF(G17="",IF(G$6="휴일",0,8),IFERROR(INDEX(코드!$D$2:$D$107,MATCH(G17,코드!$A$2:$A$107,0)),0))</f>
        <v/>
      </c>
      <c r="H45" s="40">
        <f>IF(H17="",IF(H$6="휴일",0,8),IFERROR(INDEX(코드!$D$2:$D$107,MATCH(H17,코드!$A$2:$A$107,0)),0))</f>
        <v/>
      </c>
      <c r="I45" s="40">
        <f>IF(I17="",IF(I$6="휴일",0,8),IFERROR(INDEX(코드!$D$2:$D$107,MATCH(I17,코드!$A$2:$A$107,0)),0))</f>
        <v/>
      </c>
      <c r="J45" s="40">
        <f>IF(J17="",IF(J$6="휴일",0,8),IFERROR(INDEX(코드!$D$2:$D$107,MATCH(J17,코드!$A$2:$A$107,0)),0))</f>
        <v/>
      </c>
      <c r="K45" s="40">
        <f>IF(K17="",IF(K$6="휴일",0,8),IFERROR(INDEX(코드!$D$2:$D$107,MATCH(K17,코드!$A$2:$A$107,0)),0))</f>
        <v/>
      </c>
      <c r="L45" s="40">
        <f>IF(L17="",IF(L$6="휴일",0,8),IFERROR(INDEX(코드!$D$2:$D$107,MATCH(L17,코드!$A$2:$A$107,0)),0))</f>
        <v/>
      </c>
      <c r="M45" s="40">
        <f>IF(M17="",IF(M$6="휴일",0,8),IFERROR(INDEX(코드!$D$2:$D$107,MATCH(M17,코드!$A$2:$A$107,0)),0))</f>
        <v/>
      </c>
      <c r="N45" s="40">
        <f>IF(N17="",IF(N$6="휴일",0,8),IFERROR(INDEX(코드!$D$2:$D$107,MATCH(N17,코드!$A$2:$A$107,0)),0))</f>
        <v/>
      </c>
      <c r="O45" s="40">
        <f>IF(O17="",IF(O$6="휴일",0,8),IFERROR(INDEX(코드!$D$2:$D$107,MATCH(O17,코드!$A$2:$A$107,0)),0))</f>
        <v/>
      </c>
      <c r="P45" s="40">
        <f>IF(P17="",IF(P$6="휴일",0,8),IFERROR(INDEX(코드!$D$2:$D$107,MATCH(P17,코드!$A$2:$A$107,0)),0))</f>
        <v/>
      </c>
      <c r="Q45" s="40">
        <f>IF(Q17="",IF(Q$6="휴일",0,8),IFERROR(INDEX(코드!$D$2:$D$107,MATCH(Q17,코드!$A$2:$A$107,0)),0))</f>
        <v/>
      </c>
      <c r="R45" s="40">
        <f>IF(R17="",IF(R$6="휴일",0,8),IFERROR(INDEX(코드!$D$2:$D$107,MATCH(R17,코드!$A$2:$A$107,0)),0))</f>
        <v/>
      </c>
      <c r="S45" s="40">
        <f>IF(S17="",IF(S$6="휴일",0,8),IFERROR(INDEX(코드!$D$2:$D$107,MATCH(S17,코드!$A$2:$A$107,0)),0))</f>
        <v/>
      </c>
      <c r="T45" s="40">
        <f>IF(T17="",IF(T$6="휴일",0,8),IFERROR(INDEX(코드!$D$2:$D$107,MATCH(T17,코드!$A$2:$A$107,0)),0))</f>
        <v/>
      </c>
      <c r="U45" s="40">
        <f>IF(U17="",IF(U$6="휴일",0,8),IFERROR(INDEX(코드!$D$2:$D$107,MATCH(U17,코드!$A$2:$A$107,0)),0))</f>
        <v/>
      </c>
      <c r="V45" s="40">
        <f>IF(V17="",IF(V$6="휴일",0,8),IFERROR(INDEX(코드!$D$2:$D$107,MATCH(V17,코드!$A$2:$A$107,0)),0))</f>
        <v/>
      </c>
      <c r="W45" s="40">
        <f>IF(W17="",IF(W$6="휴일",0,8),IFERROR(INDEX(코드!$D$2:$D$107,MATCH(W17,코드!$A$2:$A$107,0)),0))</f>
        <v/>
      </c>
      <c r="X45" s="40">
        <f>IF(X17="",IF(X$6="휴일",0,8),IFERROR(INDEX(코드!$D$2:$D$107,MATCH(X17,코드!$A$2:$A$107,0)),0))</f>
        <v/>
      </c>
      <c r="Y45" s="40">
        <f>IF(Y17="",IF(Y$6="휴일",0,8),IFERROR(INDEX(코드!$D$2:$D$107,MATCH(Y17,코드!$A$2:$A$107,0)),0))</f>
        <v/>
      </c>
      <c r="Z45" s="40">
        <f>IF(Z17="",IF(Z$6="휴일",0,8),IFERROR(INDEX(코드!$D$2:$D$107,MATCH(Z17,코드!$A$2:$A$107,0)),0))</f>
        <v/>
      </c>
      <c r="AA45" s="40">
        <f>IF(AA17="",IF(AA$6="휴일",0,8),IFERROR(INDEX(코드!$D$2:$D$107,MATCH(AA17,코드!$A$2:$A$107,0)),0))</f>
        <v/>
      </c>
      <c r="AB45" s="40">
        <f>IF(AB17="",IF(AB$6="휴일",0,8),IFERROR(INDEX(코드!$D$2:$D$107,MATCH(AB17,코드!$A$2:$A$107,0)),0))</f>
        <v/>
      </c>
      <c r="AC45" s="40">
        <f>IF(AC17="",IF(AC$6="휴일",0,8),IFERROR(INDEX(코드!$D$2:$D$107,MATCH(AC17,코드!$A$2:$A$107,0)),0))</f>
        <v/>
      </c>
      <c r="AD45" s="40">
        <f>IF(AD17="",IF(AD$6="휴일",0,8),IFERROR(INDEX(코드!$D$2:$D$107,MATCH(AD17,코드!$A$2:$A$107,0)),0))</f>
        <v/>
      </c>
      <c r="AE45" s="40">
        <f>IF(AE17="",IF(AE$6="휴일",0,8),IFERROR(INDEX(코드!$D$2:$D$107,MATCH(AE17,코드!$A$2:$A$107,0)),0))</f>
        <v/>
      </c>
      <c r="AF45" s="40">
        <f>IF(AF17="",IF(AF$6="휴일",0,8),IFERROR(INDEX(코드!$D$2:$D$107,MATCH(AF17,코드!$A$2:$A$107,0)),0))</f>
        <v/>
      </c>
      <c r="AG45" s="40">
        <f>IF(AG17="",IF(AG$6="휴일",0,8),IFERROR(INDEX(코드!$D$2:$D$107,MATCH(AG17,코드!$A$2:$A$107,0)),0))</f>
        <v/>
      </c>
      <c r="AH45" s="40">
        <f>IF(AH17="",IF(AH$6="휴일",0,8),IFERROR(INDEX(코드!$D$2:$D$107,MATCH(AH17,코드!$A$2:$A$107,0)),0))</f>
        <v/>
      </c>
    </row>
    <row r="46">
      <c r="A46" s="15">
        <f>IF(명부!A12="","",명부!A12)</f>
        <v/>
      </c>
      <c r="B46" s="16">
        <f>IF(명부!C12="","",명부!C12)</f>
        <v/>
      </c>
      <c r="C46" s="17">
        <f>IF(명부!E12="","",명부!E12)</f>
        <v/>
      </c>
      <c r="D46" s="40">
        <f>IF(D18="",IF(D$6="휴일",0,8),IFERROR(INDEX(코드!$D$2:$D$107,MATCH(D18,코드!$A$2:$A$107,0)),0))</f>
        <v/>
      </c>
      <c r="E46" s="40">
        <f>IF(E18="",IF(E$6="휴일",0,8),IFERROR(INDEX(코드!$D$2:$D$107,MATCH(E18,코드!$A$2:$A$107,0)),0))</f>
        <v/>
      </c>
      <c r="F46" s="40">
        <f>IF(F18="",IF(F$6="휴일",0,8),IFERROR(INDEX(코드!$D$2:$D$107,MATCH(F18,코드!$A$2:$A$107,0)),0))</f>
        <v/>
      </c>
      <c r="G46" s="40">
        <f>IF(G18="",IF(G$6="휴일",0,8),IFERROR(INDEX(코드!$D$2:$D$107,MATCH(G18,코드!$A$2:$A$107,0)),0))</f>
        <v/>
      </c>
      <c r="H46" s="40">
        <f>IF(H18="",IF(H$6="휴일",0,8),IFERROR(INDEX(코드!$D$2:$D$107,MATCH(H18,코드!$A$2:$A$107,0)),0))</f>
        <v/>
      </c>
      <c r="I46" s="40">
        <f>IF(I18="",IF(I$6="휴일",0,8),IFERROR(INDEX(코드!$D$2:$D$107,MATCH(I18,코드!$A$2:$A$107,0)),0))</f>
        <v/>
      </c>
      <c r="J46" s="40">
        <f>IF(J18="",IF(J$6="휴일",0,8),IFERROR(INDEX(코드!$D$2:$D$107,MATCH(J18,코드!$A$2:$A$107,0)),0))</f>
        <v/>
      </c>
      <c r="K46" s="40">
        <f>IF(K18="",IF(K$6="휴일",0,8),IFERROR(INDEX(코드!$D$2:$D$107,MATCH(K18,코드!$A$2:$A$107,0)),0))</f>
        <v/>
      </c>
      <c r="L46" s="40">
        <f>IF(L18="",IF(L$6="휴일",0,8),IFERROR(INDEX(코드!$D$2:$D$107,MATCH(L18,코드!$A$2:$A$107,0)),0))</f>
        <v/>
      </c>
      <c r="M46" s="40">
        <f>IF(M18="",IF(M$6="휴일",0,8),IFERROR(INDEX(코드!$D$2:$D$107,MATCH(M18,코드!$A$2:$A$107,0)),0))</f>
        <v/>
      </c>
      <c r="N46" s="40">
        <f>IF(N18="",IF(N$6="휴일",0,8),IFERROR(INDEX(코드!$D$2:$D$107,MATCH(N18,코드!$A$2:$A$107,0)),0))</f>
        <v/>
      </c>
      <c r="O46" s="40">
        <f>IF(O18="",IF(O$6="휴일",0,8),IFERROR(INDEX(코드!$D$2:$D$107,MATCH(O18,코드!$A$2:$A$107,0)),0))</f>
        <v/>
      </c>
      <c r="P46" s="40">
        <f>IF(P18="",IF(P$6="휴일",0,8),IFERROR(INDEX(코드!$D$2:$D$107,MATCH(P18,코드!$A$2:$A$107,0)),0))</f>
        <v/>
      </c>
      <c r="Q46" s="40">
        <f>IF(Q18="",IF(Q$6="휴일",0,8),IFERROR(INDEX(코드!$D$2:$D$107,MATCH(Q18,코드!$A$2:$A$107,0)),0))</f>
        <v/>
      </c>
      <c r="R46" s="40">
        <f>IF(R18="",IF(R$6="휴일",0,8),IFERROR(INDEX(코드!$D$2:$D$107,MATCH(R18,코드!$A$2:$A$107,0)),0))</f>
        <v/>
      </c>
      <c r="S46" s="40">
        <f>IF(S18="",IF(S$6="휴일",0,8),IFERROR(INDEX(코드!$D$2:$D$107,MATCH(S18,코드!$A$2:$A$107,0)),0))</f>
        <v/>
      </c>
      <c r="T46" s="40">
        <f>IF(T18="",IF(T$6="휴일",0,8),IFERROR(INDEX(코드!$D$2:$D$107,MATCH(T18,코드!$A$2:$A$107,0)),0))</f>
        <v/>
      </c>
      <c r="U46" s="40">
        <f>IF(U18="",IF(U$6="휴일",0,8),IFERROR(INDEX(코드!$D$2:$D$107,MATCH(U18,코드!$A$2:$A$107,0)),0))</f>
        <v/>
      </c>
      <c r="V46" s="40">
        <f>IF(V18="",IF(V$6="휴일",0,8),IFERROR(INDEX(코드!$D$2:$D$107,MATCH(V18,코드!$A$2:$A$107,0)),0))</f>
        <v/>
      </c>
      <c r="W46" s="40">
        <f>IF(W18="",IF(W$6="휴일",0,8),IFERROR(INDEX(코드!$D$2:$D$107,MATCH(W18,코드!$A$2:$A$107,0)),0))</f>
        <v/>
      </c>
      <c r="X46" s="40">
        <f>IF(X18="",IF(X$6="휴일",0,8),IFERROR(INDEX(코드!$D$2:$D$107,MATCH(X18,코드!$A$2:$A$107,0)),0))</f>
        <v/>
      </c>
      <c r="Y46" s="40">
        <f>IF(Y18="",IF(Y$6="휴일",0,8),IFERROR(INDEX(코드!$D$2:$D$107,MATCH(Y18,코드!$A$2:$A$107,0)),0))</f>
        <v/>
      </c>
      <c r="Z46" s="40">
        <f>IF(Z18="",IF(Z$6="휴일",0,8),IFERROR(INDEX(코드!$D$2:$D$107,MATCH(Z18,코드!$A$2:$A$107,0)),0))</f>
        <v/>
      </c>
      <c r="AA46" s="40">
        <f>IF(AA18="",IF(AA$6="휴일",0,8),IFERROR(INDEX(코드!$D$2:$D$107,MATCH(AA18,코드!$A$2:$A$107,0)),0))</f>
        <v/>
      </c>
      <c r="AB46" s="40">
        <f>IF(AB18="",IF(AB$6="휴일",0,8),IFERROR(INDEX(코드!$D$2:$D$107,MATCH(AB18,코드!$A$2:$A$107,0)),0))</f>
        <v/>
      </c>
      <c r="AC46" s="40">
        <f>IF(AC18="",IF(AC$6="휴일",0,8),IFERROR(INDEX(코드!$D$2:$D$107,MATCH(AC18,코드!$A$2:$A$107,0)),0))</f>
        <v/>
      </c>
      <c r="AD46" s="40">
        <f>IF(AD18="",IF(AD$6="휴일",0,8),IFERROR(INDEX(코드!$D$2:$D$107,MATCH(AD18,코드!$A$2:$A$107,0)),0))</f>
        <v/>
      </c>
      <c r="AE46" s="40">
        <f>IF(AE18="",IF(AE$6="휴일",0,8),IFERROR(INDEX(코드!$D$2:$D$107,MATCH(AE18,코드!$A$2:$A$107,0)),0))</f>
        <v/>
      </c>
      <c r="AF46" s="40">
        <f>IF(AF18="",IF(AF$6="휴일",0,8),IFERROR(INDEX(코드!$D$2:$D$107,MATCH(AF18,코드!$A$2:$A$107,0)),0))</f>
        <v/>
      </c>
      <c r="AG46" s="40">
        <f>IF(AG18="",IF(AG$6="휴일",0,8),IFERROR(INDEX(코드!$D$2:$D$107,MATCH(AG18,코드!$A$2:$A$107,0)),0))</f>
        <v/>
      </c>
      <c r="AH46" s="40">
        <f>IF(AH18="",IF(AH$6="휴일",0,8),IFERROR(INDEX(코드!$D$2:$D$107,MATCH(AH18,코드!$A$2:$A$107,0)),0))</f>
        <v/>
      </c>
    </row>
    <row r="47">
      <c r="A47" s="15">
        <f>IF(명부!A13="","",명부!A13)</f>
        <v/>
      </c>
      <c r="B47" s="16">
        <f>IF(명부!C13="","",명부!C13)</f>
        <v/>
      </c>
      <c r="C47" s="17">
        <f>IF(명부!E13="","",명부!E13)</f>
        <v/>
      </c>
      <c r="D47" s="40">
        <f>IF(D19="",IF(D$6="휴일",0,8),IFERROR(INDEX(코드!$D$2:$D$107,MATCH(D19,코드!$A$2:$A$107,0)),0))</f>
        <v/>
      </c>
      <c r="E47" s="40">
        <f>IF(E19="",IF(E$6="휴일",0,8),IFERROR(INDEX(코드!$D$2:$D$107,MATCH(E19,코드!$A$2:$A$107,0)),0))</f>
        <v/>
      </c>
      <c r="F47" s="40">
        <f>IF(F19="",IF(F$6="휴일",0,8),IFERROR(INDEX(코드!$D$2:$D$107,MATCH(F19,코드!$A$2:$A$107,0)),0))</f>
        <v/>
      </c>
      <c r="G47" s="40">
        <f>IF(G19="",IF(G$6="휴일",0,8),IFERROR(INDEX(코드!$D$2:$D$107,MATCH(G19,코드!$A$2:$A$107,0)),0))</f>
        <v/>
      </c>
      <c r="H47" s="40">
        <f>IF(H19="",IF(H$6="휴일",0,8),IFERROR(INDEX(코드!$D$2:$D$107,MATCH(H19,코드!$A$2:$A$107,0)),0))</f>
        <v/>
      </c>
      <c r="I47" s="40">
        <f>IF(I19="",IF(I$6="휴일",0,8),IFERROR(INDEX(코드!$D$2:$D$107,MATCH(I19,코드!$A$2:$A$107,0)),0))</f>
        <v/>
      </c>
      <c r="J47" s="40">
        <f>IF(J19="",IF(J$6="휴일",0,8),IFERROR(INDEX(코드!$D$2:$D$107,MATCH(J19,코드!$A$2:$A$107,0)),0))</f>
        <v/>
      </c>
      <c r="K47" s="40">
        <f>IF(K19="",IF(K$6="휴일",0,8),IFERROR(INDEX(코드!$D$2:$D$107,MATCH(K19,코드!$A$2:$A$107,0)),0))</f>
        <v/>
      </c>
      <c r="L47" s="40">
        <f>IF(L19="",IF(L$6="휴일",0,8),IFERROR(INDEX(코드!$D$2:$D$107,MATCH(L19,코드!$A$2:$A$107,0)),0))</f>
        <v/>
      </c>
      <c r="M47" s="40">
        <f>IF(M19="",IF(M$6="휴일",0,8),IFERROR(INDEX(코드!$D$2:$D$107,MATCH(M19,코드!$A$2:$A$107,0)),0))</f>
        <v/>
      </c>
      <c r="N47" s="40">
        <f>IF(N19="",IF(N$6="휴일",0,8),IFERROR(INDEX(코드!$D$2:$D$107,MATCH(N19,코드!$A$2:$A$107,0)),0))</f>
        <v/>
      </c>
      <c r="O47" s="40">
        <f>IF(O19="",IF(O$6="휴일",0,8),IFERROR(INDEX(코드!$D$2:$D$107,MATCH(O19,코드!$A$2:$A$107,0)),0))</f>
        <v/>
      </c>
      <c r="P47" s="40">
        <f>IF(P19="",IF(P$6="휴일",0,8),IFERROR(INDEX(코드!$D$2:$D$107,MATCH(P19,코드!$A$2:$A$107,0)),0))</f>
        <v/>
      </c>
      <c r="Q47" s="40">
        <f>IF(Q19="",IF(Q$6="휴일",0,8),IFERROR(INDEX(코드!$D$2:$D$107,MATCH(Q19,코드!$A$2:$A$107,0)),0))</f>
        <v/>
      </c>
      <c r="R47" s="40">
        <f>IF(R19="",IF(R$6="휴일",0,8),IFERROR(INDEX(코드!$D$2:$D$107,MATCH(R19,코드!$A$2:$A$107,0)),0))</f>
        <v/>
      </c>
      <c r="S47" s="40">
        <f>IF(S19="",IF(S$6="휴일",0,8),IFERROR(INDEX(코드!$D$2:$D$107,MATCH(S19,코드!$A$2:$A$107,0)),0))</f>
        <v/>
      </c>
      <c r="T47" s="40">
        <f>IF(T19="",IF(T$6="휴일",0,8),IFERROR(INDEX(코드!$D$2:$D$107,MATCH(T19,코드!$A$2:$A$107,0)),0))</f>
        <v/>
      </c>
      <c r="U47" s="40">
        <f>IF(U19="",IF(U$6="휴일",0,8),IFERROR(INDEX(코드!$D$2:$D$107,MATCH(U19,코드!$A$2:$A$107,0)),0))</f>
        <v/>
      </c>
      <c r="V47" s="40">
        <f>IF(V19="",IF(V$6="휴일",0,8),IFERROR(INDEX(코드!$D$2:$D$107,MATCH(V19,코드!$A$2:$A$107,0)),0))</f>
        <v/>
      </c>
      <c r="W47" s="40">
        <f>IF(W19="",IF(W$6="휴일",0,8),IFERROR(INDEX(코드!$D$2:$D$107,MATCH(W19,코드!$A$2:$A$107,0)),0))</f>
        <v/>
      </c>
      <c r="X47" s="40">
        <f>IF(X19="",IF(X$6="휴일",0,8),IFERROR(INDEX(코드!$D$2:$D$107,MATCH(X19,코드!$A$2:$A$107,0)),0))</f>
        <v/>
      </c>
      <c r="Y47" s="40">
        <f>IF(Y19="",IF(Y$6="휴일",0,8),IFERROR(INDEX(코드!$D$2:$D$107,MATCH(Y19,코드!$A$2:$A$107,0)),0))</f>
        <v/>
      </c>
      <c r="Z47" s="40">
        <f>IF(Z19="",IF(Z$6="휴일",0,8),IFERROR(INDEX(코드!$D$2:$D$107,MATCH(Z19,코드!$A$2:$A$107,0)),0))</f>
        <v/>
      </c>
      <c r="AA47" s="40">
        <f>IF(AA19="",IF(AA$6="휴일",0,8),IFERROR(INDEX(코드!$D$2:$D$107,MATCH(AA19,코드!$A$2:$A$107,0)),0))</f>
        <v/>
      </c>
      <c r="AB47" s="40">
        <f>IF(AB19="",IF(AB$6="휴일",0,8),IFERROR(INDEX(코드!$D$2:$D$107,MATCH(AB19,코드!$A$2:$A$107,0)),0))</f>
        <v/>
      </c>
      <c r="AC47" s="40">
        <f>IF(AC19="",IF(AC$6="휴일",0,8),IFERROR(INDEX(코드!$D$2:$D$107,MATCH(AC19,코드!$A$2:$A$107,0)),0))</f>
        <v/>
      </c>
      <c r="AD47" s="40">
        <f>IF(AD19="",IF(AD$6="휴일",0,8),IFERROR(INDEX(코드!$D$2:$D$107,MATCH(AD19,코드!$A$2:$A$107,0)),0))</f>
        <v/>
      </c>
      <c r="AE47" s="40">
        <f>IF(AE19="",IF(AE$6="휴일",0,8),IFERROR(INDEX(코드!$D$2:$D$107,MATCH(AE19,코드!$A$2:$A$107,0)),0))</f>
        <v/>
      </c>
      <c r="AF47" s="40">
        <f>IF(AF19="",IF(AF$6="휴일",0,8),IFERROR(INDEX(코드!$D$2:$D$107,MATCH(AF19,코드!$A$2:$A$107,0)),0))</f>
        <v/>
      </c>
      <c r="AG47" s="40">
        <f>IF(AG19="",IF(AG$6="휴일",0,8),IFERROR(INDEX(코드!$D$2:$D$107,MATCH(AG19,코드!$A$2:$A$107,0)),0))</f>
        <v/>
      </c>
      <c r="AH47" s="40">
        <f>IF(AH19="",IF(AH$6="휴일",0,8),IFERROR(INDEX(코드!$D$2:$D$107,MATCH(AH19,코드!$A$2:$A$107,0)),0))</f>
        <v/>
      </c>
    </row>
    <row r="48">
      <c r="A48" s="15">
        <f>IF(명부!A14="","",명부!A14)</f>
        <v/>
      </c>
      <c r="B48" s="16">
        <f>IF(명부!C14="","",명부!C14)</f>
        <v/>
      </c>
      <c r="C48" s="17">
        <f>IF(명부!E14="","",명부!E14)</f>
        <v/>
      </c>
      <c r="D48" s="40">
        <f>IF(D20="",IF(D$6="휴일",0,8),IFERROR(INDEX(코드!$D$2:$D$107,MATCH(D20,코드!$A$2:$A$107,0)),0))</f>
        <v/>
      </c>
      <c r="E48" s="40">
        <f>IF(E20="",IF(E$6="휴일",0,8),IFERROR(INDEX(코드!$D$2:$D$107,MATCH(E20,코드!$A$2:$A$107,0)),0))</f>
        <v/>
      </c>
      <c r="F48" s="40">
        <f>IF(F20="",IF(F$6="휴일",0,8),IFERROR(INDEX(코드!$D$2:$D$107,MATCH(F20,코드!$A$2:$A$107,0)),0))</f>
        <v/>
      </c>
      <c r="G48" s="40">
        <f>IF(G20="",IF(G$6="휴일",0,8),IFERROR(INDEX(코드!$D$2:$D$107,MATCH(G20,코드!$A$2:$A$107,0)),0))</f>
        <v/>
      </c>
      <c r="H48" s="40">
        <f>IF(H20="",IF(H$6="휴일",0,8),IFERROR(INDEX(코드!$D$2:$D$107,MATCH(H20,코드!$A$2:$A$107,0)),0))</f>
        <v/>
      </c>
      <c r="I48" s="40">
        <f>IF(I20="",IF(I$6="휴일",0,8),IFERROR(INDEX(코드!$D$2:$D$107,MATCH(I20,코드!$A$2:$A$107,0)),0))</f>
        <v/>
      </c>
      <c r="J48" s="40">
        <f>IF(J20="",IF(J$6="휴일",0,8),IFERROR(INDEX(코드!$D$2:$D$107,MATCH(J20,코드!$A$2:$A$107,0)),0))</f>
        <v/>
      </c>
      <c r="K48" s="40">
        <f>IF(K20="",IF(K$6="휴일",0,8),IFERROR(INDEX(코드!$D$2:$D$107,MATCH(K20,코드!$A$2:$A$107,0)),0))</f>
        <v/>
      </c>
      <c r="L48" s="40">
        <f>IF(L20="",IF(L$6="휴일",0,8),IFERROR(INDEX(코드!$D$2:$D$107,MATCH(L20,코드!$A$2:$A$107,0)),0))</f>
        <v/>
      </c>
      <c r="M48" s="40">
        <f>IF(M20="",IF(M$6="휴일",0,8),IFERROR(INDEX(코드!$D$2:$D$107,MATCH(M20,코드!$A$2:$A$107,0)),0))</f>
        <v/>
      </c>
      <c r="N48" s="40">
        <f>IF(N20="",IF(N$6="휴일",0,8),IFERROR(INDEX(코드!$D$2:$D$107,MATCH(N20,코드!$A$2:$A$107,0)),0))</f>
        <v/>
      </c>
      <c r="O48" s="40">
        <f>IF(O20="",IF(O$6="휴일",0,8),IFERROR(INDEX(코드!$D$2:$D$107,MATCH(O20,코드!$A$2:$A$107,0)),0))</f>
        <v/>
      </c>
      <c r="P48" s="40">
        <f>IF(P20="",IF(P$6="휴일",0,8),IFERROR(INDEX(코드!$D$2:$D$107,MATCH(P20,코드!$A$2:$A$107,0)),0))</f>
        <v/>
      </c>
      <c r="Q48" s="40">
        <f>IF(Q20="",IF(Q$6="휴일",0,8),IFERROR(INDEX(코드!$D$2:$D$107,MATCH(Q20,코드!$A$2:$A$107,0)),0))</f>
        <v/>
      </c>
      <c r="R48" s="40">
        <f>IF(R20="",IF(R$6="휴일",0,8),IFERROR(INDEX(코드!$D$2:$D$107,MATCH(R20,코드!$A$2:$A$107,0)),0))</f>
        <v/>
      </c>
      <c r="S48" s="40">
        <f>IF(S20="",IF(S$6="휴일",0,8),IFERROR(INDEX(코드!$D$2:$D$107,MATCH(S20,코드!$A$2:$A$107,0)),0))</f>
        <v/>
      </c>
      <c r="T48" s="40">
        <f>IF(T20="",IF(T$6="휴일",0,8),IFERROR(INDEX(코드!$D$2:$D$107,MATCH(T20,코드!$A$2:$A$107,0)),0))</f>
        <v/>
      </c>
      <c r="U48" s="40">
        <f>IF(U20="",IF(U$6="휴일",0,8),IFERROR(INDEX(코드!$D$2:$D$107,MATCH(U20,코드!$A$2:$A$107,0)),0))</f>
        <v/>
      </c>
      <c r="V48" s="40">
        <f>IF(V20="",IF(V$6="휴일",0,8),IFERROR(INDEX(코드!$D$2:$D$107,MATCH(V20,코드!$A$2:$A$107,0)),0))</f>
        <v/>
      </c>
      <c r="W48" s="40">
        <f>IF(W20="",IF(W$6="휴일",0,8),IFERROR(INDEX(코드!$D$2:$D$107,MATCH(W20,코드!$A$2:$A$107,0)),0))</f>
        <v/>
      </c>
      <c r="X48" s="40">
        <f>IF(X20="",IF(X$6="휴일",0,8),IFERROR(INDEX(코드!$D$2:$D$107,MATCH(X20,코드!$A$2:$A$107,0)),0))</f>
        <v/>
      </c>
      <c r="Y48" s="40">
        <f>IF(Y20="",IF(Y$6="휴일",0,8),IFERROR(INDEX(코드!$D$2:$D$107,MATCH(Y20,코드!$A$2:$A$107,0)),0))</f>
        <v/>
      </c>
      <c r="Z48" s="40">
        <f>IF(Z20="",IF(Z$6="휴일",0,8),IFERROR(INDEX(코드!$D$2:$D$107,MATCH(Z20,코드!$A$2:$A$107,0)),0))</f>
        <v/>
      </c>
      <c r="AA48" s="40">
        <f>IF(AA20="",IF(AA$6="휴일",0,8),IFERROR(INDEX(코드!$D$2:$D$107,MATCH(AA20,코드!$A$2:$A$107,0)),0))</f>
        <v/>
      </c>
      <c r="AB48" s="40">
        <f>IF(AB20="",IF(AB$6="휴일",0,8),IFERROR(INDEX(코드!$D$2:$D$107,MATCH(AB20,코드!$A$2:$A$107,0)),0))</f>
        <v/>
      </c>
      <c r="AC48" s="40">
        <f>IF(AC20="",IF(AC$6="휴일",0,8),IFERROR(INDEX(코드!$D$2:$D$107,MATCH(AC20,코드!$A$2:$A$107,0)),0))</f>
        <v/>
      </c>
      <c r="AD48" s="40">
        <f>IF(AD20="",IF(AD$6="휴일",0,8),IFERROR(INDEX(코드!$D$2:$D$107,MATCH(AD20,코드!$A$2:$A$107,0)),0))</f>
        <v/>
      </c>
      <c r="AE48" s="40">
        <f>IF(AE20="",IF(AE$6="휴일",0,8),IFERROR(INDEX(코드!$D$2:$D$107,MATCH(AE20,코드!$A$2:$A$107,0)),0))</f>
        <v/>
      </c>
      <c r="AF48" s="40">
        <f>IF(AF20="",IF(AF$6="휴일",0,8),IFERROR(INDEX(코드!$D$2:$D$107,MATCH(AF20,코드!$A$2:$A$107,0)),0))</f>
        <v/>
      </c>
      <c r="AG48" s="40">
        <f>IF(AG20="",IF(AG$6="휴일",0,8),IFERROR(INDEX(코드!$D$2:$D$107,MATCH(AG20,코드!$A$2:$A$107,0)),0))</f>
        <v/>
      </c>
      <c r="AH48" s="40">
        <f>IF(AH20="",IF(AH$6="휴일",0,8),IFERROR(INDEX(코드!$D$2:$D$107,MATCH(AH20,코드!$A$2:$A$107,0)),0))</f>
        <v/>
      </c>
    </row>
    <row r="49">
      <c r="A49" s="15">
        <f>IF(명부!A15="","",명부!A15)</f>
        <v/>
      </c>
      <c r="B49" s="16">
        <f>IF(명부!C15="","",명부!C15)</f>
        <v/>
      </c>
      <c r="C49" s="17">
        <f>IF(명부!E15="","",명부!E15)</f>
        <v/>
      </c>
      <c r="D49" s="40">
        <f>IF(D21="",IF(D$6="휴일",0,8),IFERROR(INDEX(코드!$D$2:$D$107,MATCH(D21,코드!$A$2:$A$107,0)),0))</f>
        <v/>
      </c>
      <c r="E49" s="40">
        <f>IF(E21="",IF(E$6="휴일",0,8),IFERROR(INDEX(코드!$D$2:$D$107,MATCH(E21,코드!$A$2:$A$107,0)),0))</f>
        <v/>
      </c>
      <c r="F49" s="40">
        <f>IF(F21="",IF(F$6="휴일",0,8),IFERROR(INDEX(코드!$D$2:$D$107,MATCH(F21,코드!$A$2:$A$107,0)),0))</f>
        <v/>
      </c>
      <c r="G49" s="40">
        <f>IF(G21="",IF(G$6="휴일",0,8),IFERROR(INDEX(코드!$D$2:$D$107,MATCH(G21,코드!$A$2:$A$107,0)),0))</f>
        <v/>
      </c>
      <c r="H49" s="40">
        <f>IF(H21="",IF(H$6="휴일",0,8),IFERROR(INDEX(코드!$D$2:$D$107,MATCH(H21,코드!$A$2:$A$107,0)),0))</f>
        <v/>
      </c>
      <c r="I49" s="40">
        <f>IF(I21="",IF(I$6="휴일",0,8),IFERROR(INDEX(코드!$D$2:$D$107,MATCH(I21,코드!$A$2:$A$107,0)),0))</f>
        <v/>
      </c>
      <c r="J49" s="40">
        <f>IF(J21="",IF(J$6="휴일",0,8),IFERROR(INDEX(코드!$D$2:$D$107,MATCH(J21,코드!$A$2:$A$107,0)),0))</f>
        <v/>
      </c>
      <c r="K49" s="40">
        <f>IF(K21="",IF(K$6="휴일",0,8),IFERROR(INDEX(코드!$D$2:$D$107,MATCH(K21,코드!$A$2:$A$107,0)),0))</f>
        <v/>
      </c>
      <c r="L49" s="40">
        <f>IF(L21="",IF(L$6="휴일",0,8),IFERROR(INDEX(코드!$D$2:$D$107,MATCH(L21,코드!$A$2:$A$107,0)),0))</f>
        <v/>
      </c>
      <c r="M49" s="40">
        <f>IF(M21="",IF(M$6="휴일",0,8),IFERROR(INDEX(코드!$D$2:$D$107,MATCH(M21,코드!$A$2:$A$107,0)),0))</f>
        <v/>
      </c>
      <c r="N49" s="40">
        <f>IF(N21="",IF(N$6="휴일",0,8),IFERROR(INDEX(코드!$D$2:$D$107,MATCH(N21,코드!$A$2:$A$107,0)),0))</f>
        <v/>
      </c>
      <c r="O49" s="40">
        <f>IF(O21="",IF(O$6="휴일",0,8),IFERROR(INDEX(코드!$D$2:$D$107,MATCH(O21,코드!$A$2:$A$107,0)),0))</f>
        <v/>
      </c>
      <c r="P49" s="40">
        <f>IF(P21="",IF(P$6="휴일",0,8),IFERROR(INDEX(코드!$D$2:$D$107,MATCH(P21,코드!$A$2:$A$107,0)),0))</f>
        <v/>
      </c>
      <c r="Q49" s="40">
        <f>IF(Q21="",IF(Q$6="휴일",0,8),IFERROR(INDEX(코드!$D$2:$D$107,MATCH(Q21,코드!$A$2:$A$107,0)),0))</f>
        <v/>
      </c>
      <c r="R49" s="40">
        <f>IF(R21="",IF(R$6="휴일",0,8),IFERROR(INDEX(코드!$D$2:$D$107,MATCH(R21,코드!$A$2:$A$107,0)),0))</f>
        <v/>
      </c>
      <c r="S49" s="40">
        <f>IF(S21="",IF(S$6="휴일",0,8),IFERROR(INDEX(코드!$D$2:$D$107,MATCH(S21,코드!$A$2:$A$107,0)),0))</f>
        <v/>
      </c>
      <c r="T49" s="40">
        <f>IF(T21="",IF(T$6="휴일",0,8),IFERROR(INDEX(코드!$D$2:$D$107,MATCH(T21,코드!$A$2:$A$107,0)),0))</f>
        <v/>
      </c>
      <c r="U49" s="40">
        <f>IF(U21="",IF(U$6="휴일",0,8),IFERROR(INDEX(코드!$D$2:$D$107,MATCH(U21,코드!$A$2:$A$107,0)),0))</f>
        <v/>
      </c>
      <c r="V49" s="40">
        <f>IF(V21="",IF(V$6="휴일",0,8),IFERROR(INDEX(코드!$D$2:$D$107,MATCH(V21,코드!$A$2:$A$107,0)),0))</f>
        <v/>
      </c>
      <c r="W49" s="40">
        <f>IF(W21="",IF(W$6="휴일",0,8),IFERROR(INDEX(코드!$D$2:$D$107,MATCH(W21,코드!$A$2:$A$107,0)),0))</f>
        <v/>
      </c>
      <c r="X49" s="40">
        <f>IF(X21="",IF(X$6="휴일",0,8),IFERROR(INDEX(코드!$D$2:$D$107,MATCH(X21,코드!$A$2:$A$107,0)),0))</f>
        <v/>
      </c>
      <c r="Y49" s="40">
        <f>IF(Y21="",IF(Y$6="휴일",0,8),IFERROR(INDEX(코드!$D$2:$D$107,MATCH(Y21,코드!$A$2:$A$107,0)),0))</f>
        <v/>
      </c>
      <c r="Z49" s="40">
        <f>IF(Z21="",IF(Z$6="휴일",0,8),IFERROR(INDEX(코드!$D$2:$D$107,MATCH(Z21,코드!$A$2:$A$107,0)),0))</f>
        <v/>
      </c>
      <c r="AA49" s="40">
        <f>IF(AA21="",IF(AA$6="휴일",0,8),IFERROR(INDEX(코드!$D$2:$D$107,MATCH(AA21,코드!$A$2:$A$107,0)),0))</f>
        <v/>
      </c>
      <c r="AB49" s="40">
        <f>IF(AB21="",IF(AB$6="휴일",0,8),IFERROR(INDEX(코드!$D$2:$D$107,MATCH(AB21,코드!$A$2:$A$107,0)),0))</f>
        <v/>
      </c>
      <c r="AC49" s="40">
        <f>IF(AC21="",IF(AC$6="휴일",0,8),IFERROR(INDEX(코드!$D$2:$D$107,MATCH(AC21,코드!$A$2:$A$107,0)),0))</f>
        <v/>
      </c>
      <c r="AD49" s="40">
        <f>IF(AD21="",IF(AD$6="휴일",0,8),IFERROR(INDEX(코드!$D$2:$D$107,MATCH(AD21,코드!$A$2:$A$107,0)),0))</f>
        <v/>
      </c>
      <c r="AE49" s="40">
        <f>IF(AE21="",IF(AE$6="휴일",0,8),IFERROR(INDEX(코드!$D$2:$D$107,MATCH(AE21,코드!$A$2:$A$107,0)),0))</f>
        <v/>
      </c>
      <c r="AF49" s="40">
        <f>IF(AF21="",IF(AF$6="휴일",0,8),IFERROR(INDEX(코드!$D$2:$D$107,MATCH(AF21,코드!$A$2:$A$107,0)),0))</f>
        <v/>
      </c>
      <c r="AG49" s="40">
        <f>IF(AG21="",IF(AG$6="휴일",0,8),IFERROR(INDEX(코드!$D$2:$D$107,MATCH(AG21,코드!$A$2:$A$107,0)),0))</f>
        <v/>
      </c>
      <c r="AH49" s="40">
        <f>IF(AH21="",IF(AH$6="휴일",0,8),IFERROR(INDEX(코드!$D$2:$D$107,MATCH(AH21,코드!$A$2:$A$107,0)),0))</f>
        <v/>
      </c>
    </row>
    <row r="50">
      <c r="A50" s="15">
        <f>IF(명부!A16="","",명부!A16)</f>
        <v/>
      </c>
      <c r="B50" s="16">
        <f>IF(명부!C16="","",명부!C16)</f>
        <v/>
      </c>
      <c r="C50" s="17">
        <f>IF(명부!E16="","",명부!E16)</f>
        <v/>
      </c>
      <c r="D50" s="40">
        <f>IF(D22="",IF(D$6="휴일",0,8),IFERROR(INDEX(코드!$D$2:$D$107,MATCH(D22,코드!$A$2:$A$107,0)),0))</f>
        <v/>
      </c>
      <c r="E50" s="40">
        <f>IF(E22="",IF(E$6="휴일",0,8),IFERROR(INDEX(코드!$D$2:$D$107,MATCH(E22,코드!$A$2:$A$107,0)),0))</f>
        <v/>
      </c>
      <c r="F50" s="40">
        <f>IF(F22="",IF(F$6="휴일",0,8),IFERROR(INDEX(코드!$D$2:$D$107,MATCH(F22,코드!$A$2:$A$107,0)),0))</f>
        <v/>
      </c>
      <c r="G50" s="40">
        <f>IF(G22="",IF(G$6="휴일",0,8),IFERROR(INDEX(코드!$D$2:$D$107,MATCH(G22,코드!$A$2:$A$107,0)),0))</f>
        <v/>
      </c>
      <c r="H50" s="40">
        <f>IF(H22="",IF(H$6="휴일",0,8),IFERROR(INDEX(코드!$D$2:$D$107,MATCH(H22,코드!$A$2:$A$107,0)),0))</f>
        <v/>
      </c>
      <c r="I50" s="40">
        <f>IF(I22="",IF(I$6="휴일",0,8),IFERROR(INDEX(코드!$D$2:$D$107,MATCH(I22,코드!$A$2:$A$107,0)),0))</f>
        <v/>
      </c>
      <c r="J50" s="40">
        <f>IF(J22="",IF(J$6="휴일",0,8),IFERROR(INDEX(코드!$D$2:$D$107,MATCH(J22,코드!$A$2:$A$107,0)),0))</f>
        <v/>
      </c>
      <c r="K50" s="40">
        <f>IF(K22="",IF(K$6="휴일",0,8),IFERROR(INDEX(코드!$D$2:$D$107,MATCH(K22,코드!$A$2:$A$107,0)),0))</f>
        <v/>
      </c>
      <c r="L50" s="40">
        <f>IF(L22="",IF(L$6="휴일",0,8),IFERROR(INDEX(코드!$D$2:$D$107,MATCH(L22,코드!$A$2:$A$107,0)),0))</f>
        <v/>
      </c>
      <c r="M50" s="40">
        <f>IF(M22="",IF(M$6="휴일",0,8),IFERROR(INDEX(코드!$D$2:$D$107,MATCH(M22,코드!$A$2:$A$107,0)),0))</f>
        <v/>
      </c>
      <c r="N50" s="40">
        <f>IF(N22="",IF(N$6="휴일",0,8),IFERROR(INDEX(코드!$D$2:$D$107,MATCH(N22,코드!$A$2:$A$107,0)),0))</f>
        <v/>
      </c>
      <c r="O50" s="40">
        <f>IF(O22="",IF(O$6="휴일",0,8),IFERROR(INDEX(코드!$D$2:$D$107,MATCH(O22,코드!$A$2:$A$107,0)),0))</f>
        <v/>
      </c>
      <c r="P50" s="40">
        <f>IF(P22="",IF(P$6="휴일",0,8),IFERROR(INDEX(코드!$D$2:$D$107,MATCH(P22,코드!$A$2:$A$107,0)),0))</f>
        <v/>
      </c>
      <c r="Q50" s="40">
        <f>IF(Q22="",IF(Q$6="휴일",0,8),IFERROR(INDEX(코드!$D$2:$D$107,MATCH(Q22,코드!$A$2:$A$107,0)),0))</f>
        <v/>
      </c>
      <c r="R50" s="40">
        <f>IF(R22="",IF(R$6="휴일",0,8),IFERROR(INDEX(코드!$D$2:$D$107,MATCH(R22,코드!$A$2:$A$107,0)),0))</f>
        <v/>
      </c>
      <c r="S50" s="40">
        <f>IF(S22="",IF(S$6="휴일",0,8),IFERROR(INDEX(코드!$D$2:$D$107,MATCH(S22,코드!$A$2:$A$107,0)),0))</f>
        <v/>
      </c>
      <c r="T50" s="40">
        <f>IF(T22="",IF(T$6="휴일",0,8),IFERROR(INDEX(코드!$D$2:$D$107,MATCH(T22,코드!$A$2:$A$107,0)),0))</f>
        <v/>
      </c>
      <c r="U50" s="40">
        <f>IF(U22="",IF(U$6="휴일",0,8),IFERROR(INDEX(코드!$D$2:$D$107,MATCH(U22,코드!$A$2:$A$107,0)),0))</f>
        <v/>
      </c>
      <c r="V50" s="40">
        <f>IF(V22="",IF(V$6="휴일",0,8),IFERROR(INDEX(코드!$D$2:$D$107,MATCH(V22,코드!$A$2:$A$107,0)),0))</f>
        <v/>
      </c>
      <c r="W50" s="40">
        <f>IF(W22="",IF(W$6="휴일",0,8),IFERROR(INDEX(코드!$D$2:$D$107,MATCH(W22,코드!$A$2:$A$107,0)),0))</f>
        <v/>
      </c>
      <c r="X50" s="40">
        <f>IF(X22="",IF(X$6="휴일",0,8),IFERROR(INDEX(코드!$D$2:$D$107,MATCH(X22,코드!$A$2:$A$107,0)),0))</f>
        <v/>
      </c>
      <c r="Y50" s="40">
        <f>IF(Y22="",IF(Y$6="휴일",0,8),IFERROR(INDEX(코드!$D$2:$D$107,MATCH(Y22,코드!$A$2:$A$107,0)),0))</f>
        <v/>
      </c>
      <c r="Z50" s="40">
        <f>IF(Z22="",IF(Z$6="휴일",0,8),IFERROR(INDEX(코드!$D$2:$D$107,MATCH(Z22,코드!$A$2:$A$107,0)),0))</f>
        <v/>
      </c>
      <c r="AA50" s="40">
        <f>IF(AA22="",IF(AA$6="휴일",0,8),IFERROR(INDEX(코드!$D$2:$D$107,MATCH(AA22,코드!$A$2:$A$107,0)),0))</f>
        <v/>
      </c>
      <c r="AB50" s="40">
        <f>IF(AB22="",IF(AB$6="휴일",0,8),IFERROR(INDEX(코드!$D$2:$D$107,MATCH(AB22,코드!$A$2:$A$107,0)),0))</f>
        <v/>
      </c>
      <c r="AC50" s="40">
        <f>IF(AC22="",IF(AC$6="휴일",0,8),IFERROR(INDEX(코드!$D$2:$D$107,MATCH(AC22,코드!$A$2:$A$107,0)),0))</f>
        <v/>
      </c>
      <c r="AD50" s="40">
        <f>IF(AD22="",IF(AD$6="휴일",0,8),IFERROR(INDEX(코드!$D$2:$D$107,MATCH(AD22,코드!$A$2:$A$107,0)),0))</f>
        <v/>
      </c>
      <c r="AE50" s="40">
        <f>IF(AE22="",IF(AE$6="휴일",0,8),IFERROR(INDEX(코드!$D$2:$D$107,MATCH(AE22,코드!$A$2:$A$107,0)),0))</f>
        <v/>
      </c>
      <c r="AF50" s="40">
        <f>IF(AF22="",IF(AF$6="휴일",0,8),IFERROR(INDEX(코드!$D$2:$D$107,MATCH(AF22,코드!$A$2:$A$107,0)),0))</f>
        <v/>
      </c>
      <c r="AG50" s="40">
        <f>IF(AG22="",IF(AG$6="휴일",0,8),IFERROR(INDEX(코드!$D$2:$D$107,MATCH(AG22,코드!$A$2:$A$107,0)),0))</f>
        <v/>
      </c>
      <c r="AH50" s="40">
        <f>IF(AH22="",IF(AH$6="휴일",0,8),IFERROR(INDEX(코드!$D$2:$D$107,MATCH(AH22,코드!$A$2:$A$107,0)),0))</f>
        <v/>
      </c>
    </row>
    <row r="51">
      <c r="A51" s="15">
        <f>IF(명부!A17="","",명부!A17)</f>
        <v/>
      </c>
      <c r="B51" s="16">
        <f>IF(명부!C17="","",명부!C17)</f>
        <v/>
      </c>
      <c r="C51" s="17">
        <f>IF(명부!E17="","",명부!E17)</f>
        <v/>
      </c>
      <c r="D51" s="40">
        <f>IF(D23="",IF(D$6="휴일",0,8),IFERROR(INDEX(코드!$D$2:$D$107,MATCH(D23,코드!$A$2:$A$107,0)),0))</f>
        <v/>
      </c>
      <c r="E51" s="40">
        <f>IF(E23="",IF(E$6="휴일",0,8),IFERROR(INDEX(코드!$D$2:$D$107,MATCH(E23,코드!$A$2:$A$107,0)),0))</f>
        <v/>
      </c>
      <c r="F51" s="40">
        <f>IF(F23="",IF(F$6="휴일",0,8),IFERROR(INDEX(코드!$D$2:$D$107,MATCH(F23,코드!$A$2:$A$107,0)),0))</f>
        <v/>
      </c>
      <c r="G51" s="40">
        <f>IF(G23="",IF(G$6="휴일",0,8),IFERROR(INDEX(코드!$D$2:$D$107,MATCH(G23,코드!$A$2:$A$107,0)),0))</f>
        <v/>
      </c>
      <c r="H51" s="40">
        <f>IF(H23="",IF(H$6="휴일",0,8),IFERROR(INDEX(코드!$D$2:$D$107,MATCH(H23,코드!$A$2:$A$107,0)),0))</f>
        <v/>
      </c>
      <c r="I51" s="40">
        <f>IF(I23="",IF(I$6="휴일",0,8),IFERROR(INDEX(코드!$D$2:$D$107,MATCH(I23,코드!$A$2:$A$107,0)),0))</f>
        <v/>
      </c>
      <c r="J51" s="40">
        <f>IF(J23="",IF(J$6="휴일",0,8),IFERROR(INDEX(코드!$D$2:$D$107,MATCH(J23,코드!$A$2:$A$107,0)),0))</f>
        <v/>
      </c>
      <c r="K51" s="40">
        <f>IF(K23="",IF(K$6="휴일",0,8),IFERROR(INDEX(코드!$D$2:$D$107,MATCH(K23,코드!$A$2:$A$107,0)),0))</f>
        <v/>
      </c>
      <c r="L51" s="40">
        <f>IF(L23="",IF(L$6="휴일",0,8),IFERROR(INDEX(코드!$D$2:$D$107,MATCH(L23,코드!$A$2:$A$107,0)),0))</f>
        <v/>
      </c>
      <c r="M51" s="40">
        <f>IF(M23="",IF(M$6="휴일",0,8),IFERROR(INDEX(코드!$D$2:$D$107,MATCH(M23,코드!$A$2:$A$107,0)),0))</f>
        <v/>
      </c>
      <c r="N51" s="40">
        <f>IF(N23="",IF(N$6="휴일",0,8),IFERROR(INDEX(코드!$D$2:$D$107,MATCH(N23,코드!$A$2:$A$107,0)),0))</f>
        <v/>
      </c>
      <c r="O51" s="40">
        <f>IF(O23="",IF(O$6="휴일",0,8),IFERROR(INDEX(코드!$D$2:$D$107,MATCH(O23,코드!$A$2:$A$107,0)),0))</f>
        <v/>
      </c>
      <c r="P51" s="40">
        <f>IF(P23="",IF(P$6="휴일",0,8),IFERROR(INDEX(코드!$D$2:$D$107,MATCH(P23,코드!$A$2:$A$107,0)),0))</f>
        <v/>
      </c>
      <c r="Q51" s="40">
        <f>IF(Q23="",IF(Q$6="휴일",0,8),IFERROR(INDEX(코드!$D$2:$D$107,MATCH(Q23,코드!$A$2:$A$107,0)),0))</f>
        <v/>
      </c>
      <c r="R51" s="40">
        <f>IF(R23="",IF(R$6="휴일",0,8),IFERROR(INDEX(코드!$D$2:$D$107,MATCH(R23,코드!$A$2:$A$107,0)),0))</f>
        <v/>
      </c>
      <c r="S51" s="40">
        <f>IF(S23="",IF(S$6="휴일",0,8),IFERROR(INDEX(코드!$D$2:$D$107,MATCH(S23,코드!$A$2:$A$107,0)),0))</f>
        <v/>
      </c>
      <c r="T51" s="40">
        <f>IF(T23="",IF(T$6="휴일",0,8),IFERROR(INDEX(코드!$D$2:$D$107,MATCH(T23,코드!$A$2:$A$107,0)),0))</f>
        <v/>
      </c>
      <c r="U51" s="40">
        <f>IF(U23="",IF(U$6="휴일",0,8),IFERROR(INDEX(코드!$D$2:$D$107,MATCH(U23,코드!$A$2:$A$107,0)),0))</f>
        <v/>
      </c>
      <c r="V51" s="40">
        <f>IF(V23="",IF(V$6="휴일",0,8),IFERROR(INDEX(코드!$D$2:$D$107,MATCH(V23,코드!$A$2:$A$107,0)),0))</f>
        <v/>
      </c>
      <c r="W51" s="40">
        <f>IF(W23="",IF(W$6="휴일",0,8),IFERROR(INDEX(코드!$D$2:$D$107,MATCH(W23,코드!$A$2:$A$107,0)),0))</f>
        <v/>
      </c>
      <c r="X51" s="40">
        <f>IF(X23="",IF(X$6="휴일",0,8),IFERROR(INDEX(코드!$D$2:$D$107,MATCH(X23,코드!$A$2:$A$107,0)),0))</f>
        <v/>
      </c>
      <c r="Y51" s="40">
        <f>IF(Y23="",IF(Y$6="휴일",0,8),IFERROR(INDEX(코드!$D$2:$D$107,MATCH(Y23,코드!$A$2:$A$107,0)),0))</f>
        <v/>
      </c>
      <c r="Z51" s="40">
        <f>IF(Z23="",IF(Z$6="휴일",0,8),IFERROR(INDEX(코드!$D$2:$D$107,MATCH(Z23,코드!$A$2:$A$107,0)),0))</f>
        <v/>
      </c>
      <c r="AA51" s="40">
        <f>IF(AA23="",IF(AA$6="휴일",0,8),IFERROR(INDEX(코드!$D$2:$D$107,MATCH(AA23,코드!$A$2:$A$107,0)),0))</f>
        <v/>
      </c>
      <c r="AB51" s="40">
        <f>IF(AB23="",IF(AB$6="휴일",0,8),IFERROR(INDEX(코드!$D$2:$D$107,MATCH(AB23,코드!$A$2:$A$107,0)),0))</f>
        <v/>
      </c>
      <c r="AC51" s="40">
        <f>IF(AC23="",IF(AC$6="휴일",0,8),IFERROR(INDEX(코드!$D$2:$D$107,MATCH(AC23,코드!$A$2:$A$107,0)),0))</f>
        <v/>
      </c>
      <c r="AD51" s="40">
        <f>IF(AD23="",IF(AD$6="휴일",0,8),IFERROR(INDEX(코드!$D$2:$D$107,MATCH(AD23,코드!$A$2:$A$107,0)),0))</f>
        <v/>
      </c>
      <c r="AE51" s="40">
        <f>IF(AE23="",IF(AE$6="휴일",0,8),IFERROR(INDEX(코드!$D$2:$D$107,MATCH(AE23,코드!$A$2:$A$107,0)),0))</f>
        <v/>
      </c>
      <c r="AF51" s="40">
        <f>IF(AF23="",IF(AF$6="휴일",0,8),IFERROR(INDEX(코드!$D$2:$D$107,MATCH(AF23,코드!$A$2:$A$107,0)),0))</f>
        <v/>
      </c>
      <c r="AG51" s="40">
        <f>IF(AG23="",IF(AG$6="휴일",0,8),IFERROR(INDEX(코드!$D$2:$D$107,MATCH(AG23,코드!$A$2:$A$107,0)),0))</f>
        <v/>
      </c>
      <c r="AH51" s="40">
        <f>IF(AH23="",IF(AH$6="휴일",0,8),IFERROR(INDEX(코드!$D$2:$D$107,MATCH(AH23,코드!$A$2:$A$107,0)),0))</f>
        <v/>
      </c>
    </row>
    <row r="52">
      <c r="A52" s="15">
        <f>IF(명부!A18="","",명부!A18)</f>
        <v/>
      </c>
      <c r="B52" s="16">
        <f>IF(명부!C18="","",명부!C18)</f>
        <v/>
      </c>
      <c r="C52" s="17">
        <f>IF(명부!E18="","",명부!E18)</f>
        <v/>
      </c>
      <c r="D52" s="40">
        <f>IF(D24="",IF(D$6="휴일",0,8),IFERROR(INDEX(코드!$D$2:$D$107,MATCH(D24,코드!$A$2:$A$107,0)),0))</f>
        <v/>
      </c>
      <c r="E52" s="40">
        <f>IF(E24="",IF(E$6="휴일",0,8),IFERROR(INDEX(코드!$D$2:$D$107,MATCH(E24,코드!$A$2:$A$107,0)),0))</f>
        <v/>
      </c>
      <c r="F52" s="40">
        <f>IF(F24="",IF(F$6="휴일",0,8),IFERROR(INDEX(코드!$D$2:$D$107,MATCH(F24,코드!$A$2:$A$107,0)),0))</f>
        <v/>
      </c>
      <c r="G52" s="40">
        <f>IF(G24="",IF(G$6="휴일",0,8),IFERROR(INDEX(코드!$D$2:$D$107,MATCH(G24,코드!$A$2:$A$107,0)),0))</f>
        <v/>
      </c>
      <c r="H52" s="40">
        <f>IF(H24="",IF(H$6="휴일",0,8),IFERROR(INDEX(코드!$D$2:$D$107,MATCH(H24,코드!$A$2:$A$107,0)),0))</f>
        <v/>
      </c>
      <c r="I52" s="40">
        <f>IF(I24="",IF(I$6="휴일",0,8),IFERROR(INDEX(코드!$D$2:$D$107,MATCH(I24,코드!$A$2:$A$107,0)),0))</f>
        <v/>
      </c>
      <c r="J52" s="40">
        <f>IF(J24="",IF(J$6="휴일",0,8),IFERROR(INDEX(코드!$D$2:$D$107,MATCH(J24,코드!$A$2:$A$107,0)),0))</f>
        <v/>
      </c>
      <c r="K52" s="40">
        <f>IF(K24="",IF(K$6="휴일",0,8),IFERROR(INDEX(코드!$D$2:$D$107,MATCH(K24,코드!$A$2:$A$107,0)),0))</f>
        <v/>
      </c>
      <c r="L52" s="40">
        <f>IF(L24="",IF(L$6="휴일",0,8),IFERROR(INDEX(코드!$D$2:$D$107,MATCH(L24,코드!$A$2:$A$107,0)),0))</f>
        <v/>
      </c>
      <c r="M52" s="40">
        <f>IF(M24="",IF(M$6="휴일",0,8),IFERROR(INDEX(코드!$D$2:$D$107,MATCH(M24,코드!$A$2:$A$107,0)),0))</f>
        <v/>
      </c>
      <c r="N52" s="40">
        <f>IF(N24="",IF(N$6="휴일",0,8),IFERROR(INDEX(코드!$D$2:$D$107,MATCH(N24,코드!$A$2:$A$107,0)),0))</f>
        <v/>
      </c>
      <c r="O52" s="40">
        <f>IF(O24="",IF(O$6="휴일",0,8),IFERROR(INDEX(코드!$D$2:$D$107,MATCH(O24,코드!$A$2:$A$107,0)),0))</f>
        <v/>
      </c>
      <c r="P52" s="40">
        <f>IF(P24="",IF(P$6="휴일",0,8),IFERROR(INDEX(코드!$D$2:$D$107,MATCH(P24,코드!$A$2:$A$107,0)),0))</f>
        <v/>
      </c>
      <c r="Q52" s="40">
        <f>IF(Q24="",IF(Q$6="휴일",0,8),IFERROR(INDEX(코드!$D$2:$D$107,MATCH(Q24,코드!$A$2:$A$107,0)),0))</f>
        <v/>
      </c>
      <c r="R52" s="40">
        <f>IF(R24="",IF(R$6="휴일",0,8),IFERROR(INDEX(코드!$D$2:$D$107,MATCH(R24,코드!$A$2:$A$107,0)),0))</f>
        <v/>
      </c>
      <c r="S52" s="40">
        <f>IF(S24="",IF(S$6="휴일",0,8),IFERROR(INDEX(코드!$D$2:$D$107,MATCH(S24,코드!$A$2:$A$107,0)),0))</f>
        <v/>
      </c>
      <c r="T52" s="40">
        <f>IF(T24="",IF(T$6="휴일",0,8),IFERROR(INDEX(코드!$D$2:$D$107,MATCH(T24,코드!$A$2:$A$107,0)),0))</f>
        <v/>
      </c>
      <c r="U52" s="40">
        <f>IF(U24="",IF(U$6="휴일",0,8),IFERROR(INDEX(코드!$D$2:$D$107,MATCH(U24,코드!$A$2:$A$107,0)),0))</f>
        <v/>
      </c>
      <c r="V52" s="40">
        <f>IF(V24="",IF(V$6="휴일",0,8),IFERROR(INDEX(코드!$D$2:$D$107,MATCH(V24,코드!$A$2:$A$107,0)),0))</f>
        <v/>
      </c>
      <c r="W52" s="40">
        <f>IF(W24="",IF(W$6="휴일",0,8),IFERROR(INDEX(코드!$D$2:$D$107,MATCH(W24,코드!$A$2:$A$107,0)),0))</f>
        <v/>
      </c>
      <c r="X52" s="40">
        <f>IF(X24="",IF(X$6="휴일",0,8),IFERROR(INDEX(코드!$D$2:$D$107,MATCH(X24,코드!$A$2:$A$107,0)),0))</f>
        <v/>
      </c>
      <c r="Y52" s="40">
        <f>IF(Y24="",IF(Y$6="휴일",0,8),IFERROR(INDEX(코드!$D$2:$D$107,MATCH(Y24,코드!$A$2:$A$107,0)),0))</f>
        <v/>
      </c>
      <c r="Z52" s="40">
        <f>IF(Z24="",IF(Z$6="휴일",0,8),IFERROR(INDEX(코드!$D$2:$D$107,MATCH(Z24,코드!$A$2:$A$107,0)),0))</f>
        <v/>
      </c>
      <c r="AA52" s="40">
        <f>IF(AA24="",IF(AA$6="휴일",0,8),IFERROR(INDEX(코드!$D$2:$D$107,MATCH(AA24,코드!$A$2:$A$107,0)),0))</f>
        <v/>
      </c>
      <c r="AB52" s="40">
        <f>IF(AB24="",IF(AB$6="휴일",0,8),IFERROR(INDEX(코드!$D$2:$D$107,MATCH(AB24,코드!$A$2:$A$107,0)),0))</f>
        <v/>
      </c>
      <c r="AC52" s="40">
        <f>IF(AC24="",IF(AC$6="휴일",0,8),IFERROR(INDEX(코드!$D$2:$D$107,MATCH(AC24,코드!$A$2:$A$107,0)),0))</f>
        <v/>
      </c>
      <c r="AD52" s="40">
        <f>IF(AD24="",IF(AD$6="휴일",0,8),IFERROR(INDEX(코드!$D$2:$D$107,MATCH(AD24,코드!$A$2:$A$107,0)),0))</f>
        <v/>
      </c>
      <c r="AE52" s="40">
        <f>IF(AE24="",IF(AE$6="휴일",0,8),IFERROR(INDEX(코드!$D$2:$D$107,MATCH(AE24,코드!$A$2:$A$107,0)),0))</f>
        <v/>
      </c>
      <c r="AF52" s="40">
        <f>IF(AF24="",IF(AF$6="휴일",0,8),IFERROR(INDEX(코드!$D$2:$D$107,MATCH(AF24,코드!$A$2:$A$107,0)),0))</f>
        <v/>
      </c>
      <c r="AG52" s="40">
        <f>IF(AG24="",IF(AG$6="휴일",0,8),IFERROR(INDEX(코드!$D$2:$D$107,MATCH(AG24,코드!$A$2:$A$107,0)),0))</f>
        <v/>
      </c>
      <c r="AH52" s="40">
        <f>IF(AH24="",IF(AH$6="휴일",0,8),IFERROR(INDEX(코드!$D$2:$D$107,MATCH(AH24,코드!$A$2:$A$107,0)),0))</f>
        <v/>
      </c>
    </row>
    <row r="53">
      <c r="A53" s="15">
        <f>IF(명부!A19="","",명부!A19)</f>
        <v/>
      </c>
      <c r="B53" s="16">
        <f>IF(명부!C19="","",명부!C19)</f>
        <v/>
      </c>
      <c r="C53" s="17">
        <f>IF(명부!E19="","",명부!E19)</f>
        <v/>
      </c>
      <c r="D53" s="40">
        <f>IF(D25="",IF(D$6="휴일",0,8),IFERROR(INDEX(코드!$D$2:$D$107,MATCH(D25,코드!$A$2:$A$107,0)),0))</f>
        <v/>
      </c>
      <c r="E53" s="40">
        <f>IF(E25="",IF(E$6="휴일",0,8),IFERROR(INDEX(코드!$D$2:$D$107,MATCH(E25,코드!$A$2:$A$107,0)),0))</f>
        <v/>
      </c>
      <c r="F53" s="40">
        <f>IF(F25="",IF(F$6="휴일",0,8),IFERROR(INDEX(코드!$D$2:$D$107,MATCH(F25,코드!$A$2:$A$107,0)),0))</f>
        <v/>
      </c>
      <c r="G53" s="40">
        <f>IF(G25="",IF(G$6="휴일",0,8),IFERROR(INDEX(코드!$D$2:$D$107,MATCH(G25,코드!$A$2:$A$107,0)),0))</f>
        <v/>
      </c>
      <c r="H53" s="40">
        <f>IF(H25="",IF(H$6="휴일",0,8),IFERROR(INDEX(코드!$D$2:$D$107,MATCH(H25,코드!$A$2:$A$107,0)),0))</f>
        <v/>
      </c>
      <c r="I53" s="40">
        <f>IF(I25="",IF(I$6="휴일",0,8),IFERROR(INDEX(코드!$D$2:$D$107,MATCH(I25,코드!$A$2:$A$107,0)),0))</f>
        <v/>
      </c>
      <c r="J53" s="40">
        <f>IF(J25="",IF(J$6="휴일",0,8),IFERROR(INDEX(코드!$D$2:$D$107,MATCH(J25,코드!$A$2:$A$107,0)),0))</f>
        <v/>
      </c>
      <c r="K53" s="40">
        <f>IF(K25="",IF(K$6="휴일",0,8),IFERROR(INDEX(코드!$D$2:$D$107,MATCH(K25,코드!$A$2:$A$107,0)),0))</f>
        <v/>
      </c>
      <c r="L53" s="40">
        <f>IF(L25="",IF(L$6="휴일",0,8),IFERROR(INDEX(코드!$D$2:$D$107,MATCH(L25,코드!$A$2:$A$107,0)),0))</f>
        <v/>
      </c>
      <c r="M53" s="40">
        <f>IF(M25="",IF(M$6="휴일",0,8),IFERROR(INDEX(코드!$D$2:$D$107,MATCH(M25,코드!$A$2:$A$107,0)),0))</f>
        <v/>
      </c>
      <c r="N53" s="40">
        <f>IF(N25="",IF(N$6="휴일",0,8),IFERROR(INDEX(코드!$D$2:$D$107,MATCH(N25,코드!$A$2:$A$107,0)),0))</f>
        <v/>
      </c>
      <c r="O53" s="40">
        <f>IF(O25="",IF(O$6="휴일",0,8),IFERROR(INDEX(코드!$D$2:$D$107,MATCH(O25,코드!$A$2:$A$107,0)),0))</f>
        <v/>
      </c>
      <c r="P53" s="40">
        <f>IF(P25="",IF(P$6="휴일",0,8),IFERROR(INDEX(코드!$D$2:$D$107,MATCH(P25,코드!$A$2:$A$107,0)),0))</f>
        <v/>
      </c>
      <c r="Q53" s="40">
        <f>IF(Q25="",IF(Q$6="휴일",0,8),IFERROR(INDEX(코드!$D$2:$D$107,MATCH(Q25,코드!$A$2:$A$107,0)),0))</f>
        <v/>
      </c>
      <c r="R53" s="40">
        <f>IF(R25="",IF(R$6="휴일",0,8),IFERROR(INDEX(코드!$D$2:$D$107,MATCH(R25,코드!$A$2:$A$107,0)),0))</f>
        <v/>
      </c>
      <c r="S53" s="40">
        <f>IF(S25="",IF(S$6="휴일",0,8),IFERROR(INDEX(코드!$D$2:$D$107,MATCH(S25,코드!$A$2:$A$107,0)),0))</f>
        <v/>
      </c>
      <c r="T53" s="40">
        <f>IF(T25="",IF(T$6="휴일",0,8),IFERROR(INDEX(코드!$D$2:$D$107,MATCH(T25,코드!$A$2:$A$107,0)),0))</f>
        <v/>
      </c>
      <c r="U53" s="40">
        <f>IF(U25="",IF(U$6="휴일",0,8),IFERROR(INDEX(코드!$D$2:$D$107,MATCH(U25,코드!$A$2:$A$107,0)),0))</f>
        <v/>
      </c>
      <c r="V53" s="40">
        <f>IF(V25="",IF(V$6="휴일",0,8),IFERROR(INDEX(코드!$D$2:$D$107,MATCH(V25,코드!$A$2:$A$107,0)),0))</f>
        <v/>
      </c>
      <c r="W53" s="40">
        <f>IF(W25="",IF(W$6="휴일",0,8),IFERROR(INDEX(코드!$D$2:$D$107,MATCH(W25,코드!$A$2:$A$107,0)),0))</f>
        <v/>
      </c>
      <c r="X53" s="40">
        <f>IF(X25="",IF(X$6="휴일",0,8),IFERROR(INDEX(코드!$D$2:$D$107,MATCH(X25,코드!$A$2:$A$107,0)),0))</f>
        <v/>
      </c>
      <c r="Y53" s="40">
        <f>IF(Y25="",IF(Y$6="휴일",0,8),IFERROR(INDEX(코드!$D$2:$D$107,MATCH(Y25,코드!$A$2:$A$107,0)),0))</f>
        <v/>
      </c>
      <c r="Z53" s="40">
        <f>IF(Z25="",IF(Z$6="휴일",0,8),IFERROR(INDEX(코드!$D$2:$D$107,MATCH(Z25,코드!$A$2:$A$107,0)),0))</f>
        <v/>
      </c>
      <c r="AA53" s="40">
        <f>IF(AA25="",IF(AA$6="휴일",0,8),IFERROR(INDEX(코드!$D$2:$D$107,MATCH(AA25,코드!$A$2:$A$107,0)),0))</f>
        <v/>
      </c>
      <c r="AB53" s="40">
        <f>IF(AB25="",IF(AB$6="휴일",0,8),IFERROR(INDEX(코드!$D$2:$D$107,MATCH(AB25,코드!$A$2:$A$107,0)),0))</f>
        <v/>
      </c>
      <c r="AC53" s="40">
        <f>IF(AC25="",IF(AC$6="휴일",0,8),IFERROR(INDEX(코드!$D$2:$D$107,MATCH(AC25,코드!$A$2:$A$107,0)),0))</f>
        <v/>
      </c>
      <c r="AD53" s="40">
        <f>IF(AD25="",IF(AD$6="휴일",0,8),IFERROR(INDEX(코드!$D$2:$D$107,MATCH(AD25,코드!$A$2:$A$107,0)),0))</f>
        <v/>
      </c>
      <c r="AE53" s="40">
        <f>IF(AE25="",IF(AE$6="휴일",0,8),IFERROR(INDEX(코드!$D$2:$D$107,MATCH(AE25,코드!$A$2:$A$107,0)),0))</f>
        <v/>
      </c>
      <c r="AF53" s="40">
        <f>IF(AF25="",IF(AF$6="휴일",0,8),IFERROR(INDEX(코드!$D$2:$D$107,MATCH(AF25,코드!$A$2:$A$107,0)),0))</f>
        <v/>
      </c>
      <c r="AG53" s="40">
        <f>IF(AG25="",IF(AG$6="휴일",0,8),IFERROR(INDEX(코드!$D$2:$D$107,MATCH(AG25,코드!$A$2:$A$107,0)),0))</f>
        <v/>
      </c>
      <c r="AH53" s="40">
        <f>IF(AH25="",IF(AH$6="휴일",0,8),IFERROR(INDEX(코드!$D$2:$D$107,MATCH(AH25,코드!$A$2:$A$107,0)),0))</f>
        <v/>
      </c>
    </row>
    <row r="54">
      <c r="A54" s="15">
        <f>IF(명부!A20="","",명부!A20)</f>
        <v/>
      </c>
      <c r="B54" s="16">
        <f>IF(명부!C20="","",명부!C20)</f>
        <v/>
      </c>
      <c r="C54" s="17">
        <f>IF(명부!E20="","",명부!E20)</f>
        <v/>
      </c>
      <c r="D54" s="40">
        <f>IF(D26="",IF(D$6="휴일",0,8),IFERROR(INDEX(코드!$D$2:$D$107,MATCH(D26,코드!$A$2:$A$107,0)),0))</f>
        <v/>
      </c>
      <c r="E54" s="40">
        <f>IF(E26="",IF(E$6="휴일",0,8),IFERROR(INDEX(코드!$D$2:$D$107,MATCH(E26,코드!$A$2:$A$107,0)),0))</f>
        <v/>
      </c>
      <c r="F54" s="40">
        <f>IF(F26="",IF(F$6="휴일",0,8),IFERROR(INDEX(코드!$D$2:$D$107,MATCH(F26,코드!$A$2:$A$107,0)),0))</f>
        <v/>
      </c>
      <c r="G54" s="40">
        <f>IF(G26="",IF(G$6="휴일",0,8),IFERROR(INDEX(코드!$D$2:$D$107,MATCH(G26,코드!$A$2:$A$107,0)),0))</f>
        <v/>
      </c>
      <c r="H54" s="40">
        <f>IF(H26="",IF(H$6="휴일",0,8),IFERROR(INDEX(코드!$D$2:$D$107,MATCH(H26,코드!$A$2:$A$107,0)),0))</f>
        <v/>
      </c>
      <c r="I54" s="40">
        <f>IF(I26="",IF(I$6="휴일",0,8),IFERROR(INDEX(코드!$D$2:$D$107,MATCH(I26,코드!$A$2:$A$107,0)),0))</f>
        <v/>
      </c>
      <c r="J54" s="40">
        <f>IF(J26="",IF(J$6="휴일",0,8),IFERROR(INDEX(코드!$D$2:$D$107,MATCH(J26,코드!$A$2:$A$107,0)),0))</f>
        <v/>
      </c>
      <c r="K54" s="40">
        <f>IF(K26="",IF(K$6="휴일",0,8),IFERROR(INDEX(코드!$D$2:$D$107,MATCH(K26,코드!$A$2:$A$107,0)),0))</f>
        <v/>
      </c>
      <c r="L54" s="40">
        <f>IF(L26="",IF(L$6="휴일",0,8),IFERROR(INDEX(코드!$D$2:$D$107,MATCH(L26,코드!$A$2:$A$107,0)),0))</f>
        <v/>
      </c>
      <c r="M54" s="40">
        <f>IF(M26="",IF(M$6="휴일",0,8),IFERROR(INDEX(코드!$D$2:$D$107,MATCH(M26,코드!$A$2:$A$107,0)),0))</f>
        <v/>
      </c>
      <c r="N54" s="40">
        <f>IF(N26="",IF(N$6="휴일",0,8),IFERROR(INDEX(코드!$D$2:$D$107,MATCH(N26,코드!$A$2:$A$107,0)),0))</f>
        <v/>
      </c>
      <c r="O54" s="40">
        <f>IF(O26="",IF(O$6="휴일",0,8),IFERROR(INDEX(코드!$D$2:$D$107,MATCH(O26,코드!$A$2:$A$107,0)),0))</f>
        <v/>
      </c>
      <c r="P54" s="40">
        <f>IF(P26="",IF(P$6="휴일",0,8),IFERROR(INDEX(코드!$D$2:$D$107,MATCH(P26,코드!$A$2:$A$107,0)),0))</f>
        <v/>
      </c>
      <c r="Q54" s="40">
        <f>IF(Q26="",IF(Q$6="휴일",0,8),IFERROR(INDEX(코드!$D$2:$D$107,MATCH(Q26,코드!$A$2:$A$107,0)),0))</f>
        <v/>
      </c>
      <c r="R54" s="40">
        <f>IF(R26="",IF(R$6="휴일",0,8),IFERROR(INDEX(코드!$D$2:$D$107,MATCH(R26,코드!$A$2:$A$107,0)),0))</f>
        <v/>
      </c>
      <c r="S54" s="40">
        <f>IF(S26="",IF(S$6="휴일",0,8),IFERROR(INDEX(코드!$D$2:$D$107,MATCH(S26,코드!$A$2:$A$107,0)),0))</f>
        <v/>
      </c>
      <c r="T54" s="40">
        <f>IF(T26="",IF(T$6="휴일",0,8),IFERROR(INDEX(코드!$D$2:$D$107,MATCH(T26,코드!$A$2:$A$107,0)),0))</f>
        <v/>
      </c>
      <c r="U54" s="40">
        <f>IF(U26="",IF(U$6="휴일",0,8),IFERROR(INDEX(코드!$D$2:$D$107,MATCH(U26,코드!$A$2:$A$107,0)),0))</f>
        <v/>
      </c>
      <c r="V54" s="40">
        <f>IF(V26="",IF(V$6="휴일",0,8),IFERROR(INDEX(코드!$D$2:$D$107,MATCH(V26,코드!$A$2:$A$107,0)),0))</f>
        <v/>
      </c>
      <c r="W54" s="40">
        <f>IF(W26="",IF(W$6="휴일",0,8),IFERROR(INDEX(코드!$D$2:$D$107,MATCH(W26,코드!$A$2:$A$107,0)),0))</f>
        <v/>
      </c>
      <c r="X54" s="40">
        <f>IF(X26="",IF(X$6="휴일",0,8),IFERROR(INDEX(코드!$D$2:$D$107,MATCH(X26,코드!$A$2:$A$107,0)),0))</f>
        <v/>
      </c>
      <c r="Y54" s="40">
        <f>IF(Y26="",IF(Y$6="휴일",0,8),IFERROR(INDEX(코드!$D$2:$D$107,MATCH(Y26,코드!$A$2:$A$107,0)),0))</f>
        <v/>
      </c>
      <c r="Z54" s="40">
        <f>IF(Z26="",IF(Z$6="휴일",0,8),IFERROR(INDEX(코드!$D$2:$D$107,MATCH(Z26,코드!$A$2:$A$107,0)),0))</f>
        <v/>
      </c>
      <c r="AA54" s="40">
        <f>IF(AA26="",IF(AA$6="휴일",0,8),IFERROR(INDEX(코드!$D$2:$D$107,MATCH(AA26,코드!$A$2:$A$107,0)),0))</f>
        <v/>
      </c>
      <c r="AB54" s="40">
        <f>IF(AB26="",IF(AB$6="휴일",0,8),IFERROR(INDEX(코드!$D$2:$D$107,MATCH(AB26,코드!$A$2:$A$107,0)),0))</f>
        <v/>
      </c>
      <c r="AC54" s="40">
        <f>IF(AC26="",IF(AC$6="휴일",0,8),IFERROR(INDEX(코드!$D$2:$D$107,MATCH(AC26,코드!$A$2:$A$107,0)),0))</f>
        <v/>
      </c>
      <c r="AD54" s="40">
        <f>IF(AD26="",IF(AD$6="휴일",0,8),IFERROR(INDEX(코드!$D$2:$D$107,MATCH(AD26,코드!$A$2:$A$107,0)),0))</f>
        <v/>
      </c>
      <c r="AE54" s="40">
        <f>IF(AE26="",IF(AE$6="휴일",0,8),IFERROR(INDEX(코드!$D$2:$D$107,MATCH(AE26,코드!$A$2:$A$107,0)),0))</f>
        <v/>
      </c>
      <c r="AF54" s="40">
        <f>IF(AF26="",IF(AF$6="휴일",0,8),IFERROR(INDEX(코드!$D$2:$D$107,MATCH(AF26,코드!$A$2:$A$107,0)),0))</f>
        <v/>
      </c>
      <c r="AG54" s="40">
        <f>IF(AG26="",IF(AG$6="휴일",0,8),IFERROR(INDEX(코드!$D$2:$D$107,MATCH(AG26,코드!$A$2:$A$107,0)),0))</f>
        <v/>
      </c>
      <c r="AH54" s="40">
        <f>IF(AH26="",IF(AH$6="휴일",0,8),IFERROR(INDEX(코드!$D$2:$D$107,MATCH(AH26,코드!$A$2:$A$107,0)),0))</f>
        <v/>
      </c>
    </row>
    <row r="55">
      <c r="A55" s="15">
        <f>IF(명부!A21="","",명부!A21)</f>
        <v/>
      </c>
      <c r="B55" s="16">
        <f>IF(명부!C21="","",명부!C21)</f>
        <v/>
      </c>
      <c r="C55" s="17">
        <f>IF(명부!E21="","",명부!E21)</f>
        <v/>
      </c>
      <c r="D55" s="40">
        <f>IF(D27="",IF(D$6="휴일",0,8),IFERROR(INDEX(코드!$D$2:$D$107,MATCH(D27,코드!$A$2:$A$107,0)),0))</f>
        <v/>
      </c>
      <c r="E55" s="40">
        <f>IF(E27="",IF(E$6="휴일",0,8),IFERROR(INDEX(코드!$D$2:$D$107,MATCH(E27,코드!$A$2:$A$107,0)),0))</f>
        <v/>
      </c>
      <c r="F55" s="40">
        <f>IF(F27="",IF(F$6="휴일",0,8),IFERROR(INDEX(코드!$D$2:$D$107,MATCH(F27,코드!$A$2:$A$107,0)),0))</f>
        <v/>
      </c>
      <c r="G55" s="40">
        <f>IF(G27="",IF(G$6="휴일",0,8),IFERROR(INDEX(코드!$D$2:$D$107,MATCH(G27,코드!$A$2:$A$107,0)),0))</f>
        <v/>
      </c>
      <c r="H55" s="40">
        <f>IF(H27="",IF(H$6="휴일",0,8),IFERROR(INDEX(코드!$D$2:$D$107,MATCH(H27,코드!$A$2:$A$107,0)),0))</f>
        <v/>
      </c>
      <c r="I55" s="40">
        <f>IF(I27="",IF(I$6="휴일",0,8),IFERROR(INDEX(코드!$D$2:$D$107,MATCH(I27,코드!$A$2:$A$107,0)),0))</f>
        <v/>
      </c>
      <c r="J55" s="40">
        <f>IF(J27="",IF(J$6="휴일",0,8),IFERROR(INDEX(코드!$D$2:$D$107,MATCH(J27,코드!$A$2:$A$107,0)),0))</f>
        <v/>
      </c>
      <c r="K55" s="40">
        <f>IF(K27="",IF(K$6="휴일",0,8),IFERROR(INDEX(코드!$D$2:$D$107,MATCH(K27,코드!$A$2:$A$107,0)),0))</f>
        <v/>
      </c>
      <c r="L55" s="40">
        <f>IF(L27="",IF(L$6="휴일",0,8),IFERROR(INDEX(코드!$D$2:$D$107,MATCH(L27,코드!$A$2:$A$107,0)),0))</f>
        <v/>
      </c>
      <c r="M55" s="40">
        <f>IF(M27="",IF(M$6="휴일",0,8),IFERROR(INDEX(코드!$D$2:$D$107,MATCH(M27,코드!$A$2:$A$107,0)),0))</f>
        <v/>
      </c>
      <c r="N55" s="40">
        <f>IF(N27="",IF(N$6="휴일",0,8),IFERROR(INDEX(코드!$D$2:$D$107,MATCH(N27,코드!$A$2:$A$107,0)),0))</f>
        <v/>
      </c>
      <c r="O55" s="40">
        <f>IF(O27="",IF(O$6="휴일",0,8),IFERROR(INDEX(코드!$D$2:$D$107,MATCH(O27,코드!$A$2:$A$107,0)),0))</f>
        <v/>
      </c>
      <c r="P55" s="40">
        <f>IF(P27="",IF(P$6="휴일",0,8),IFERROR(INDEX(코드!$D$2:$D$107,MATCH(P27,코드!$A$2:$A$107,0)),0))</f>
        <v/>
      </c>
      <c r="Q55" s="40">
        <f>IF(Q27="",IF(Q$6="휴일",0,8),IFERROR(INDEX(코드!$D$2:$D$107,MATCH(Q27,코드!$A$2:$A$107,0)),0))</f>
        <v/>
      </c>
      <c r="R55" s="40">
        <f>IF(R27="",IF(R$6="휴일",0,8),IFERROR(INDEX(코드!$D$2:$D$107,MATCH(R27,코드!$A$2:$A$107,0)),0))</f>
        <v/>
      </c>
      <c r="S55" s="40">
        <f>IF(S27="",IF(S$6="휴일",0,8),IFERROR(INDEX(코드!$D$2:$D$107,MATCH(S27,코드!$A$2:$A$107,0)),0))</f>
        <v/>
      </c>
      <c r="T55" s="40">
        <f>IF(T27="",IF(T$6="휴일",0,8),IFERROR(INDEX(코드!$D$2:$D$107,MATCH(T27,코드!$A$2:$A$107,0)),0))</f>
        <v/>
      </c>
      <c r="U55" s="40">
        <f>IF(U27="",IF(U$6="휴일",0,8),IFERROR(INDEX(코드!$D$2:$D$107,MATCH(U27,코드!$A$2:$A$107,0)),0))</f>
        <v/>
      </c>
      <c r="V55" s="40">
        <f>IF(V27="",IF(V$6="휴일",0,8),IFERROR(INDEX(코드!$D$2:$D$107,MATCH(V27,코드!$A$2:$A$107,0)),0))</f>
        <v/>
      </c>
      <c r="W55" s="40">
        <f>IF(W27="",IF(W$6="휴일",0,8),IFERROR(INDEX(코드!$D$2:$D$107,MATCH(W27,코드!$A$2:$A$107,0)),0))</f>
        <v/>
      </c>
      <c r="X55" s="40">
        <f>IF(X27="",IF(X$6="휴일",0,8),IFERROR(INDEX(코드!$D$2:$D$107,MATCH(X27,코드!$A$2:$A$107,0)),0))</f>
        <v/>
      </c>
      <c r="Y55" s="40">
        <f>IF(Y27="",IF(Y$6="휴일",0,8),IFERROR(INDEX(코드!$D$2:$D$107,MATCH(Y27,코드!$A$2:$A$107,0)),0))</f>
        <v/>
      </c>
      <c r="Z55" s="40">
        <f>IF(Z27="",IF(Z$6="휴일",0,8),IFERROR(INDEX(코드!$D$2:$D$107,MATCH(Z27,코드!$A$2:$A$107,0)),0))</f>
        <v/>
      </c>
      <c r="AA55" s="40">
        <f>IF(AA27="",IF(AA$6="휴일",0,8),IFERROR(INDEX(코드!$D$2:$D$107,MATCH(AA27,코드!$A$2:$A$107,0)),0))</f>
        <v/>
      </c>
      <c r="AB55" s="40">
        <f>IF(AB27="",IF(AB$6="휴일",0,8),IFERROR(INDEX(코드!$D$2:$D$107,MATCH(AB27,코드!$A$2:$A$107,0)),0))</f>
        <v/>
      </c>
      <c r="AC55" s="40">
        <f>IF(AC27="",IF(AC$6="휴일",0,8),IFERROR(INDEX(코드!$D$2:$D$107,MATCH(AC27,코드!$A$2:$A$107,0)),0))</f>
        <v/>
      </c>
      <c r="AD55" s="40">
        <f>IF(AD27="",IF(AD$6="휴일",0,8),IFERROR(INDEX(코드!$D$2:$D$107,MATCH(AD27,코드!$A$2:$A$107,0)),0))</f>
        <v/>
      </c>
      <c r="AE55" s="40">
        <f>IF(AE27="",IF(AE$6="휴일",0,8),IFERROR(INDEX(코드!$D$2:$D$107,MATCH(AE27,코드!$A$2:$A$107,0)),0))</f>
        <v/>
      </c>
      <c r="AF55" s="40">
        <f>IF(AF27="",IF(AF$6="휴일",0,8),IFERROR(INDEX(코드!$D$2:$D$107,MATCH(AF27,코드!$A$2:$A$107,0)),0))</f>
        <v/>
      </c>
      <c r="AG55" s="40">
        <f>IF(AG27="",IF(AG$6="휴일",0,8),IFERROR(INDEX(코드!$D$2:$D$107,MATCH(AG27,코드!$A$2:$A$107,0)),0))</f>
        <v/>
      </c>
      <c r="AH55" s="40">
        <f>IF(AH27="",IF(AH$6="휴일",0,8),IFERROR(INDEX(코드!$D$2:$D$107,MATCH(AH27,코드!$A$2:$A$107,0)),0))</f>
        <v/>
      </c>
    </row>
    <row r="56">
      <c r="A56" s="15">
        <f>IF(명부!A22="","",명부!A22)</f>
        <v/>
      </c>
      <c r="B56" s="16">
        <f>IF(명부!C22="","",명부!C22)</f>
        <v/>
      </c>
      <c r="C56" s="17">
        <f>IF(명부!E22="","",명부!E22)</f>
        <v/>
      </c>
      <c r="D56" s="40">
        <f>IF(D28="",IF(D$6="휴일",0,8),IFERROR(INDEX(코드!$D$2:$D$107,MATCH(D28,코드!$A$2:$A$107,0)),0))</f>
        <v/>
      </c>
      <c r="E56" s="40">
        <f>IF(E28="",IF(E$6="휴일",0,8),IFERROR(INDEX(코드!$D$2:$D$107,MATCH(E28,코드!$A$2:$A$107,0)),0))</f>
        <v/>
      </c>
      <c r="F56" s="40">
        <f>IF(F28="",IF(F$6="휴일",0,8),IFERROR(INDEX(코드!$D$2:$D$107,MATCH(F28,코드!$A$2:$A$107,0)),0))</f>
        <v/>
      </c>
      <c r="G56" s="40">
        <f>IF(G28="",IF(G$6="휴일",0,8),IFERROR(INDEX(코드!$D$2:$D$107,MATCH(G28,코드!$A$2:$A$107,0)),0))</f>
        <v/>
      </c>
      <c r="H56" s="40">
        <f>IF(H28="",IF(H$6="휴일",0,8),IFERROR(INDEX(코드!$D$2:$D$107,MATCH(H28,코드!$A$2:$A$107,0)),0))</f>
        <v/>
      </c>
      <c r="I56" s="40">
        <f>IF(I28="",IF(I$6="휴일",0,8),IFERROR(INDEX(코드!$D$2:$D$107,MATCH(I28,코드!$A$2:$A$107,0)),0))</f>
        <v/>
      </c>
      <c r="J56" s="40">
        <f>IF(J28="",IF(J$6="휴일",0,8),IFERROR(INDEX(코드!$D$2:$D$107,MATCH(J28,코드!$A$2:$A$107,0)),0))</f>
        <v/>
      </c>
      <c r="K56" s="40">
        <f>IF(K28="",IF(K$6="휴일",0,8),IFERROR(INDEX(코드!$D$2:$D$107,MATCH(K28,코드!$A$2:$A$107,0)),0))</f>
        <v/>
      </c>
      <c r="L56" s="40">
        <f>IF(L28="",IF(L$6="휴일",0,8),IFERROR(INDEX(코드!$D$2:$D$107,MATCH(L28,코드!$A$2:$A$107,0)),0))</f>
        <v/>
      </c>
      <c r="M56" s="40">
        <f>IF(M28="",IF(M$6="휴일",0,8),IFERROR(INDEX(코드!$D$2:$D$107,MATCH(M28,코드!$A$2:$A$107,0)),0))</f>
        <v/>
      </c>
      <c r="N56" s="40">
        <f>IF(N28="",IF(N$6="휴일",0,8),IFERROR(INDEX(코드!$D$2:$D$107,MATCH(N28,코드!$A$2:$A$107,0)),0))</f>
        <v/>
      </c>
      <c r="O56" s="40">
        <f>IF(O28="",IF(O$6="휴일",0,8),IFERROR(INDEX(코드!$D$2:$D$107,MATCH(O28,코드!$A$2:$A$107,0)),0))</f>
        <v/>
      </c>
      <c r="P56" s="40">
        <f>IF(P28="",IF(P$6="휴일",0,8),IFERROR(INDEX(코드!$D$2:$D$107,MATCH(P28,코드!$A$2:$A$107,0)),0))</f>
        <v/>
      </c>
      <c r="Q56" s="40">
        <f>IF(Q28="",IF(Q$6="휴일",0,8),IFERROR(INDEX(코드!$D$2:$D$107,MATCH(Q28,코드!$A$2:$A$107,0)),0))</f>
        <v/>
      </c>
      <c r="R56" s="40">
        <f>IF(R28="",IF(R$6="휴일",0,8),IFERROR(INDEX(코드!$D$2:$D$107,MATCH(R28,코드!$A$2:$A$107,0)),0))</f>
        <v/>
      </c>
      <c r="S56" s="40">
        <f>IF(S28="",IF(S$6="휴일",0,8),IFERROR(INDEX(코드!$D$2:$D$107,MATCH(S28,코드!$A$2:$A$107,0)),0))</f>
        <v/>
      </c>
      <c r="T56" s="40">
        <f>IF(T28="",IF(T$6="휴일",0,8),IFERROR(INDEX(코드!$D$2:$D$107,MATCH(T28,코드!$A$2:$A$107,0)),0))</f>
        <v/>
      </c>
      <c r="U56" s="40">
        <f>IF(U28="",IF(U$6="휴일",0,8),IFERROR(INDEX(코드!$D$2:$D$107,MATCH(U28,코드!$A$2:$A$107,0)),0))</f>
        <v/>
      </c>
      <c r="V56" s="40">
        <f>IF(V28="",IF(V$6="휴일",0,8),IFERROR(INDEX(코드!$D$2:$D$107,MATCH(V28,코드!$A$2:$A$107,0)),0))</f>
        <v/>
      </c>
      <c r="W56" s="40">
        <f>IF(W28="",IF(W$6="휴일",0,8),IFERROR(INDEX(코드!$D$2:$D$107,MATCH(W28,코드!$A$2:$A$107,0)),0))</f>
        <v/>
      </c>
      <c r="X56" s="40">
        <f>IF(X28="",IF(X$6="휴일",0,8),IFERROR(INDEX(코드!$D$2:$D$107,MATCH(X28,코드!$A$2:$A$107,0)),0))</f>
        <v/>
      </c>
      <c r="Y56" s="40">
        <f>IF(Y28="",IF(Y$6="휴일",0,8),IFERROR(INDEX(코드!$D$2:$D$107,MATCH(Y28,코드!$A$2:$A$107,0)),0))</f>
        <v/>
      </c>
      <c r="Z56" s="40">
        <f>IF(Z28="",IF(Z$6="휴일",0,8),IFERROR(INDEX(코드!$D$2:$D$107,MATCH(Z28,코드!$A$2:$A$107,0)),0))</f>
        <v/>
      </c>
      <c r="AA56" s="40">
        <f>IF(AA28="",IF(AA$6="휴일",0,8),IFERROR(INDEX(코드!$D$2:$D$107,MATCH(AA28,코드!$A$2:$A$107,0)),0))</f>
        <v/>
      </c>
      <c r="AB56" s="40">
        <f>IF(AB28="",IF(AB$6="휴일",0,8),IFERROR(INDEX(코드!$D$2:$D$107,MATCH(AB28,코드!$A$2:$A$107,0)),0))</f>
        <v/>
      </c>
      <c r="AC56" s="40">
        <f>IF(AC28="",IF(AC$6="휴일",0,8),IFERROR(INDEX(코드!$D$2:$D$107,MATCH(AC28,코드!$A$2:$A$107,0)),0))</f>
        <v/>
      </c>
      <c r="AD56" s="40">
        <f>IF(AD28="",IF(AD$6="휴일",0,8),IFERROR(INDEX(코드!$D$2:$D$107,MATCH(AD28,코드!$A$2:$A$107,0)),0))</f>
        <v/>
      </c>
      <c r="AE56" s="40">
        <f>IF(AE28="",IF(AE$6="휴일",0,8),IFERROR(INDEX(코드!$D$2:$D$107,MATCH(AE28,코드!$A$2:$A$107,0)),0))</f>
        <v/>
      </c>
      <c r="AF56" s="40">
        <f>IF(AF28="",IF(AF$6="휴일",0,8),IFERROR(INDEX(코드!$D$2:$D$107,MATCH(AF28,코드!$A$2:$A$107,0)),0))</f>
        <v/>
      </c>
      <c r="AG56" s="40">
        <f>IF(AG28="",IF(AG$6="휴일",0,8),IFERROR(INDEX(코드!$D$2:$D$107,MATCH(AG28,코드!$A$2:$A$107,0)),0))</f>
        <v/>
      </c>
      <c r="AH56" s="40">
        <f>IF(AH28="",IF(AH$6="휴일",0,8),IFERROR(INDEX(코드!$D$2:$D$107,MATCH(AH28,코드!$A$2:$A$107,0)),0))</f>
        <v/>
      </c>
    </row>
    <row r="57">
      <c r="A57" s="15">
        <f>IF(명부!A23="","",명부!A23)</f>
        <v/>
      </c>
      <c r="B57" s="16">
        <f>IF(명부!C23="","",명부!C23)</f>
        <v/>
      </c>
      <c r="C57" s="17">
        <f>IF(명부!E23="","",명부!E23)</f>
        <v/>
      </c>
      <c r="D57" s="40">
        <f>IF(D29="",IF(D$6="휴일",0,8),IFERROR(INDEX(코드!$D$2:$D$107,MATCH(D29,코드!$A$2:$A$107,0)),0))</f>
        <v/>
      </c>
      <c r="E57" s="40">
        <f>IF(E29="",IF(E$6="휴일",0,8),IFERROR(INDEX(코드!$D$2:$D$107,MATCH(E29,코드!$A$2:$A$107,0)),0))</f>
        <v/>
      </c>
      <c r="F57" s="40">
        <f>IF(F29="",IF(F$6="휴일",0,8),IFERROR(INDEX(코드!$D$2:$D$107,MATCH(F29,코드!$A$2:$A$107,0)),0))</f>
        <v/>
      </c>
      <c r="G57" s="40">
        <f>IF(G29="",IF(G$6="휴일",0,8),IFERROR(INDEX(코드!$D$2:$D$107,MATCH(G29,코드!$A$2:$A$107,0)),0))</f>
        <v/>
      </c>
      <c r="H57" s="40">
        <f>IF(H29="",IF(H$6="휴일",0,8),IFERROR(INDEX(코드!$D$2:$D$107,MATCH(H29,코드!$A$2:$A$107,0)),0))</f>
        <v/>
      </c>
      <c r="I57" s="40">
        <f>IF(I29="",IF(I$6="휴일",0,8),IFERROR(INDEX(코드!$D$2:$D$107,MATCH(I29,코드!$A$2:$A$107,0)),0))</f>
        <v/>
      </c>
      <c r="J57" s="40">
        <f>IF(J29="",IF(J$6="휴일",0,8),IFERROR(INDEX(코드!$D$2:$D$107,MATCH(J29,코드!$A$2:$A$107,0)),0))</f>
        <v/>
      </c>
      <c r="K57" s="40">
        <f>IF(K29="",IF(K$6="휴일",0,8),IFERROR(INDEX(코드!$D$2:$D$107,MATCH(K29,코드!$A$2:$A$107,0)),0))</f>
        <v/>
      </c>
      <c r="L57" s="40">
        <f>IF(L29="",IF(L$6="휴일",0,8),IFERROR(INDEX(코드!$D$2:$D$107,MATCH(L29,코드!$A$2:$A$107,0)),0))</f>
        <v/>
      </c>
      <c r="M57" s="40">
        <f>IF(M29="",IF(M$6="휴일",0,8),IFERROR(INDEX(코드!$D$2:$D$107,MATCH(M29,코드!$A$2:$A$107,0)),0))</f>
        <v/>
      </c>
      <c r="N57" s="40">
        <f>IF(N29="",IF(N$6="휴일",0,8),IFERROR(INDEX(코드!$D$2:$D$107,MATCH(N29,코드!$A$2:$A$107,0)),0))</f>
        <v/>
      </c>
      <c r="O57" s="40">
        <f>IF(O29="",IF(O$6="휴일",0,8),IFERROR(INDEX(코드!$D$2:$D$107,MATCH(O29,코드!$A$2:$A$107,0)),0))</f>
        <v/>
      </c>
      <c r="P57" s="40">
        <f>IF(P29="",IF(P$6="휴일",0,8),IFERROR(INDEX(코드!$D$2:$D$107,MATCH(P29,코드!$A$2:$A$107,0)),0))</f>
        <v/>
      </c>
      <c r="Q57" s="40">
        <f>IF(Q29="",IF(Q$6="휴일",0,8),IFERROR(INDEX(코드!$D$2:$D$107,MATCH(Q29,코드!$A$2:$A$107,0)),0))</f>
        <v/>
      </c>
      <c r="R57" s="40">
        <f>IF(R29="",IF(R$6="휴일",0,8),IFERROR(INDEX(코드!$D$2:$D$107,MATCH(R29,코드!$A$2:$A$107,0)),0))</f>
        <v/>
      </c>
      <c r="S57" s="40">
        <f>IF(S29="",IF(S$6="휴일",0,8),IFERROR(INDEX(코드!$D$2:$D$107,MATCH(S29,코드!$A$2:$A$107,0)),0))</f>
        <v/>
      </c>
      <c r="T57" s="40">
        <f>IF(T29="",IF(T$6="휴일",0,8),IFERROR(INDEX(코드!$D$2:$D$107,MATCH(T29,코드!$A$2:$A$107,0)),0))</f>
        <v/>
      </c>
      <c r="U57" s="40">
        <f>IF(U29="",IF(U$6="휴일",0,8),IFERROR(INDEX(코드!$D$2:$D$107,MATCH(U29,코드!$A$2:$A$107,0)),0))</f>
        <v/>
      </c>
      <c r="V57" s="40">
        <f>IF(V29="",IF(V$6="휴일",0,8),IFERROR(INDEX(코드!$D$2:$D$107,MATCH(V29,코드!$A$2:$A$107,0)),0))</f>
        <v/>
      </c>
      <c r="W57" s="40">
        <f>IF(W29="",IF(W$6="휴일",0,8),IFERROR(INDEX(코드!$D$2:$D$107,MATCH(W29,코드!$A$2:$A$107,0)),0))</f>
        <v/>
      </c>
      <c r="X57" s="40">
        <f>IF(X29="",IF(X$6="휴일",0,8),IFERROR(INDEX(코드!$D$2:$D$107,MATCH(X29,코드!$A$2:$A$107,0)),0))</f>
        <v/>
      </c>
      <c r="Y57" s="40">
        <f>IF(Y29="",IF(Y$6="휴일",0,8),IFERROR(INDEX(코드!$D$2:$D$107,MATCH(Y29,코드!$A$2:$A$107,0)),0))</f>
        <v/>
      </c>
      <c r="Z57" s="40">
        <f>IF(Z29="",IF(Z$6="휴일",0,8),IFERROR(INDEX(코드!$D$2:$D$107,MATCH(Z29,코드!$A$2:$A$107,0)),0))</f>
        <v/>
      </c>
      <c r="AA57" s="40">
        <f>IF(AA29="",IF(AA$6="휴일",0,8),IFERROR(INDEX(코드!$D$2:$D$107,MATCH(AA29,코드!$A$2:$A$107,0)),0))</f>
        <v/>
      </c>
      <c r="AB57" s="40">
        <f>IF(AB29="",IF(AB$6="휴일",0,8),IFERROR(INDEX(코드!$D$2:$D$107,MATCH(AB29,코드!$A$2:$A$107,0)),0))</f>
        <v/>
      </c>
      <c r="AC57" s="40">
        <f>IF(AC29="",IF(AC$6="휴일",0,8),IFERROR(INDEX(코드!$D$2:$D$107,MATCH(AC29,코드!$A$2:$A$107,0)),0))</f>
        <v/>
      </c>
      <c r="AD57" s="40">
        <f>IF(AD29="",IF(AD$6="휴일",0,8),IFERROR(INDEX(코드!$D$2:$D$107,MATCH(AD29,코드!$A$2:$A$107,0)),0))</f>
        <v/>
      </c>
      <c r="AE57" s="40">
        <f>IF(AE29="",IF(AE$6="휴일",0,8),IFERROR(INDEX(코드!$D$2:$D$107,MATCH(AE29,코드!$A$2:$A$107,0)),0))</f>
        <v/>
      </c>
      <c r="AF57" s="40">
        <f>IF(AF29="",IF(AF$6="휴일",0,8),IFERROR(INDEX(코드!$D$2:$D$107,MATCH(AF29,코드!$A$2:$A$107,0)),0))</f>
        <v/>
      </c>
      <c r="AG57" s="40">
        <f>IF(AG29="",IF(AG$6="휴일",0,8),IFERROR(INDEX(코드!$D$2:$D$107,MATCH(AG29,코드!$A$2:$A$107,0)),0))</f>
        <v/>
      </c>
      <c r="AH57" s="40">
        <f>IF(AH29="",IF(AH$6="휴일",0,8),IFERROR(INDEX(코드!$D$2:$D$107,MATCH(AH29,코드!$A$2:$A$107,0)),0))</f>
        <v/>
      </c>
    </row>
    <row r="58">
      <c r="A58" s="15">
        <f>IF(명부!A24="","",명부!A24)</f>
        <v/>
      </c>
      <c r="B58" s="16">
        <f>IF(명부!C24="","",명부!C24)</f>
        <v/>
      </c>
      <c r="C58" s="17">
        <f>IF(명부!E24="","",명부!E24)</f>
        <v/>
      </c>
      <c r="D58" s="40">
        <f>IF(D30="",IF(D$6="휴일",0,8),IFERROR(INDEX(코드!$D$2:$D$107,MATCH(D30,코드!$A$2:$A$107,0)),0))</f>
        <v/>
      </c>
      <c r="E58" s="40">
        <f>IF(E30="",IF(E$6="휴일",0,8),IFERROR(INDEX(코드!$D$2:$D$107,MATCH(E30,코드!$A$2:$A$107,0)),0))</f>
        <v/>
      </c>
      <c r="F58" s="40">
        <f>IF(F30="",IF(F$6="휴일",0,8),IFERROR(INDEX(코드!$D$2:$D$107,MATCH(F30,코드!$A$2:$A$107,0)),0))</f>
        <v/>
      </c>
      <c r="G58" s="40">
        <f>IF(G30="",IF(G$6="휴일",0,8),IFERROR(INDEX(코드!$D$2:$D$107,MATCH(G30,코드!$A$2:$A$107,0)),0))</f>
        <v/>
      </c>
      <c r="H58" s="40">
        <f>IF(H30="",IF(H$6="휴일",0,8),IFERROR(INDEX(코드!$D$2:$D$107,MATCH(H30,코드!$A$2:$A$107,0)),0))</f>
        <v/>
      </c>
      <c r="I58" s="40">
        <f>IF(I30="",IF(I$6="휴일",0,8),IFERROR(INDEX(코드!$D$2:$D$107,MATCH(I30,코드!$A$2:$A$107,0)),0))</f>
        <v/>
      </c>
      <c r="J58" s="40">
        <f>IF(J30="",IF(J$6="휴일",0,8),IFERROR(INDEX(코드!$D$2:$D$107,MATCH(J30,코드!$A$2:$A$107,0)),0))</f>
        <v/>
      </c>
      <c r="K58" s="40">
        <f>IF(K30="",IF(K$6="휴일",0,8),IFERROR(INDEX(코드!$D$2:$D$107,MATCH(K30,코드!$A$2:$A$107,0)),0))</f>
        <v/>
      </c>
      <c r="L58" s="40">
        <f>IF(L30="",IF(L$6="휴일",0,8),IFERROR(INDEX(코드!$D$2:$D$107,MATCH(L30,코드!$A$2:$A$107,0)),0))</f>
        <v/>
      </c>
      <c r="M58" s="40">
        <f>IF(M30="",IF(M$6="휴일",0,8),IFERROR(INDEX(코드!$D$2:$D$107,MATCH(M30,코드!$A$2:$A$107,0)),0))</f>
        <v/>
      </c>
      <c r="N58" s="40">
        <f>IF(N30="",IF(N$6="휴일",0,8),IFERROR(INDEX(코드!$D$2:$D$107,MATCH(N30,코드!$A$2:$A$107,0)),0))</f>
        <v/>
      </c>
      <c r="O58" s="40">
        <f>IF(O30="",IF(O$6="휴일",0,8),IFERROR(INDEX(코드!$D$2:$D$107,MATCH(O30,코드!$A$2:$A$107,0)),0))</f>
        <v/>
      </c>
      <c r="P58" s="40">
        <f>IF(P30="",IF(P$6="휴일",0,8),IFERROR(INDEX(코드!$D$2:$D$107,MATCH(P30,코드!$A$2:$A$107,0)),0))</f>
        <v/>
      </c>
      <c r="Q58" s="40">
        <f>IF(Q30="",IF(Q$6="휴일",0,8),IFERROR(INDEX(코드!$D$2:$D$107,MATCH(Q30,코드!$A$2:$A$107,0)),0))</f>
        <v/>
      </c>
      <c r="R58" s="40">
        <f>IF(R30="",IF(R$6="휴일",0,8),IFERROR(INDEX(코드!$D$2:$D$107,MATCH(R30,코드!$A$2:$A$107,0)),0))</f>
        <v/>
      </c>
      <c r="S58" s="40">
        <f>IF(S30="",IF(S$6="휴일",0,8),IFERROR(INDEX(코드!$D$2:$D$107,MATCH(S30,코드!$A$2:$A$107,0)),0))</f>
        <v/>
      </c>
      <c r="T58" s="40">
        <f>IF(T30="",IF(T$6="휴일",0,8),IFERROR(INDEX(코드!$D$2:$D$107,MATCH(T30,코드!$A$2:$A$107,0)),0))</f>
        <v/>
      </c>
      <c r="U58" s="40">
        <f>IF(U30="",IF(U$6="휴일",0,8),IFERROR(INDEX(코드!$D$2:$D$107,MATCH(U30,코드!$A$2:$A$107,0)),0))</f>
        <v/>
      </c>
      <c r="V58" s="40">
        <f>IF(V30="",IF(V$6="휴일",0,8),IFERROR(INDEX(코드!$D$2:$D$107,MATCH(V30,코드!$A$2:$A$107,0)),0))</f>
        <v/>
      </c>
      <c r="W58" s="40">
        <f>IF(W30="",IF(W$6="휴일",0,8),IFERROR(INDEX(코드!$D$2:$D$107,MATCH(W30,코드!$A$2:$A$107,0)),0))</f>
        <v/>
      </c>
      <c r="X58" s="40">
        <f>IF(X30="",IF(X$6="휴일",0,8),IFERROR(INDEX(코드!$D$2:$D$107,MATCH(X30,코드!$A$2:$A$107,0)),0))</f>
        <v/>
      </c>
      <c r="Y58" s="40">
        <f>IF(Y30="",IF(Y$6="휴일",0,8),IFERROR(INDEX(코드!$D$2:$D$107,MATCH(Y30,코드!$A$2:$A$107,0)),0))</f>
        <v/>
      </c>
      <c r="Z58" s="40">
        <f>IF(Z30="",IF(Z$6="휴일",0,8),IFERROR(INDEX(코드!$D$2:$D$107,MATCH(Z30,코드!$A$2:$A$107,0)),0))</f>
        <v/>
      </c>
      <c r="AA58" s="40">
        <f>IF(AA30="",IF(AA$6="휴일",0,8),IFERROR(INDEX(코드!$D$2:$D$107,MATCH(AA30,코드!$A$2:$A$107,0)),0))</f>
        <v/>
      </c>
      <c r="AB58" s="40">
        <f>IF(AB30="",IF(AB$6="휴일",0,8),IFERROR(INDEX(코드!$D$2:$D$107,MATCH(AB30,코드!$A$2:$A$107,0)),0))</f>
        <v/>
      </c>
      <c r="AC58" s="40">
        <f>IF(AC30="",IF(AC$6="휴일",0,8),IFERROR(INDEX(코드!$D$2:$D$107,MATCH(AC30,코드!$A$2:$A$107,0)),0))</f>
        <v/>
      </c>
      <c r="AD58" s="40">
        <f>IF(AD30="",IF(AD$6="휴일",0,8),IFERROR(INDEX(코드!$D$2:$D$107,MATCH(AD30,코드!$A$2:$A$107,0)),0))</f>
        <v/>
      </c>
      <c r="AE58" s="40">
        <f>IF(AE30="",IF(AE$6="휴일",0,8),IFERROR(INDEX(코드!$D$2:$D$107,MATCH(AE30,코드!$A$2:$A$107,0)),0))</f>
        <v/>
      </c>
      <c r="AF58" s="40">
        <f>IF(AF30="",IF(AF$6="휴일",0,8),IFERROR(INDEX(코드!$D$2:$D$107,MATCH(AF30,코드!$A$2:$A$107,0)),0))</f>
        <v/>
      </c>
      <c r="AG58" s="40">
        <f>IF(AG30="",IF(AG$6="휴일",0,8),IFERROR(INDEX(코드!$D$2:$D$107,MATCH(AG30,코드!$A$2:$A$107,0)),0))</f>
        <v/>
      </c>
      <c r="AH58" s="40">
        <f>IF(AH30="",IF(AH$6="휴일",0,8),IFERROR(INDEX(코드!$D$2:$D$107,MATCH(AH30,코드!$A$2:$A$107,0)),0))</f>
        <v/>
      </c>
    </row>
    <row r="59">
      <c r="A59" s="15">
        <f>IF(명부!A25="","",명부!A25)</f>
        <v/>
      </c>
      <c r="B59" s="16">
        <f>IF(명부!C25="","",명부!C25)</f>
        <v/>
      </c>
      <c r="C59" s="17">
        <f>IF(명부!E25="","",명부!E25)</f>
        <v/>
      </c>
      <c r="D59" s="40">
        <f>IF(D31="",IF(D$6="휴일",0,8),IFERROR(INDEX(코드!$D$2:$D$107,MATCH(D31,코드!$A$2:$A$107,0)),0))</f>
        <v/>
      </c>
      <c r="E59" s="40">
        <f>IF(E31="",IF(E$6="휴일",0,8),IFERROR(INDEX(코드!$D$2:$D$107,MATCH(E31,코드!$A$2:$A$107,0)),0))</f>
        <v/>
      </c>
      <c r="F59" s="40">
        <f>IF(F31="",IF(F$6="휴일",0,8),IFERROR(INDEX(코드!$D$2:$D$107,MATCH(F31,코드!$A$2:$A$107,0)),0))</f>
        <v/>
      </c>
      <c r="G59" s="40">
        <f>IF(G31="",IF(G$6="휴일",0,8),IFERROR(INDEX(코드!$D$2:$D$107,MATCH(G31,코드!$A$2:$A$107,0)),0))</f>
        <v/>
      </c>
      <c r="H59" s="40">
        <f>IF(H31="",IF(H$6="휴일",0,8),IFERROR(INDEX(코드!$D$2:$D$107,MATCH(H31,코드!$A$2:$A$107,0)),0))</f>
        <v/>
      </c>
      <c r="I59" s="40">
        <f>IF(I31="",IF(I$6="휴일",0,8),IFERROR(INDEX(코드!$D$2:$D$107,MATCH(I31,코드!$A$2:$A$107,0)),0))</f>
        <v/>
      </c>
      <c r="J59" s="40">
        <f>IF(J31="",IF(J$6="휴일",0,8),IFERROR(INDEX(코드!$D$2:$D$107,MATCH(J31,코드!$A$2:$A$107,0)),0))</f>
        <v/>
      </c>
      <c r="K59" s="40">
        <f>IF(K31="",IF(K$6="휴일",0,8),IFERROR(INDEX(코드!$D$2:$D$107,MATCH(K31,코드!$A$2:$A$107,0)),0))</f>
        <v/>
      </c>
      <c r="L59" s="40">
        <f>IF(L31="",IF(L$6="휴일",0,8),IFERROR(INDEX(코드!$D$2:$D$107,MATCH(L31,코드!$A$2:$A$107,0)),0))</f>
        <v/>
      </c>
      <c r="M59" s="40">
        <f>IF(M31="",IF(M$6="휴일",0,8),IFERROR(INDEX(코드!$D$2:$D$107,MATCH(M31,코드!$A$2:$A$107,0)),0))</f>
        <v/>
      </c>
      <c r="N59" s="40">
        <f>IF(N31="",IF(N$6="휴일",0,8),IFERROR(INDEX(코드!$D$2:$D$107,MATCH(N31,코드!$A$2:$A$107,0)),0))</f>
        <v/>
      </c>
      <c r="O59" s="40">
        <f>IF(O31="",IF(O$6="휴일",0,8),IFERROR(INDEX(코드!$D$2:$D$107,MATCH(O31,코드!$A$2:$A$107,0)),0))</f>
        <v/>
      </c>
      <c r="P59" s="40">
        <f>IF(P31="",IF(P$6="휴일",0,8),IFERROR(INDEX(코드!$D$2:$D$107,MATCH(P31,코드!$A$2:$A$107,0)),0))</f>
        <v/>
      </c>
      <c r="Q59" s="40">
        <f>IF(Q31="",IF(Q$6="휴일",0,8),IFERROR(INDEX(코드!$D$2:$D$107,MATCH(Q31,코드!$A$2:$A$107,0)),0))</f>
        <v/>
      </c>
      <c r="R59" s="40">
        <f>IF(R31="",IF(R$6="휴일",0,8),IFERROR(INDEX(코드!$D$2:$D$107,MATCH(R31,코드!$A$2:$A$107,0)),0))</f>
        <v/>
      </c>
      <c r="S59" s="40">
        <f>IF(S31="",IF(S$6="휴일",0,8),IFERROR(INDEX(코드!$D$2:$D$107,MATCH(S31,코드!$A$2:$A$107,0)),0))</f>
        <v/>
      </c>
      <c r="T59" s="40">
        <f>IF(T31="",IF(T$6="휴일",0,8),IFERROR(INDEX(코드!$D$2:$D$107,MATCH(T31,코드!$A$2:$A$107,0)),0))</f>
        <v/>
      </c>
      <c r="U59" s="40">
        <f>IF(U31="",IF(U$6="휴일",0,8),IFERROR(INDEX(코드!$D$2:$D$107,MATCH(U31,코드!$A$2:$A$107,0)),0))</f>
        <v/>
      </c>
      <c r="V59" s="40">
        <f>IF(V31="",IF(V$6="휴일",0,8),IFERROR(INDEX(코드!$D$2:$D$107,MATCH(V31,코드!$A$2:$A$107,0)),0))</f>
        <v/>
      </c>
      <c r="W59" s="40">
        <f>IF(W31="",IF(W$6="휴일",0,8),IFERROR(INDEX(코드!$D$2:$D$107,MATCH(W31,코드!$A$2:$A$107,0)),0))</f>
        <v/>
      </c>
      <c r="X59" s="40">
        <f>IF(X31="",IF(X$6="휴일",0,8),IFERROR(INDEX(코드!$D$2:$D$107,MATCH(X31,코드!$A$2:$A$107,0)),0))</f>
        <v/>
      </c>
      <c r="Y59" s="40">
        <f>IF(Y31="",IF(Y$6="휴일",0,8),IFERROR(INDEX(코드!$D$2:$D$107,MATCH(Y31,코드!$A$2:$A$107,0)),0))</f>
        <v/>
      </c>
      <c r="Z59" s="40">
        <f>IF(Z31="",IF(Z$6="휴일",0,8),IFERROR(INDEX(코드!$D$2:$D$107,MATCH(Z31,코드!$A$2:$A$107,0)),0))</f>
        <v/>
      </c>
      <c r="AA59" s="40">
        <f>IF(AA31="",IF(AA$6="휴일",0,8),IFERROR(INDEX(코드!$D$2:$D$107,MATCH(AA31,코드!$A$2:$A$107,0)),0))</f>
        <v/>
      </c>
      <c r="AB59" s="40">
        <f>IF(AB31="",IF(AB$6="휴일",0,8),IFERROR(INDEX(코드!$D$2:$D$107,MATCH(AB31,코드!$A$2:$A$107,0)),0))</f>
        <v/>
      </c>
      <c r="AC59" s="40">
        <f>IF(AC31="",IF(AC$6="휴일",0,8),IFERROR(INDEX(코드!$D$2:$D$107,MATCH(AC31,코드!$A$2:$A$107,0)),0))</f>
        <v/>
      </c>
      <c r="AD59" s="40">
        <f>IF(AD31="",IF(AD$6="휴일",0,8),IFERROR(INDEX(코드!$D$2:$D$107,MATCH(AD31,코드!$A$2:$A$107,0)),0))</f>
        <v/>
      </c>
      <c r="AE59" s="40">
        <f>IF(AE31="",IF(AE$6="휴일",0,8),IFERROR(INDEX(코드!$D$2:$D$107,MATCH(AE31,코드!$A$2:$A$107,0)),0))</f>
        <v/>
      </c>
      <c r="AF59" s="40">
        <f>IF(AF31="",IF(AF$6="휴일",0,8),IFERROR(INDEX(코드!$D$2:$D$107,MATCH(AF31,코드!$A$2:$A$107,0)),0))</f>
        <v/>
      </c>
      <c r="AG59" s="40">
        <f>IF(AG31="",IF(AG$6="휴일",0,8),IFERROR(INDEX(코드!$D$2:$D$107,MATCH(AG31,코드!$A$2:$A$107,0)),0))</f>
        <v/>
      </c>
      <c r="AH59" s="40">
        <f>IF(AH31="",IF(AH$6="휴일",0,8),IFERROR(INDEX(코드!$D$2:$D$107,MATCH(AH31,코드!$A$2:$A$107,0)),0))</f>
        <v/>
      </c>
    </row>
    <row r="63">
      <c r="A63" s="20" t="inlineStr">
        <is>
          <t>휴가</t>
        </is>
      </c>
    </row>
    <row r="64">
      <c r="A64" s="15">
        <f>IF(명부!A2="","",명부!A2)</f>
        <v/>
      </c>
      <c r="B64" s="16">
        <f>IF(명부!C2="","",명부!C2)</f>
        <v/>
      </c>
      <c r="C64" s="17">
        <f>IF(명부!E2="","",명부!E2)</f>
        <v/>
      </c>
      <c r="D64" s="40">
        <f>IF(D8="",0,IFERROR(INDEX(코드!$E$2:$E$107,MATCH(D8,코드!$A$2:$A$107,0)),0))</f>
        <v/>
      </c>
      <c r="E64" s="40">
        <f>IF(E8="",0,IFERROR(INDEX(코드!$E$2:$E$107,MATCH(E8,코드!$A$2:$A$107,0)),0))</f>
        <v/>
      </c>
      <c r="F64" s="40">
        <f>IF(F8="",0,IFERROR(INDEX(코드!$E$2:$E$107,MATCH(F8,코드!$A$2:$A$107,0)),0))</f>
        <v/>
      </c>
      <c r="G64" s="40">
        <f>IF(G8="",0,IFERROR(INDEX(코드!$E$2:$E$107,MATCH(G8,코드!$A$2:$A$107,0)),0))</f>
        <v/>
      </c>
      <c r="H64" s="40">
        <f>IF(H8="",0,IFERROR(INDEX(코드!$E$2:$E$107,MATCH(H8,코드!$A$2:$A$107,0)),0))</f>
        <v/>
      </c>
      <c r="I64" s="40">
        <f>IF(I8="",0,IFERROR(INDEX(코드!$E$2:$E$107,MATCH(I8,코드!$A$2:$A$107,0)),0))</f>
        <v/>
      </c>
      <c r="J64" s="40">
        <f>IF(J8="",0,IFERROR(INDEX(코드!$E$2:$E$107,MATCH(J8,코드!$A$2:$A$107,0)),0))</f>
        <v/>
      </c>
      <c r="K64" s="40">
        <f>IF(K8="",0,IFERROR(INDEX(코드!$E$2:$E$107,MATCH(K8,코드!$A$2:$A$107,0)),0))</f>
        <v/>
      </c>
      <c r="L64" s="40">
        <f>IF(L8="",0,IFERROR(INDEX(코드!$E$2:$E$107,MATCH(L8,코드!$A$2:$A$107,0)),0))</f>
        <v/>
      </c>
      <c r="M64" s="40">
        <f>IF(M8="",0,IFERROR(INDEX(코드!$E$2:$E$107,MATCH(M8,코드!$A$2:$A$107,0)),0))</f>
        <v/>
      </c>
      <c r="N64" s="40">
        <f>IF(N8="",0,IFERROR(INDEX(코드!$E$2:$E$107,MATCH(N8,코드!$A$2:$A$107,0)),0))</f>
        <v/>
      </c>
      <c r="O64" s="40">
        <f>IF(O8="",0,IFERROR(INDEX(코드!$E$2:$E$107,MATCH(O8,코드!$A$2:$A$107,0)),0))</f>
        <v/>
      </c>
      <c r="P64" s="40">
        <f>IF(P8="",0,IFERROR(INDEX(코드!$E$2:$E$107,MATCH(P8,코드!$A$2:$A$107,0)),0))</f>
        <v/>
      </c>
      <c r="Q64" s="40">
        <f>IF(Q8="",0,IFERROR(INDEX(코드!$E$2:$E$107,MATCH(Q8,코드!$A$2:$A$107,0)),0))</f>
        <v/>
      </c>
      <c r="R64" s="40">
        <f>IF(R8="",0,IFERROR(INDEX(코드!$E$2:$E$107,MATCH(R8,코드!$A$2:$A$107,0)),0))</f>
        <v/>
      </c>
      <c r="S64" s="40">
        <f>IF(S8="",0,IFERROR(INDEX(코드!$E$2:$E$107,MATCH(S8,코드!$A$2:$A$107,0)),0))</f>
        <v/>
      </c>
      <c r="T64" s="40">
        <f>IF(T8="",0,IFERROR(INDEX(코드!$E$2:$E$107,MATCH(T8,코드!$A$2:$A$107,0)),0))</f>
        <v/>
      </c>
      <c r="U64" s="40">
        <f>IF(U8="",0,IFERROR(INDEX(코드!$E$2:$E$107,MATCH(U8,코드!$A$2:$A$107,0)),0))</f>
        <v/>
      </c>
      <c r="V64" s="40">
        <f>IF(V8="",0,IFERROR(INDEX(코드!$E$2:$E$107,MATCH(V8,코드!$A$2:$A$107,0)),0))</f>
        <v/>
      </c>
      <c r="W64" s="40">
        <f>IF(W8="",0,IFERROR(INDEX(코드!$E$2:$E$107,MATCH(W8,코드!$A$2:$A$107,0)),0))</f>
        <v/>
      </c>
      <c r="X64" s="40">
        <f>IF(X8="",0,IFERROR(INDEX(코드!$E$2:$E$107,MATCH(X8,코드!$A$2:$A$107,0)),0))</f>
        <v/>
      </c>
      <c r="Y64" s="40">
        <f>IF(Y8="",0,IFERROR(INDEX(코드!$E$2:$E$107,MATCH(Y8,코드!$A$2:$A$107,0)),0))</f>
        <v/>
      </c>
      <c r="Z64" s="40">
        <f>IF(Z8="",0,IFERROR(INDEX(코드!$E$2:$E$107,MATCH(Z8,코드!$A$2:$A$107,0)),0))</f>
        <v/>
      </c>
      <c r="AA64" s="40">
        <f>IF(AA8="",0,IFERROR(INDEX(코드!$E$2:$E$107,MATCH(AA8,코드!$A$2:$A$107,0)),0))</f>
        <v/>
      </c>
      <c r="AB64" s="40">
        <f>IF(AB8="",0,IFERROR(INDEX(코드!$E$2:$E$107,MATCH(AB8,코드!$A$2:$A$107,0)),0))</f>
        <v/>
      </c>
      <c r="AC64" s="40">
        <f>IF(AC8="",0,IFERROR(INDEX(코드!$E$2:$E$107,MATCH(AC8,코드!$A$2:$A$107,0)),0))</f>
        <v/>
      </c>
      <c r="AD64" s="40">
        <f>IF(AD8="",0,IFERROR(INDEX(코드!$E$2:$E$107,MATCH(AD8,코드!$A$2:$A$107,0)),0))</f>
        <v/>
      </c>
      <c r="AE64" s="40">
        <f>IF(AE8="",0,IFERROR(INDEX(코드!$E$2:$E$107,MATCH(AE8,코드!$A$2:$A$107,0)),0))</f>
        <v/>
      </c>
      <c r="AF64" s="40">
        <f>IF(AF8="",0,IFERROR(INDEX(코드!$E$2:$E$107,MATCH(AF8,코드!$A$2:$A$107,0)),0))</f>
        <v/>
      </c>
      <c r="AG64" s="40">
        <f>IF(AG8="",0,IFERROR(INDEX(코드!$E$2:$E$107,MATCH(AG8,코드!$A$2:$A$107,0)),0))</f>
        <v/>
      </c>
      <c r="AH64" s="40">
        <f>IF(AH8="",0,IFERROR(INDEX(코드!$E$2:$E$107,MATCH(AH8,코드!$A$2:$A$107,0)),0))</f>
        <v/>
      </c>
    </row>
    <row r="65">
      <c r="A65" s="15">
        <f>IF(명부!A3="","",명부!A3)</f>
        <v/>
      </c>
      <c r="B65" s="16">
        <f>IF(명부!C3="","",명부!C3)</f>
        <v/>
      </c>
      <c r="C65" s="17">
        <f>IF(명부!E3="","",명부!E3)</f>
        <v/>
      </c>
      <c r="D65" s="40">
        <f>IF(D9="",0,IFERROR(INDEX(코드!$E$2:$E$107,MATCH(D9,코드!$A$2:$A$107,0)),0))</f>
        <v/>
      </c>
      <c r="E65" s="40">
        <f>IF(E9="",0,IFERROR(INDEX(코드!$E$2:$E$107,MATCH(E9,코드!$A$2:$A$107,0)),0))</f>
        <v/>
      </c>
      <c r="F65" s="40">
        <f>IF(F9="",0,IFERROR(INDEX(코드!$E$2:$E$107,MATCH(F9,코드!$A$2:$A$107,0)),0))</f>
        <v/>
      </c>
      <c r="G65" s="40">
        <f>IF(G9="",0,IFERROR(INDEX(코드!$E$2:$E$107,MATCH(G9,코드!$A$2:$A$107,0)),0))</f>
        <v/>
      </c>
      <c r="H65" s="40">
        <f>IF(H9="",0,IFERROR(INDEX(코드!$E$2:$E$107,MATCH(H9,코드!$A$2:$A$107,0)),0))</f>
        <v/>
      </c>
      <c r="I65" s="40">
        <f>IF(I9="",0,IFERROR(INDEX(코드!$E$2:$E$107,MATCH(I9,코드!$A$2:$A$107,0)),0))</f>
        <v/>
      </c>
      <c r="J65" s="40">
        <f>IF(J9="",0,IFERROR(INDEX(코드!$E$2:$E$107,MATCH(J9,코드!$A$2:$A$107,0)),0))</f>
        <v/>
      </c>
      <c r="K65" s="40">
        <f>IF(K9="",0,IFERROR(INDEX(코드!$E$2:$E$107,MATCH(K9,코드!$A$2:$A$107,0)),0))</f>
        <v/>
      </c>
      <c r="L65" s="40">
        <f>IF(L9="",0,IFERROR(INDEX(코드!$E$2:$E$107,MATCH(L9,코드!$A$2:$A$107,0)),0))</f>
        <v/>
      </c>
      <c r="M65" s="40">
        <f>IF(M9="",0,IFERROR(INDEX(코드!$E$2:$E$107,MATCH(M9,코드!$A$2:$A$107,0)),0))</f>
        <v/>
      </c>
      <c r="N65" s="40">
        <f>IF(N9="",0,IFERROR(INDEX(코드!$E$2:$E$107,MATCH(N9,코드!$A$2:$A$107,0)),0))</f>
        <v/>
      </c>
      <c r="O65" s="40">
        <f>IF(O9="",0,IFERROR(INDEX(코드!$E$2:$E$107,MATCH(O9,코드!$A$2:$A$107,0)),0))</f>
        <v/>
      </c>
      <c r="P65" s="40">
        <f>IF(P9="",0,IFERROR(INDEX(코드!$E$2:$E$107,MATCH(P9,코드!$A$2:$A$107,0)),0))</f>
        <v/>
      </c>
      <c r="Q65" s="40">
        <f>IF(Q9="",0,IFERROR(INDEX(코드!$E$2:$E$107,MATCH(Q9,코드!$A$2:$A$107,0)),0))</f>
        <v/>
      </c>
      <c r="R65" s="40">
        <f>IF(R9="",0,IFERROR(INDEX(코드!$E$2:$E$107,MATCH(R9,코드!$A$2:$A$107,0)),0))</f>
        <v/>
      </c>
      <c r="S65" s="40">
        <f>IF(S9="",0,IFERROR(INDEX(코드!$E$2:$E$107,MATCH(S9,코드!$A$2:$A$107,0)),0))</f>
        <v/>
      </c>
      <c r="T65" s="40">
        <f>IF(T9="",0,IFERROR(INDEX(코드!$E$2:$E$107,MATCH(T9,코드!$A$2:$A$107,0)),0))</f>
        <v/>
      </c>
      <c r="U65" s="40">
        <f>IF(U9="",0,IFERROR(INDEX(코드!$E$2:$E$107,MATCH(U9,코드!$A$2:$A$107,0)),0))</f>
        <v/>
      </c>
      <c r="V65" s="40">
        <f>IF(V9="",0,IFERROR(INDEX(코드!$E$2:$E$107,MATCH(V9,코드!$A$2:$A$107,0)),0))</f>
        <v/>
      </c>
      <c r="W65" s="40">
        <f>IF(W9="",0,IFERROR(INDEX(코드!$E$2:$E$107,MATCH(W9,코드!$A$2:$A$107,0)),0))</f>
        <v/>
      </c>
      <c r="X65" s="40">
        <f>IF(X9="",0,IFERROR(INDEX(코드!$E$2:$E$107,MATCH(X9,코드!$A$2:$A$107,0)),0))</f>
        <v/>
      </c>
      <c r="Y65" s="40">
        <f>IF(Y9="",0,IFERROR(INDEX(코드!$E$2:$E$107,MATCH(Y9,코드!$A$2:$A$107,0)),0))</f>
        <v/>
      </c>
      <c r="Z65" s="40">
        <f>IF(Z9="",0,IFERROR(INDEX(코드!$E$2:$E$107,MATCH(Z9,코드!$A$2:$A$107,0)),0))</f>
        <v/>
      </c>
      <c r="AA65" s="40">
        <f>IF(AA9="",0,IFERROR(INDEX(코드!$E$2:$E$107,MATCH(AA9,코드!$A$2:$A$107,0)),0))</f>
        <v/>
      </c>
      <c r="AB65" s="40">
        <f>IF(AB9="",0,IFERROR(INDEX(코드!$E$2:$E$107,MATCH(AB9,코드!$A$2:$A$107,0)),0))</f>
        <v/>
      </c>
      <c r="AC65" s="40">
        <f>IF(AC9="",0,IFERROR(INDEX(코드!$E$2:$E$107,MATCH(AC9,코드!$A$2:$A$107,0)),0))</f>
        <v/>
      </c>
      <c r="AD65" s="40">
        <f>IF(AD9="",0,IFERROR(INDEX(코드!$E$2:$E$107,MATCH(AD9,코드!$A$2:$A$107,0)),0))</f>
        <v/>
      </c>
      <c r="AE65" s="40">
        <f>IF(AE9="",0,IFERROR(INDEX(코드!$E$2:$E$107,MATCH(AE9,코드!$A$2:$A$107,0)),0))</f>
        <v/>
      </c>
      <c r="AF65" s="40">
        <f>IF(AF9="",0,IFERROR(INDEX(코드!$E$2:$E$107,MATCH(AF9,코드!$A$2:$A$107,0)),0))</f>
        <v/>
      </c>
      <c r="AG65" s="40">
        <f>IF(AG9="",0,IFERROR(INDEX(코드!$E$2:$E$107,MATCH(AG9,코드!$A$2:$A$107,0)),0))</f>
        <v/>
      </c>
      <c r="AH65" s="40">
        <f>IF(AH9="",0,IFERROR(INDEX(코드!$E$2:$E$107,MATCH(AH9,코드!$A$2:$A$107,0)),0))</f>
        <v/>
      </c>
    </row>
    <row r="66">
      <c r="A66" s="15">
        <f>IF(명부!A4="","",명부!A4)</f>
        <v/>
      </c>
      <c r="B66" s="16">
        <f>IF(명부!C4="","",명부!C4)</f>
        <v/>
      </c>
      <c r="C66" s="17">
        <f>IF(명부!E4="","",명부!E4)</f>
        <v/>
      </c>
      <c r="D66" s="40">
        <f>IF(D10="",0,IFERROR(INDEX(코드!$E$2:$E$107,MATCH(D10,코드!$A$2:$A$107,0)),0))</f>
        <v/>
      </c>
      <c r="E66" s="40">
        <f>IF(E10="",0,IFERROR(INDEX(코드!$E$2:$E$107,MATCH(E10,코드!$A$2:$A$107,0)),0))</f>
        <v/>
      </c>
      <c r="F66" s="40">
        <f>IF(F10="",0,IFERROR(INDEX(코드!$E$2:$E$107,MATCH(F10,코드!$A$2:$A$107,0)),0))</f>
        <v/>
      </c>
      <c r="G66" s="40">
        <f>IF(G10="",0,IFERROR(INDEX(코드!$E$2:$E$107,MATCH(G10,코드!$A$2:$A$107,0)),0))</f>
        <v/>
      </c>
      <c r="H66" s="40">
        <f>IF(H10="",0,IFERROR(INDEX(코드!$E$2:$E$107,MATCH(H10,코드!$A$2:$A$107,0)),0))</f>
        <v/>
      </c>
      <c r="I66" s="40">
        <f>IF(I10="",0,IFERROR(INDEX(코드!$E$2:$E$107,MATCH(I10,코드!$A$2:$A$107,0)),0))</f>
        <v/>
      </c>
      <c r="J66" s="40">
        <f>IF(J10="",0,IFERROR(INDEX(코드!$E$2:$E$107,MATCH(J10,코드!$A$2:$A$107,0)),0))</f>
        <v/>
      </c>
      <c r="K66" s="40">
        <f>IF(K10="",0,IFERROR(INDEX(코드!$E$2:$E$107,MATCH(K10,코드!$A$2:$A$107,0)),0))</f>
        <v/>
      </c>
      <c r="L66" s="40">
        <f>IF(L10="",0,IFERROR(INDEX(코드!$E$2:$E$107,MATCH(L10,코드!$A$2:$A$107,0)),0))</f>
        <v/>
      </c>
      <c r="M66" s="40">
        <f>IF(M10="",0,IFERROR(INDEX(코드!$E$2:$E$107,MATCH(M10,코드!$A$2:$A$107,0)),0))</f>
        <v/>
      </c>
      <c r="N66" s="40">
        <f>IF(N10="",0,IFERROR(INDEX(코드!$E$2:$E$107,MATCH(N10,코드!$A$2:$A$107,0)),0))</f>
        <v/>
      </c>
      <c r="O66" s="40">
        <f>IF(O10="",0,IFERROR(INDEX(코드!$E$2:$E$107,MATCH(O10,코드!$A$2:$A$107,0)),0))</f>
        <v/>
      </c>
      <c r="P66" s="40">
        <f>IF(P10="",0,IFERROR(INDEX(코드!$E$2:$E$107,MATCH(P10,코드!$A$2:$A$107,0)),0))</f>
        <v/>
      </c>
      <c r="Q66" s="40">
        <f>IF(Q10="",0,IFERROR(INDEX(코드!$E$2:$E$107,MATCH(Q10,코드!$A$2:$A$107,0)),0))</f>
        <v/>
      </c>
      <c r="R66" s="40">
        <f>IF(R10="",0,IFERROR(INDEX(코드!$E$2:$E$107,MATCH(R10,코드!$A$2:$A$107,0)),0))</f>
        <v/>
      </c>
      <c r="S66" s="40">
        <f>IF(S10="",0,IFERROR(INDEX(코드!$E$2:$E$107,MATCH(S10,코드!$A$2:$A$107,0)),0))</f>
        <v/>
      </c>
      <c r="T66" s="40">
        <f>IF(T10="",0,IFERROR(INDEX(코드!$E$2:$E$107,MATCH(T10,코드!$A$2:$A$107,0)),0))</f>
        <v/>
      </c>
      <c r="U66" s="40">
        <f>IF(U10="",0,IFERROR(INDEX(코드!$E$2:$E$107,MATCH(U10,코드!$A$2:$A$107,0)),0))</f>
        <v/>
      </c>
      <c r="V66" s="40">
        <f>IF(V10="",0,IFERROR(INDEX(코드!$E$2:$E$107,MATCH(V10,코드!$A$2:$A$107,0)),0))</f>
        <v/>
      </c>
      <c r="W66" s="40">
        <f>IF(W10="",0,IFERROR(INDEX(코드!$E$2:$E$107,MATCH(W10,코드!$A$2:$A$107,0)),0))</f>
        <v/>
      </c>
      <c r="X66" s="40">
        <f>IF(X10="",0,IFERROR(INDEX(코드!$E$2:$E$107,MATCH(X10,코드!$A$2:$A$107,0)),0))</f>
        <v/>
      </c>
      <c r="Y66" s="40">
        <f>IF(Y10="",0,IFERROR(INDEX(코드!$E$2:$E$107,MATCH(Y10,코드!$A$2:$A$107,0)),0))</f>
        <v/>
      </c>
      <c r="Z66" s="40">
        <f>IF(Z10="",0,IFERROR(INDEX(코드!$E$2:$E$107,MATCH(Z10,코드!$A$2:$A$107,0)),0))</f>
        <v/>
      </c>
      <c r="AA66" s="40">
        <f>IF(AA10="",0,IFERROR(INDEX(코드!$E$2:$E$107,MATCH(AA10,코드!$A$2:$A$107,0)),0))</f>
        <v/>
      </c>
      <c r="AB66" s="40">
        <f>IF(AB10="",0,IFERROR(INDEX(코드!$E$2:$E$107,MATCH(AB10,코드!$A$2:$A$107,0)),0))</f>
        <v/>
      </c>
      <c r="AC66" s="40">
        <f>IF(AC10="",0,IFERROR(INDEX(코드!$E$2:$E$107,MATCH(AC10,코드!$A$2:$A$107,0)),0))</f>
        <v/>
      </c>
      <c r="AD66" s="40">
        <f>IF(AD10="",0,IFERROR(INDEX(코드!$E$2:$E$107,MATCH(AD10,코드!$A$2:$A$107,0)),0))</f>
        <v/>
      </c>
      <c r="AE66" s="40">
        <f>IF(AE10="",0,IFERROR(INDEX(코드!$E$2:$E$107,MATCH(AE10,코드!$A$2:$A$107,0)),0))</f>
        <v/>
      </c>
      <c r="AF66" s="40">
        <f>IF(AF10="",0,IFERROR(INDEX(코드!$E$2:$E$107,MATCH(AF10,코드!$A$2:$A$107,0)),0))</f>
        <v/>
      </c>
      <c r="AG66" s="40">
        <f>IF(AG10="",0,IFERROR(INDEX(코드!$E$2:$E$107,MATCH(AG10,코드!$A$2:$A$107,0)),0))</f>
        <v/>
      </c>
      <c r="AH66" s="40">
        <f>IF(AH10="",0,IFERROR(INDEX(코드!$E$2:$E$107,MATCH(AH10,코드!$A$2:$A$107,0)),0))</f>
        <v/>
      </c>
    </row>
    <row r="67">
      <c r="A67" s="15">
        <f>IF(명부!A5="","",명부!A5)</f>
        <v/>
      </c>
      <c r="B67" s="16">
        <f>IF(명부!C5="","",명부!C5)</f>
        <v/>
      </c>
      <c r="C67" s="17">
        <f>IF(명부!E5="","",명부!E5)</f>
        <v/>
      </c>
      <c r="D67" s="40">
        <f>IF(D11="",0,IFERROR(INDEX(코드!$E$2:$E$107,MATCH(D11,코드!$A$2:$A$107,0)),0))</f>
        <v/>
      </c>
      <c r="E67" s="40">
        <f>IF(E11="",0,IFERROR(INDEX(코드!$E$2:$E$107,MATCH(E11,코드!$A$2:$A$107,0)),0))</f>
        <v/>
      </c>
      <c r="F67" s="40">
        <f>IF(F11="",0,IFERROR(INDEX(코드!$E$2:$E$107,MATCH(F11,코드!$A$2:$A$107,0)),0))</f>
        <v/>
      </c>
      <c r="G67" s="40">
        <f>IF(G11="",0,IFERROR(INDEX(코드!$E$2:$E$107,MATCH(G11,코드!$A$2:$A$107,0)),0))</f>
        <v/>
      </c>
      <c r="H67" s="40">
        <f>IF(H11="",0,IFERROR(INDEX(코드!$E$2:$E$107,MATCH(H11,코드!$A$2:$A$107,0)),0))</f>
        <v/>
      </c>
      <c r="I67" s="40">
        <f>IF(I11="",0,IFERROR(INDEX(코드!$E$2:$E$107,MATCH(I11,코드!$A$2:$A$107,0)),0))</f>
        <v/>
      </c>
      <c r="J67" s="40">
        <f>IF(J11="",0,IFERROR(INDEX(코드!$E$2:$E$107,MATCH(J11,코드!$A$2:$A$107,0)),0))</f>
        <v/>
      </c>
      <c r="K67" s="40">
        <f>IF(K11="",0,IFERROR(INDEX(코드!$E$2:$E$107,MATCH(K11,코드!$A$2:$A$107,0)),0))</f>
        <v/>
      </c>
      <c r="L67" s="40">
        <f>IF(L11="",0,IFERROR(INDEX(코드!$E$2:$E$107,MATCH(L11,코드!$A$2:$A$107,0)),0))</f>
        <v/>
      </c>
      <c r="M67" s="40">
        <f>IF(M11="",0,IFERROR(INDEX(코드!$E$2:$E$107,MATCH(M11,코드!$A$2:$A$107,0)),0))</f>
        <v/>
      </c>
      <c r="N67" s="40">
        <f>IF(N11="",0,IFERROR(INDEX(코드!$E$2:$E$107,MATCH(N11,코드!$A$2:$A$107,0)),0))</f>
        <v/>
      </c>
      <c r="O67" s="40">
        <f>IF(O11="",0,IFERROR(INDEX(코드!$E$2:$E$107,MATCH(O11,코드!$A$2:$A$107,0)),0))</f>
        <v/>
      </c>
      <c r="P67" s="40">
        <f>IF(P11="",0,IFERROR(INDEX(코드!$E$2:$E$107,MATCH(P11,코드!$A$2:$A$107,0)),0))</f>
        <v/>
      </c>
      <c r="Q67" s="40">
        <f>IF(Q11="",0,IFERROR(INDEX(코드!$E$2:$E$107,MATCH(Q11,코드!$A$2:$A$107,0)),0))</f>
        <v/>
      </c>
      <c r="R67" s="40">
        <f>IF(R11="",0,IFERROR(INDEX(코드!$E$2:$E$107,MATCH(R11,코드!$A$2:$A$107,0)),0))</f>
        <v/>
      </c>
      <c r="S67" s="40">
        <f>IF(S11="",0,IFERROR(INDEX(코드!$E$2:$E$107,MATCH(S11,코드!$A$2:$A$107,0)),0))</f>
        <v/>
      </c>
      <c r="T67" s="40">
        <f>IF(T11="",0,IFERROR(INDEX(코드!$E$2:$E$107,MATCH(T11,코드!$A$2:$A$107,0)),0))</f>
        <v/>
      </c>
      <c r="U67" s="40">
        <f>IF(U11="",0,IFERROR(INDEX(코드!$E$2:$E$107,MATCH(U11,코드!$A$2:$A$107,0)),0))</f>
        <v/>
      </c>
      <c r="V67" s="40">
        <f>IF(V11="",0,IFERROR(INDEX(코드!$E$2:$E$107,MATCH(V11,코드!$A$2:$A$107,0)),0))</f>
        <v/>
      </c>
      <c r="W67" s="40">
        <f>IF(W11="",0,IFERROR(INDEX(코드!$E$2:$E$107,MATCH(W11,코드!$A$2:$A$107,0)),0))</f>
        <v/>
      </c>
      <c r="X67" s="40">
        <f>IF(X11="",0,IFERROR(INDEX(코드!$E$2:$E$107,MATCH(X11,코드!$A$2:$A$107,0)),0))</f>
        <v/>
      </c>
      <c r="Y67" s="40">
        <f>IF(Y11="",0,IFERROR(INDEX(코드!$E$2:$E$107,MATCH(Y11,코드!$A$2:$A$107,0)),0))</f>
        <v/>
      </c>
      <c r="Z67" s="40">
        <f>IF(Z11="",0,IFERROR(INDEX(코드!$E$2:$E$107,MATCH(Z11,코드!$A$2:$A$107,0)),0))</f>
        <v/>
      </c>
      <c r="AA67" s="40">
        <f>IF(AA11="",0,IFERROR(INDEX(코드!$E$2:$E$107,MATCH(AA11,코드!$A$2:$A$107,0)),0))</f>
        <v/>
      </c>
      <c r="AB67" s="40">
        <f>IF(AB11="",0,IFERROR(INDEX(코드!$E$2:$E$107,MATCH(AB11,코드!$A$2:$A$107,0)),0))</f>
        <v/>
      </c>
      <c r="AC67" s="40">
        <f>IF(AC11="",0,IFERROR(INDEX(코드!$E$2:$E$107,MATCH(AC11,코드!$A$2:$A$107,0)),0))</f>
        <v/>
      </c>
      <c r="AD67" s="40">
        <f>IF(AD11="",0,IFERROR(INDEX(코드!$E$2:$E$107,MATCH(AD11,코드!$A$2:$A$107,0)),0))</f>
        <v/>
      </c>
      <c r="AE67" s="40">
        <f>IF(AE11="",0,IFERROR(INDEX(코드!$E$2:$E$107,MATCH(AE11,코드!$A$2:$A$107,0)),0))</f>
        <v/>
      </c>
      <c r="AF67" s="40">
        <f>IF(AF11="",0,IFERROR(INDEX(코드!$E$2:$E$107,MATCH(AF11,코드!$A$2:$A$107,0)),0))</f>
        <v/>
      </c>
      <c r="AG67" s="40">
        <f>IF(AG11="",0,IFERROR(INDEX(코드!$E$2:$E$107,MATCH(AG11,코드!$A$2:$A$107,0)),0))</f>
        <v/>
      </c>
      <c r="AH67" s="40">
        <f>IF(AH11="",0,IFERROR(INDEX(코드!$E$2:$E$107,MATCH(AH11,코드!$A$2:$A$107,0)),0))</f>
        <v/>
      </c>
    </row>
    <row r="68">
      <c r="A68" s="15">
        <f>IF(명부!A6="","",명부!A6)</f>
        <v/>
      </c>
      <c r="B68" s="16">
        <f>IF(명부!C6="","",명부!C6)</f>
        <v/>
      </c>
      <c r="C68" s="17">
        <f>IF(명부!E6="","",명부!E6)</f>
        <v/>
      </c>
      <c r="D68" s="40">
        <f>IF(D12="",0,IFERROR(INDEX(코드!$E$2:$E$107,MATCH(D12,코드!$A$2:$A$107,0)),0))</f>
        <v/>
      </c>
      <c r="E68" s="40">
        <f>IF(E12="",0,IFERROR(INDEX(코드!$E$2:$E$107,MATCH(E12,코드!$A$2:$A$107,0)),0))</f>
        <v/>
      </c>
      <c r="F68" s="40">
        <f>IF(F12="",0,IFERROR(INDEX(코드!$E$2:$E$107,MATCH(F12,코드!$A$2:$A$107,0)),0))</f>
        <v/>
      </c>
      <c r="G68" s="40">
        <f>IF(G12="",0,IFERROR(INDEX(코드!$E$2:$E$107,MATCH(G12,코드!$A$2:$A$107,0)),0))</f>
        <v/>
      </c>
      <c r="H68" s="40">
        <f>IF(H12="",0,IFERROR(INDEX(코드!$E$2:$E$107,MATCH(H12,코드!$A$2:$A$107,0)),0))</f>
        <v/>
      </c>
      <c r="I68" s="40">
        <f>IF(I12="",0,IFERROR(INDEX(코드!$E$2:$E$107,MATCH(I12,코드!$A$2:$A$107,0)),0))</f>
        <v/>
      </c>
      <c r="J68" s="40">
        <f>IF(J12="",0,IFERROR(INDEX(코드!$E$2:$E$107,MATCH(J12,코드!$A$2:$A$107,0)),0))</f>
        <v/>
      </c>
      <c r="K68" s="40">
        <f>IF(K12="",0,IFERROR(INDEX(코드!$E$2:$E$107,MATCH(K12,코드!$A$2:$A$107,0)),0))</f>
        <v/>
      </c>
      <c r="L68" s="40">
        <f>IF(L12="",0,IFERROR(INDEX(코드!$E$2:$E$107,MATCH(L12,코드!$A$2:$A$107,0)),0))</f>
        <v/>
      </c>
      <c r="M68" s="40">
        <f>IF(M12="",0,IFERROR(INDEX(코드!$E$2:$E$107,MATCH(M12,코드!$A$2:$A$107,0)),0))</f>
        <v/>
      </c>
      <c r="N68" s="40">
        <f>IF(N12="",0,IFERROR(INDEX(코드!$E$2:$E$107,MATCH(N12,코드!$A$2:$A$107,0)),0))</f>
        <v/>
      </c>
      <c r="O68" s="40">
        <f>IF(O12="",0,IFERROR(INDEX(코드!$E$2:$E$107,MATCH(O12,코드!$A$2:$A$107,0)),0))</f>
        <v/>
      </c>
      <c r="P68" s="40">
        <f>IF(P12="",0,IFERROR(INDEX(코드!$E$2:$E$107,MATCH(P12,코드!$A$2:$A$107,0)),0))</f>
        <v/>
      </c>
      <c r="Q68" s="40">
        <f>IF(Q12="",0,IFERROR(INDEX(코드!$E$2:$E$107,MATCH(Q12,코드!$A$2:$A$107,0)),0))</f>
        <v/>
      </c>
      <c r="R68" s="40">
        <f>IF(R12="",0,IFERROR(INDEX(코드!$E$2:$E$107,MATCH(R12,코드!$A$2:$A$107,0)),0))</f>
        <v/>
      </c>
      <c r="S68" s="40">
        <f>IF(S12="",0,IFERROR(INDEX(코드!$E$2:$E$107,MATCH(S12,코드!$A$2:$A$107,0)),0))</f>
        <v/>
      </c>
      <c r="T68" s="40">
        <f>IF(T12="",0,IFERROR(INDEX(코드!$E$2:$E$107,MATCH(T12,코드!$A$2:$A$107,0)),0))</f>
        <v/>
      </c>
      <c r="U68" s="40">
        <f>IF(U12="",0,IFERROR(INDEX(코드!$E$2:$E$107,MATCH(U12,코드!$A$2:$A$107,0)),0))</f>
        <v/>
      </c>
      <c r="V68" s="40">
        <f>IF(V12="",0,IFERROR(INDEX(코드!$E$2:$E$107,MATCH(V12,코드!$A$2:$A$107,0)),0))</f>
        <v/>
      </c>
      <c r="W68" s="40">
        <f>IF(W12="",0,IFERROR(INDEX(코드!$E$2:$E$107,MATCH(W12,코드!$A$2:$A$107,0)),0))</f>
        <v/>
      </c>
      <c r="X68" s="40">
        <f>IF(X12="",0,IFERROR(INDEX(코드!$E$2:$E$107,MATCH(X12,코드!$A$2:$A$107,0)),0))</f>
        <v/>
      </c>
      <c r="Y68" s="40">
        <f>IF(Y12="",0,IFERROR(INDEX(코드!$E$2:$E$107,MATCH(Y12,코드!$A$2:$A$107,0)),0))</f>
        <v/>
      </c>
      <c r="Z68" s="40">
        <f>IF(Z12="",0,IFERROR(INDEX(코드!$E$2:$E$107,MATCH(Z12,코드!$A$2:$A$107,0)),0))</f>
        <v/>
      </c>
      <c r="AA68" s="40">
        <f>IF(AA12="",0,IFERROR(INDEX(코드!$E$2:$E$107,MATCH(AA12,코드!$A$2:$A$107,0)),0))</f>
        <v/>
      </c>
      <c r="AB68" s="40">
        <f>IF(AB12="",0,IFERROR(INDEX(코드!$E$2:$E$107,MATCH(AB12,코드!$A$2:$A$107,0)),0))</f>
        <v/>
      </c>
      <c r="AC68" s="40">
        <f>IF(AC12="",0,IFERROR(INDEX(코드!$E$2:$E$107,MATCH(AC12,코드!$A$2:$A$107,0)),0))</f>
        <v/>
      </c>
      <c r="AD68" s="40">
        <f>IF(AD12="",0,IFERROR(INDEX(코드!$E$2:$E$107,MATCH(AD12,코드!$A$2:$A$107,0)),0))</f>
        <v/>
      </c>
      <c r="AE68" s="40">
        <f>IF(AE12="",0,IFERROR(INDEX(코드!$E$2:$E$107,MATCH(AE12,코드!$A$2:$A$107,0)),0))</f>
        <v/>
      </c>
      <c r="AF68" s="40">
        <f>IF(AF12="",0,IFERROR(INDEX(코드!$E$2:$E$107,MATCH(AF12,코드!$A$2:$A$107,0)),0))</f>
        <v/>
      </c>
      <c r="AG68" s="40">
        <f>IF(AG12="",0,IFERROR(INDEX(코드!$E$2:$E$107,MATCH(AG12,코드!$A$2:$A$107,0)),0))</f>
        <v/>
      </c>
      <c r="AH68" s="40">
        <f>IF(AH12="",0,IFERROR(INDEX(코드!$E$2:$E$107,MATCH(AH12,코드!$A$2:$A$107,0)),0))</f>
        <v/>
      </c>
    </row>
    <row r="69">
      <c r="A69" s="15">
        <f>IF(명부!A7="","",명부!A7)</f>
        <v/>
      </c>
      <c r="B69" s="16">
        <f>IF(명부!C7="","",명부!C7)</f>
        <v/>
      </c>
      <c r="C69" s="17">
        <f>IF(명부!E7="","",명부!E7)</f>
        <v/>
      </c>
      <c r="D69" s="40">
        <f>IF(D13="",0,IFERROR(INDEX(코드!$E$2:$E$107,MATCH(D13,코드!$A$2:$A$107,0)),0))</f>
        <v/>
      </c>
      <c r="E69" s="40">
        <f>IF(E13="",0,IFERROR(INDEX(코드!$E$2:$E$107,MATCH(E13,코드!$A$2:$A$107,0)),0))</f>
        <v/>
      </c>
      <c r="F69" s="40">
        <f>IF(F13="",0,IFERROR(INDEX(코드!$E$2:$E$107,MATCH(F13,코드!$A$2:$A$107,0)),0))</f>
        <v/>
      </c>
      <c r="G69" s="40">
        <f>IF(G13="",0,IFERROR(INDEX(코드!$E$2:$E$107,MATCH(G13,코드!$A$2:$A$107,0)),0))</f>
        <v/>
      </c>
      <c r="H69" s="40">
        <f>IF(H13="",0,IFERROR(INDEX(코드!$E$2:$E$107,MATCH(H13,코드!$A$2:$A$107,0)),0))</f>
        <v/>
      </c>
      <c r="I69" s="40">
        <f>IF(I13="",0,IFERROR(INDEX(코드!$E$2:$E$107,MATCH(I13,코드!$A$2:$A$107,0)),0))</f>
        <v/>
      </c>
      <c r="J69" s="40">
        <f>IF(J13="",0,IFERROR(INDEX(코드!$E$2:$E$107,MATCH(J13,코드!$A$2:$A$107,0)),0))</f>
        <v/>
      </c>
      <c r="K69" s="40">
        <f>IF(K13="",0,IFERROR(INDEX(코드!$E$2:$E$107,MATCH(K13,코드!$A$2:$A$107,0)),0))</f>
        <v/>
      </c>
      <c r="L69" s="40">
        <f>IF(L13="",0,IFERROR(INDEX(코드!$E$2:$E$107,MATCH(L13,코드!$A$2:$A$107,0)),0))</f>
        <v/>
      </c>
      <c r="M69" s="40">
        <f>IF(M13="",0,IFERROR(INDEX(코드!$E$2:$E$107,MATCH(M13,코드!$A$2:$A$107,0)),0))</f>
        <v/>
      </c>
      <c r="N69" s="40">
        <f>IF(N13="",0,IFERROR(INDEX(코드!$E$2:$E$107,MATCH(N13,코드!$A$2:$A$107,0)),0))</f>
        <v/>
      </c>
      <c r="O69" s="40">
        <f>IF(O13="",0,IFERROR(INDEX(코드!$E$2:$E$107,MATCH(O13,코드!$A$2:$A$107,0)),0))</f>
        <v/>
      </c>
      <c r="P69" s="40">
        <f>IF(P13="",0,IFERROR(INDEX(코드!$E$2:$E$107,MATCH(P13,코드!$A$2:$A$107,0)),0))</f>
        <v/>
      </c>
      <c r="Q69" s="40">
        <f>IF(Q13="",0,IFERROR(INDEX(코드!$E$2:$E$107,MATCH(Q13,코드!$A$2:$A$107,0)),0))</f>
        <v/>
      </c>
      <c r="R69" s="40">
        <f>IF(R13="",0,IFERROR(INDEX(코드!$E$2:$E$107,MATCH(R13,코드!$A$2:$A$107,0)),0))</f>
        <v/>
      </c>
      <c r="S69" s="40">
        <f>IF(S13="",0,IFERROR(INDEX(코드!$E$2:$E$107,MATCH(S13,코드!$A$2:$A$107,0)),0))</f>
        <v/>
      </c>
      <c r="T69" s="40">
        <f>IF(T13="",0,IFERROR(INDEX(코드!$E$2:$E$107,MATCH(T13,코드!$A$2:$A$107,0)),0))</f>
        <v/>
      </c>
      <c r="U69" s="40">
        <f>IF(U13="",0,IFERROR(INDEX(코드!$E$2:$E$107,MATCH(U13,코드!$A$2:$A$107,0)),0))</f>
        <v/>
      </c>
      <c r="V69" s="40">
        <f>IF(V13="",0,IFERROR(INDEX(코드!$E$2:$E$107,MATCH(V13,코드!$A$2:$A$107,0)),0))</f>
        <v/>
      </c>
      <c r="W69" s="40">
        <f>IF(W13="",0,IFERROR(INDEX(코드!$E$2:$E$107,MATCH(W13,코드!$A$2:$A$107,0)),0))</f>
        <v/>
      </c>
      <c r="X69" s="40">
        <f>IF(X13="",0,IFERROR(INDEX(코드!$E$2:$E$107,MATCH(X13,코드!$A$2:$A$107,0)),0))</f>
        <v/>
      </c>
      <c r="Y69" s="40">
        <f>IF(Y13="",0,IFERROR(INDEX(코드!$E$2:$E$107,MATCH(Y13,코드!$A$2:$A$107,0)),0))</f>
        <v/>
      </c>
      <c r="Z69" s="40">
        <f>IF(Z13="",0,IFERROR(INDEX(코드!$E$2:$E$107,MATCH(Z13,코드!$A$2:$A$107,0)),0))</f>
        <v/>
      </c>
      <c r="AA69" s="40">
        <f>IF(AA13="",0,IFERROR(INDEX(코드!$E$2:$E$107,MATCH(AA13,코드!$A$2:$A$107,0)),0))</f>
        <v/>
      </c>
      <c r="AB69" s="40">
        <f>IF(AB13="",0,IFERROR(INDEX(코드!$E$2:$E$107,MATCH(AB13,코드!$A$2:$A$107,0)),0))</f>
        <v/>
      </c>
      <c r="AC69" s="40">
        <f>IF(AC13="",0,IFERROR(INDEX(코드!$E$2:$E$107,MATCH(AC13,코드!$A$2:$A$107,0)),0))</f>
        <v/>
      </c>
      <c r="AD69" s="40">
        <f>IF(AD13="",0,IFERROR(INDEX(코드!$E$2:$E$107,MATCH(AD13,코드!$A$2:$A$107,0)),0))</f>
        <v/>
      </c>
      <c r="AE69" s="40">
        <f>IF(AE13="",0,IFERROR(INDEX(코드!$E$2:$E$107,MATCH(AE13,코드!$A$2:$A$107,0)),0))</f>
        <v/>
      </c>
      <c r="AF69" s="40">
        <f>IF(AF13="",0,IFERROR(INDEX(코드!$E$2:$E$107,MATCH(AF13,코드!$A$2:$A$107,0)),0))</f>
        <v/>
      </c>
      <c r="AG69" s="40">
        <f>IF(AG13="",0,IFERROR(INDEX(코드!$E$2:$E$107,MATCH(AG13,코드!$A$2:$A$107,0)),0))</f>
        <v/>
      </c>
      <c r="AH69" s="40">
        <f>IF(AH13="",0,IFERROR(INDEX(코드!$E$2:$E$107,MATCH(AH13,코드!$A$2:$A$107,0)),0))</f>
        <v/>
      </c>
    </row>
    <row r="70">
      <c r="A70" s="15">
        <f>IF(명부!A8="","",명부!A8)</f>
        <v/>
      </c>
      <c r="B70" s="16">
        <f>IF(명부!C8="","",명부!C8)</f>
        <v/>
      </c>
      <c r="C70" s="17">
        <f>IF(명부!E8="","",명부!E8)</f>
        <v/>
      </c>
      <c r="D70" s="40">
        <f>IF(D14="",0,IFERROR(INDEX(코드!$E$2:$E$107,MATCH(D14,코드!$A$2:$A$107,0)),0))</f>
        <v/>
      </c>
      <c r="E70" s="40">
        <f>IF(E14="",0,IFERROR(INDEX(코드!$E$2:$E$107,MATCH(E14,코드!$A$2:$A$107,0)),0))</f>
        <v/>
      </c>
      <c r="F70" s="40">
        <f>IF(F14="",0,IFERROR(INDEX(코드!$E$2:$E$107,MATCH(F14,코드!$A$2:$A$107,0)),0))</f>
        <v/>
      </c>
      <c r="G70" s="40">
        <f>IF(G14="",0,IFERROR(INDEX(코드!$E$2:$E$107,MATCH(G14,코드!$A$2:$A$107,0)),0))</f>
        <v/>
      </c>
      <c r="H70" s="40">
        <f>IF(H14="",0,IFERROR(INDEX(코드!$E$2:$E$107,MATCH(H14,코드!$A$2:$A$107,0)),0))</f>
        <v/>
      </c>
      <c r="I70" s="40">
        <f>IF(I14="",0,IFERROR(INDEX(코드!$E$2:$E$107,MATCH(I14,코드!$A$2:$A$107,0)),0))</f>
        <v/>
      </c>
      <c r="J70" s="40">
        <f>IF(J14="",0,IFERROR(INDEX(코드!$E$2:$E$107,MATCH(J14,코드!$A$2:$A$107,0)),0))</f>
        <v/>
      </c>
      <c r="K70" s="40">
        <f>IF(K14="",0,IFERROR(INDEX(코드!$E$2:$E$107,MATCH(K14,코드!$A$2:$A$107,0)),0))</f>
        <v/>
      </c>
      <c r="L70" s="40">
        <f>IF(L14="",0,IFERROR(INDEX(코드!$E$2:$E$107,MATCH(L14,코드!$A$2:$A$107,0)),0))</f>
        <v/>
      </c>
      <c r="M70" s="40">
        <f>IF(M14="",0,IFERROR(INDEX(코드!$E$2:$E$107,MATCH(M14,코드!$A$2:$A$107,0)),0))</f>
        <v/>
      </c>
      <c r="N70" s="40">
        <f>IF(N14="",0,IFERROR(INDEX(코드!$E$2:$E$107,MATCH(N14,코드!$A$2:$A$107,0)),0))</f>
        <v/>
      </c>
      <c r="O70" s="40">
        <f>IF(O14="",0,IFERROR(INDEX(코드!$E$2:$E$107,MATCH(O14,코드!$A$2:$A$107,0)),0))</f>
        <v/>
      </c>
      <c r="P70" s="40">
        <f>IF(P14="",0,IFERROR(INDEX(코드!$E$2:$E$107,MATCH(P14,코드!$A$2:$A$107,0)),0))</f>
        <v/>
      </c>
      <c r="Q70" s="40">
        <f>IF(Q14="",0,IFERROR(INDEX(코드!$E$2:$E$107,MATCH(Q14,코드!$A$2:$A$107,0)),0))</f>
        <v/>
      </c>
      <c r="R70" s="40">
        <f>IF(R14="",0,IFERROR(INDEX(코드!$E$2:$E$107,MATCH(R14,코드!$A$2:$A$107,0)),0))</f>
        <v/>
      </c>
      <c r="S70" s="40">
        <f>IF(S14="",0,IFERROR(INDEX(코드!$E$2:$E$107,MATCH(S14,코드!$A$2:$A$107,0)),0))</f>
        <v/>
      </c>
      <c r="T70" s="40">
        <f>IF(T14="",0,IFERROR(INDEX(코드!$E$2:$E$107,MATCH(T14,코드!$A$2:$A$107,0)),0))</f>
        <v/>
      </c>
      <c r="U70" s="40">
        <f>IF(U14="",0,IFERROR(INDEX(코드!$E$2:$E$107,MATCH(U14,코드!$A$2:$A$107,0)),0))</f>
        <v/>
      </c>
      <c r="V70" s="40">
        <f>IF(V14="",0,IFERROR(INDEX(코드!$E$2:$E$107,MATCH(V14,코드!$A$2:$A$107,0)),0))</f>
        <v/>
      </c>
      <c r="W70" s="40">
        <f>IF(W14="",0,IFERROR(INDEX(코드!$E$2:$E$107,MATCH(W14,코드!$A$2:$A$107,0)),0))</f>
        <v/>
      </c>
      <c r="X70" s="40">
        <f>IF(X14="",0,IFERROR(INDEX(코드!$E$2:$E$107,MATCH(X14,코드!$A$2:$A$107,0)),0))</f>
        <v/>
      </c>
      <c r="Y70" s="40">
        <f>IF(Y14="",0,IFERROR(INDEX(코드!$E$2:$E$107,MATCH(Y14,코드!$A$2:$A$107,0)),0))</f>
        <v/>
      </c>
      <c r="Z70" s="40">
        <f>IF(Z14="",0,IFERROR(INDEX(코드!$E$2:$E$107,MATCH(Z14,코드!$A$2:$A$107,0)),0))</f>
        <v/>
      </c>
      <c r="AA70" s="40">
        <f>IF(AA14="",0,IFERROR(INDEX(코드!$E$2:$E$107,MATCH(AA14,코드!$A$2:$A$107,0)),0))</f>
        <v/>
      </c>
      <c r="AB70" s="40">
        <f>IF(AB14="",0,IFERROR(INDEX(코드!$E$2:$E$107,MATCH(AB14,코드!$A$2:$A$107,0)),0))</f>
        <v/>
      </c>
      <c r="AC70" s="40">
        <f>IF(AC14="",0,IFERROR(INDEX(코드!$E$2:$E$107,MATCH(AC14,코드!$A$2:$A$107,0)),0))</f>
        <v/>
      </c>
      <c r="AD70" s="40">
        <f>IF(AD14="",0,IFERROR(INDEX(코드!$E$2:$E$107,MATCH(AD14,코드!$A$2:$A$107,0)),0))</f>
        <v/>
      </c>
      <c r="AE70" s="40">
        <f>IF(AE14="",0,IFERROR(INDEX(코드!$E$2:$E$107,MATCH(AE14,코드!$A$2:$A$107,0)),0))</f>
        <v/>
      </c>
      <c r="AF70" s="40">
        <f>IF(AF14="",0,IFERROR(INDEX(코드!$E$2:$E$107,MATCH(AF14,코드!$A$2:$A$107,0)),0))</f>
        <v/>
      </c>
      <c r="AG70" s="40">
        <f>IF(AG14="",0,IFERROR(INDEX(코드!$E$2:$E$107,MATCH(AG14,코드!$A$2:$A$107,0)),0))</f>
        <v/>
      </c>
      <c r="AH70" s="40">
        <f>IF(AH14="",0,IFERROR(INDEX(코드!$E$2:$E$107,MATCH(AH14,코드!$A$2:$A$107,0)),0))</f>
        <v/>
      </c>
    </row>
    <row r="71">
      <c r="A71" s="15">
        <f>IF(명부!A9="","",명부!A9)</f>
        <v/>
      </c>
      <c r="B71" s="16">
        <f>IF(명부!C9="","",명부!C9)</f>
        <v/>
      </c>
      <c r="C71" s="17">
        <f>IF(명부!E9="","",명부!E9)</f>
        <v/>
      </c>
      <c r="D71" s="40">
        <f>IF(D15="",0,IFERROR(INDEX(코드!$E$2:$E$107,MATCH(D15,코드!$A$2:$A$107,0)),0))</f>
        <v/>
      </c>
      <c r="E71" s="40">
        <f>IF(E15="",0,IFERROR(INDEX(코드!$E$2:$E$107,MATCH(E15,코드!$A$2:$A$107,0)),0))</f>
        <v/>
      </c>
      <c r="F71" s="40">
        <f>IF(F15="",0,IFERROR(INDEX(코드!$E$2:$E$107,MATCH(F15,코드!$A$2:$A$107,0)),0))</f>
        <v/>
      </c>
      <c r="G71" s="40">
        <f>IF(G15="",0,IFERROR(INDEX(코드!$E$2:$E$107,MATCH(G15,코드!$A$2:$A$107,0)),0))</f>
        <v/>
      </c>
      <c r="H71" s="40">
        <f>IF(H15="",0,IFERROR(INDEX(코드!$E$2:$E$107,MATCH(H15,코드!$A$2:$A$107,0)),0))</f>
        <v/>
      </c>
      <c r="I71" s="40">
        <f>IF(I15="",0,IFERROR(INDEX(코드!$E$2:$E$107,MATCH(I15,코드!$A$2:$A$107,0)),0))</f>
        <v/>
      </c>
      <c r="J71" s="40">
        <f>IF(J15="",0,IFERROR(INDEX(코드!$E$2:$E$107,MATCH(J15,코드!$A$2:$A$107,0)),0))</f>
        <v/>
      </c>
      <c r="K71" s="40">
        <f>IF(K15="",0,IFERROR(INDEX(코드!$E$2:$E$107,MATCH(K15,코드!$A$2:$A$107,0)),0))</f>
        <v/>
      </c>
      <c r="L71" s="40">
        <f>IF(L15="",0,IFERROR(INDEX(코드!$E$2:$E$107,MATCH(L15,코드!$A$2:$A$107,0)),0))</f>
        <v/>
      </c>
      <c r="M71" s="40">
        <f>IF(M15="",0,IFERROR(INDEX(코드!$E$2:$E$107,MATCH(M15,코드!$A$2:$A$107,0)),0))</f>
        <v/>
      </c>
      <c r="N71" s="40">
        <f>IF(N15="",0,IFERROR(INDEX(코드!$E$2:$E$107,MATCH(N15,코드!$A$2:$A$107,0)),0))</f>
        <v/>
      </c>
      <c r="O71" s="40">
        <f>IF(O15="",0,IFERROR(INDEX(코드!$E$2:$E$107,MATCH(O15,코드!$A$2:$A$107,0)),0))</f>
        <v/>
      </c>
      <c r="P71" s="40">
        <f>IF(P15="",0,IFERROR(INDEX(코드!$E$2:$E$107,MATCH(P15,코드!$A$2:$A$107,0)),0))</f>
        <v/>
      </c>
      <c r="Q71" s="40">
        <f>IF(Q15="",0,IFERROR(INDEX(코드!$E$2:$E$107,MATCH(Q15,코드!$A$2:$A$107,0)),0))</f>
        <v/>
      </c>
      <c r="R71" s="40">
        <f>IF(R15="",0,IFERROR(INDEX(코드!$E$2:$E$107,MATCH(R15,코드!$A$2:$A$107,0)),0))</f>
        <v/>
      </c>
      <c r="S71" s="40">
        <f>IF(S15="",0,IFERROR(INDEX(코드!$E$2:$E$107,MATCH(S15,코드!$A$2:$A$107,0)),0))</f>
        <v/>
      </c>
      <c r="T71" s="40">
        <f>IF(T15="",0,IFERROR(INDEX(코드!$E$2:$E$107,MATCH(T15,코드!$A$2:$A$107,0)),0))</f>
        <v/>
      </c>
      <c r="U71" s="40">
        <f>IF(U15="",0,IFERROR(INDEX(코드!$E$2:$E$107,MATCH(U15,코드!$A$2:$A$107,0)),0))</f>
        <v/>
      </c>
      <c r="V71" s="40">
        <f>IF(V15="",0,IFERROR(INDEX(코드!$E$2:$E$107,MATCH(V15,코드!$A$2:$A$107,0)),0))</f>
        <v/>
      </c>
      <c r="W71" s="40">
        <f>IF(W15="",0,IFERROR(INDEX(코드!$E$2:$E$107,MATCH(W15,코드!$A$2:$A$107,0)),0))</f>
        <v/>
      </c>
      <c r="X71" s="40">
        <f>IF(X15="",0,IFERROR(INDEX(코드!$E$2:$E$107,MATCH(X15,코드!$A$2:$A$107,0)),0))</f>
        <v/>
      </c>
      <c r="Y71" s="40">
        <f>IF(Y15="",0,IFERROR(INDEX(코드!$E$2:$E$107,MATCH(Y15,코드!$A$2:$A$107,0)),0))</f>
        <v/>
      </c>
      <c r="Z71" s="40">
        <f>IF(Z15="",0,IFERROR(INDEX(코드!$E$2:$E$107,MATCH(Z15,코드!$A$2:$A$107,0)),0))</f>
        <v/>
      </c>
      <c r="AA71" s="40">
        <f>IF(AA15="",0,IFERROR(INDEX(코드!$E$2:$E$107,MATCH(AA15,코드!$A$2:$A$107,0)),0))</f>
        <v/>
      </c>
      <c r="AB71" s="40">
        <f>IF(AB15="",0,IFERROR(INDEX(코드!$E$2:$E$107,MATCH(AB15,코드!$A$2:$A$107,0)),0))</f>
        <v/>
      </c>
      <c r="AC71" s="40">
        <f>IF(AC15="",0,IFERROR(INDEX(코드!$E$2:$E$107,MATCH(AC15,코드!$A$2:$A$107,0)),0))</f>
        <v/>
      </c>
      <c r="AD71" s="40">
        <f>IF(AD15="",0,IFERROR(INDEX(코드!$E$2:$E$107,MATCH(AD15,코드!$A$2:$A$107,0)),0))</f>
        <v/>
      </c>
      <c r="AE71" s="40">
        <f>IF(AE15="",0,IFERROR(INDEX(코드!$E$2:$E$107,MATCH(AE15,코드!$A$2:$A$107,0)),0))</f>
        <v/>
      </c>
      <c r="AF71" s="40">
        <f>IF(AF15="",0,IFERROR(INDEX(코드!$E$2:$E$107,MATCH(AF15,코드!$A$2:$A$107,0)),0))</f>
        <v/>
      </c>
      <c r="AG71" s="40">
        <f>IF(AG15="",0,IFERROR(INDEX(코드!$E$2:$E$107,MATCH(AG15,코드!$A$2:$A$107,0)),0))</f>
        <v/>
      </c>
      <c r="AH71" s="40">
        <f>IF(AH15="",0,IFERROR(INDEX(코드!$E$2:$E$107,MATCH(AH15,코드!$A$2:$A$107,0)),0))</f>
        <v/>
      </c>
    </row>
    <row r="72">
      <c r="A72" s="15">
        <f>IF(명부!A10="","",명부!A10)</f>
        <v/>
      </c>
      <c r="B72" s="16">
        <f>IF(명부!C10="","",명부!C10)</f>
        <v/>
      </c>
      <c r="C72" s="17">
        <f>IF(명부!E10="","",명부!E10)</f>
        <v/>
      </c>
      <c r="D72" s="40">
        <f>IF(D16="",0,IFERROR(INDEX(코드!$E$2:$E$107,MATCH(D16,코드!$A$2:$A$107,0)),0))</f>
        <v/>
      </c>
      <c r="E72" s="40">
        <f>IF(E16="",0,IFERROR(INDEX(코드!$E$2:$E$107,MATCH(E16,코드!$A$2:$A$107,0)),0))</f>
        <v/>
      </c>
      <c r="F72" s="40">
        <f>IF(F16="",0,IFERROR(INDEX(코드!$E$2:$E$107,MATCH(F16,코드!$A$2:$A$107,0)),0))</f>
        <v/>
      </c>
      <c r="G72" s="40">
        <f>IF(G16="",0,IFERROR(INDEX(코드!$E$2:$E$107,MATCH(G16,코드!$A$2:$A$107,0)),0))</f>
        <v/>
      </c>
      <c r="H72" s="40">
        <f>IF(H16="",0,IFERROR(INDEX(코드!$E$2:$E$107,MATCH(H16,코드!$A$2:$A$107,0)),0))</f>
        <v/>
      </c>
      <c r="I72" s="40">
        <f>IF(I16="",0,IFERROR(INDEX(코드!$E$2:$E$107,MATCH(I16,코드!$A$2:$A$107,0)),0))</f>
        <v/>
      </c>
      <c r="J72" s="40">
        <f>IF(J16="",0,IFERROR(INDEX(코드!$E$2:$E$107,MATCH(J16,코드!$A$2:$A$107,0)),0))</f>
        <v/>
      </c>
      <c r="K72" s="40">
        <f>IF(K16="",0,IFERROR(INDEX(코드!$E$2:$E$107,MATCH(K16,코드!$A$2:$A$107,0)),0))</f>
        <v/>
      </c>
      <c r="L72" s="40">
        <f>IF(L16="",0,IFERROR(INDEX(코드!$E$2:$E$107,MATCH(L16,코드!$A$2:$A$107,0)),0))</f>
        <v/>
      </c>
      <c r="M72" s="40">
        <f>IF(M16="",0,IFERROR(INDEX(코드!$E$2:$E$107,MATCH(M16,코드!$A$2:$A$107,0)),0))</f>
        <v/>
      </c>
      <c r="N72" s="40">
        <f>IF(N16="",0,IFERROR(INDEX(코드!$E$2:$E$107,MATCH(N16,코드!$A$2:$A$107,0)),0))</f>
        <v/>
      </c>
      <c r="O72" s="40">
        <f>IF(O16="",0,IFERROR(INDEX(코드!$E$2:$E$107,MATCH(O16,코드!$A$2:$A$107,0)),0))</f>
        <v/>
      </c>
      <c r="P72" s="40">
        <f>IF(P16="",0,IFERROR(INDEX(코드!$E$2:$E$107,MATCH(P16,코드!$A$2:$A$107,0)),0))</f>
        <v/>
      </c>
      <c r="Q72" s="40">
        <f>IF(Q16="",0,IFERROR(INDEX(코드!$E$2:$E$107,MATCH(Q16,코드!$A$2:$A$107,0)),0))</f>
        <v/>
      </c>
      <c r="R72" s="40">
        <f>IF(R16="",0,IFERROR(INDEX(코드!$E$2:$E$107,MATCH(R16,코드!$A$2:$A$107,0)),0))</f>
        <v/>
      </c>
      <c r="S72" s="40">
        <f>IF(S16="",0,IFERROR(INDEX(코드!$E$2:$E$107,MATCH(S16,코드!$A$2:$A$107,0)),0))</f>
        <v/>
      </c>
      <c r="T72" s="40">
        <f>IF(T16="",0,IFERROR(INDEX(코드!$E$2:$E$107,MATCH(T16,코드!$A$2:$A$107,0)),0))</f>
        <v/>
      </c>
      <c r="U72" s="40">
        <f>IF(U16="",0,IFERROR(INDEX(코드!$E$2:$E$107,MATCH(U16,코드!$A$2:$A$107,0)),0))</f>
        <v/>
      </c>
      <c r="V72" s="40">
        <f>IF(V16="",0,IFERROR(INDEX(코드!$E$2:$E$107,MATCH(V16,코드!$A$2:$A$107,0)),0))</f>
        <v/>
      </c>
      <c r="W72" s="40">
        <f>IF(W16="",0,IFERROR(INDEX(코드!$E$2:$E$107,MATCH(W16,코드!$A$2:$A$107,0)),0))</f>
        <v/>
      </c>
      <c r="X72" s="40">
        <f>IF(X16="",0,IFERROR(INDEX(코드!$E$2:$E$107,MATCH(X16,코드!$A$2:$A$107,0)),0))</f>
        <v/>
      </c>
      <c r="Y72" s="40">
        <f>IF(Y16="",0,IFERROR(INDEX(코드!$E$2:$E$107,MATCH(Y16,코드!$A$2:$A$107,0)),0))</f>
        <v/>
      </c>
      <c r="Z72" s="40">
        <f>IF(Z16="",0,IFERROR(INDEX(코드!$E$2:$E$107,MATCH(Z16,코드!$A$2:$A$107,0)),0))</f>
        <v/>
      </c>
      <c r="AA72" s="40">
        <f>IF(AA16="",0,IFERROR(INDEX(코드!$E$2:$E$107,MATCH(AA16,코드!$A$2:$A$107,0)),0))</f>
        <v/>
      </c>
      <c r="AB72" s="40">
        <f>IF(AB16="",0,IFERROR(INDEX(코드!$E$2:$E$107,MATCH(AB16,코드!$A$2:$A$107,0)),0))</f>
        <v/>
      </c>
      <c r="AC72" s="40">
        <f>IF(AC16="",0,IFERROR(INDEX(코드!$E$2:$E$107,MATCH(AC16,코드!$A$2:$A$107,0)),0))</f>
        <v/>
      </c>
      <c r="AD72" s="40">
        <f>IF(AD16="",0,IFERROR(INDEX(코드!$E$2:$E$107,MATCH(AD16,코드!$A$2:$A$107,0)),0))</f>
        <v/>
      </c>
      <c r="AE72" s="40">
        <f>IF(AE16="",0,IFERROR(INDEX(코드!$E$2:$E$107,MATCH(AE16,코드!$A$2:$A$107,0)),0))</f>
        <v/>
      </c>
      <c r="AF72" s="40">
        <f>IF(AF16="",0,IFERROR(INDEX(코드!$E$2:$E$107,MATCH(AF16,코드!$A$2:$A$107,0)),0))</f>
        <v/>
      </c>
      <c r="AG72" s="40">
        <f>IF(AG16="",0,IFERROR(INDEX(코드!$E$2:$E$107,MATCH(AG16,코드!$A$2:$A$107,0)),0))</f>
        <v/>
      </c>
      <c r="AH72" s="40">
        <f>IF(AH16="",0,IFERROR(INDEX(코드!$E$2:$E$107,MATCH(AH16,코드!$A$2:$A$107,0)),0))</f>
        <v/>
      </c>
    </row>
    <row r="73">
      <c r="A73" s="15">
        <f>IF(명부!A11="","",명부!A11)</f>
        <v/>
      </c>
      <c r="B73" s="16">
        <f>IF(명부!C11="","",명부!C11)</f>
        <v/>
      </c>
      <c r="C73" s="17">
        <f>IF(명부!E11="","",명부!E11)</f>
        <v/>
      </c>
      <c r="D73" s="40">
        <f>IF(D17="",0,IFERROR(INDEX(코드!$E$2:$E$107,MATCH(D17,코드!$A$2:$A$107,0)),0))</f>
        <v/>
      </c>
      <c r="E73" s="40">
        <f>IF(E17="",0,IFERROR(INDEX(코드!$E$2:$E$107,MATCH(E17,코드!$A$2:$A$107,0)),0))</f>
        <v/>
      </c>
      <c r="F73" s="40">
        <f>IF(F17="",0,IFERROR(INDEX(코드!$E$2:$E$107,MATCH(F17,코드!$A$2:$A$107,0)),0))</f>
        <v/>
      </c>
      <c r="G73" s="40">
        <f>IF(G17="",0,IFERROR(INDEX(코드!$E$2:$E$107,MATCH(G17,코드!$A$2:$A$107,0)),0))</f>
        <v/>
      </c>
      <c r="H73" s="40">
        <f>IF(H17="",0,IFERROR(INDEX(코드!$E$2:$E$107,MATCH(H17,코드!$A$2:$A$107,0)),0))</f>
        <v/>
      </c>
      <c r="I73" s="40">
        <f>IF(I17="",0,IFERROR(INDEX(코드!$E$2:$E$107,MATCH(I17,코드!$A$2:$A$107,0)),0))</f>
        <v/>
      </c>
      <c r="J73" s="40">
        <f>IF(J17="",0,IFERROR(INDEX(코드!$E$2:$E$107,MATCH(J17,코드!$A$2:$A$107,0)),0))</f>
        <v/>
      </c>
      <c r="K73" s="40">
        <f>IF(K17="",0,IFERROR(INDEX(코드!$E$2:$E$107,MATCH(K17,코드!$A$2:$A$107,0)),0))</f>
        <v/>
      </c>
      <c r="L73" s="40">
        <f>IF(L17="",0,IFERROR(INDEX(코드!$E$2:$E$107,MATCH(L17,코드!$A$2:$A$107,0)),0))</f>
        <v/>
      </c>
      <c r="M73" s="40">
        <f>IF(M17="",0,IFERROR(INDEX(코드!$E$2:$E$107,MATCH(M17,코드!$A$2:$A$107,0)),0))</f>
        <v/>
      </c>
      <c r="N73" s="40">
        <f>IF(N17="",0,IFERROR(INDEX(코드!$E$2:$E$107,MATCH(N17,코드!$A$2:$A$107,0)),0))</f>
        <v/>
      </c>
      <c r="O73" s="40">
        <f>IF(O17="",0,IFERROR(INDEX(코드!$E$2:$E$107,MATCH(O17,코드!$A$2:$A$107,0)),0))</f>
        <v/>
      </c>
      <c r="P73" s="40">
        <f>IF(P17="",0,IFERROR(INDEX(코드!$E$2:$E$107,MATCH(P17,코드!$A$2:$A$107,0)),0))</f>
        <v/>
      </c>
      <c r="Q73" s="40">
        <f>IF(Q17="",0,IFERROR(INDEX(코드!$E$2:$E$107,MATCH(Q17,코드!$A$2:$A$107,0)),0))</f>
        <v/>
      </c>
      <c r="R73" s="40">
        <f>IF(R17="",0,IFERROR(INDEX(코드!$E$2:$E$107,MATCH(R17,코드!$A$2:$A$107,0)),0))</f>
        <v/>
      </c>
      <c r="S73" s="40">
        <f>IF(S17="",0,IFERROR(INDEX(코드!$E$2:$E$107,MATCH(S17,코드!$A$2:$A$107,0)),0))</f>
        <v/>
      </c>
      <c r="T73" s="40">
        <f>IF(T17="",0,IFERROR(INDEX(코드!$E$2:$E$107,MATCH(T17,코드!$A$2:$A$107,0)),0))</f>
        <v/>
      </c>
      <c r="U73" s="40">
        <f>IF(U17="",0,IFERROR(INDEX(코드!$E$2:$E$107,MATCH(U17,코드!$A$2:$A$107,0)),0))</f>
        <v/>
      </c>
      <c r="V73" s="40">
        <f>IF(V17="",0,IFERROR(INDEX(코드!$E$2:$E$107,MATCH(V17,코드!$A$2:$A$107,0)),0))</f>
        <v/>
      </c>
      <c r="W73" s="40">
        <f>IF(W17="",0,IFERROR(INDEX(코드!$E$2:$E$107,MATCH(W17,코드!$A$2:$A$107,0)),0))</f>
        <v/>
      </c>
      <c r="X73" s="40">
        <f>IF(X17="",0,IFERROR(INDEX(코드!$E$2:$E$107,MATCH(X17,코드!$A$2:$A$107,0)),0))</f>
        <v/>
      </c>
      <c r="Y73" s="40">
        <f>IF(Y17="",0,IFERROR(INDEX(코드!$E$2:$E$107,MATCH(Y17,코드!$A$2:$A$107,0)),0))</f>
        <v/>
      </c>
      <c r="Z73" s="40">
        <f>IF(Z17="",0,IFERROR(INDEX(코드!$E$2:$E$107,MATCH(Z17,코드!$A$2:$A$107,0)),0))</f>
        <v/>
      </c>
      <c r="AA73" s="40">
        <f>IF(AA17="",0,IFERROR(INDEX(코드!$E$2:$E$107,MATCH(AA17,코드!$A$2:$A$107,0)),0))</f>
        <v/>
      </c>
      <c r="AB73" s="40">
        <f>IF(AB17="",0,IFERROR(INDEX(코드!$E$2:$E$107,MATCH(AB17,코드!$A$2:$A$107,0)),0))</f>
        <v/>
      </c>
      <c r="AC73" s="40">
        <f>IF(AC17="",0,IFERROR(INDEX(코드!$E$2:$E$107,MATCH(AC17,코드!$A$2:$A$107,0)),0))</f>
        <v/>
      </c>
      <c r="AD73" s="40">
        <f>IF(AD17="",0,IFERROR(INDEX(코드!$E$2:$E$107,MATCH(AD17,코드!$A$2:$A$107,0)),0))</f>
        <v/>
      </c>
      <c r="AE73" s="40">
        <f>IF(AE17="",0,IFERROR(INDEX(코드!$E$2:$E$107,MATCH(AE17,코드!$A$2:$A$107,0)),0))</f>
        <v/>
      </c>
      <c r="AF73" s="40">
        <f>IF(AF17="",0,IFERROR(INDEX(코드!$E$2:$E$107,MATCH(AF17,코드!$A$2:$A$107,0)),0))</f>
        <v/>
      </c>
      <c r="AG73" s="40">
        <f>IF(AG17="",0,IFERROR(INDEX(코드!$E$2:$E$107,MATCH(AG17,코드!$A$2:$A$107,0)),0))</f>
        <v/>
      </c>
      <c r="AH73" s="40">
        <f>IF(AH17="",0,IFERROR(INDEX(코드!$E$2:$E$107,MATCH(AH17,코드!$A$2:$A$107,0)),0))</f>
        <v/>
      </c>
    </row>
    <row r="74">
      <c r="A74" s="15">
        <f>IF(명부!A12="","",명부!A12)</f>
        <v/>
      </c>
      <c r="B74" s="16">
        <f>IF(명부!C12="","",명부!C12)</f>
        <v/>
      </c>
      <c r="C74" s="17">
        <f>IF(명부!E12="","",명부!E12)</f>
        <v/>
      </c>
      <c r="D74" s="40">
        <f>IF(D18="",0,IFERROR(INDEX(코드!$E$2:$E$107,MATCH(D18,코드!$A$2:$A$107,0)),0))</f>
        <v/>
      </c>
      <c r="E74" s="40">
        <f>IF(E18="",0,IFERROR(INDEX(코드!$E$2:$E$107,MATCH(E18,코드!$A$2:$A$107,0)),0))</f>
        <v/>
      </c>
      <c r="F74" s="40">
        <f>IF(F18="",0,IFERROR(INDEX(코드!$E$2:$E$107,MATCH(F18,코드!$A$2:$A$107,0)),0))</f>
        <v/>
      </c>
      <c r="G74" s="40">
        <f>IF(G18="",0,IFERROR(INDEX(코드!$E$2:$E$107,MATCH(G18,코드!$A$2:$A$107,0)),0))</f>
        <v/>
      </c>
      <c r="H74" s="40">
        <f>IF(H18="",0,IFERROR(INDEX(코드!$E$2:$E$107,MATCH(H18,코드!$A$2:$A$107,0)),0))</f>
        <v/>
      </c>
      <c r="I74" s="40">
        <f>IF(I18="",0,IFERROR(INDEX(코드!$E$2:$E$107,MATCH(I18,코드!$A$2:$A$107,0)),0))</f>
        <v/>
      </c>
      <c r="J74" s="40">
        <f>IF(J18="",0,IFERROR(INDEX(코드!$E$2:$E$107,MATCH(J18,코드!$A$2:$A$107,0)),0))</f>
        <v/>
      </c>
      <c r="K74" s="40">
        <f>IF(K18="",0,IFERROR(INDEX(코드!$E$2:$E$107,MATCH(K18,코드!$A$2:$A$107,0)),0))</f>
        <v/>
      </c>
      <c r="L74" s="40">
        <f>IF(L18="",0,IFERROR(INDEX(코드!$E$2:$E$107,MATCH(L18,코드!$A$2:$A$107,0)),0))</f>
        <v/>
      </c>
      <c r="M74" s="40">
        <f>IF(M18="",0,IFERROR(INDEX(코드!$E$2:$E$107,MATCH(M18,코드!$A$2:$A$107,0)),0))</f>
        <v/>
      </c>
      <c r="N74" s="40">
        <f>IF(N18="",0,IFERROR(INDEX(코드!$E$2:$E$107,MATCH(N18,코드!$A$2:$A$107,0)),0))</f>
        <v/>
      </c>
      <c r="O74" s="40">
        <f>IF(O18="",0,IFERROR(INDEX(코드!$E$2:$E$107,MATCH(O18,코드!$A$2:$A$107,0)),0))</f>
        <v/>
      </c>
      <c r="P74" s="40">
        <f>IF(P18="",0,IFERROR(INDEX(코드!$E$2:$E$107,MATCH(P18,코드!$A$2:$A$107,0)),0))</f>
        <v/>
      </c>
      <c r="Q74" s="40">
        <f>IF(Q18="",0,IFERROR(INDEX(코드!$E$2:$E$107,MATCH(Q18,코드!$A$2:$A$107,0)),0))</f>
        <v/>
      </c>
      <c r="R74" s="40">
        <f>IF(R18="",0,IFERROR(INDEX(코드!$E$2:$E$107,MATCH(R18,코드!$A$2:$A$107,0)),0))</f>
        <v/>
      </c>
      <c r="S74" s="40">
        <f>IF(S18="",0,IFERROR(INDEX(코드!$E$2:$E$107,MATCH(S18,코드!$A$2:$A$107,0)),0))</f>
        <v/>
      </c>
      <c r="T74" s="40">
        <f>IF(T18="",0,IFERROR(INDEX(코드!$E$2:$E$107,MATCH(T18,코드!$A$2:$A$107,0)),0))</f>
        <v/>
      </c>
      <c r="U74" s="40">
        <f>IF(U18="",0,IFERROR(INDEX(코드!$E$2:$E$107,MATCH(U18,코드!$A$2:$A$107,0)),0))</f>
        <v/>
      </c>
      <c r="V74" s="40">
        <f>IF(V18="",0,IFERROR(INDEX(코드!$E$2:$E$107,MATCH(V18,코드!$A$2:$A$107,0)),0))</f>
        <v/>
      </c>
      <c r="W74" s="40">
        <f>IF(W18="",0,IFERROR(INDEX(코드!$E$2:$E$107,MATCH(W18,코드!$A$2:$A$107,0)),0))</f>
        <v/>
      </c>
      <c r="X74" s="40">
        <f>IF(X18="",0,IFERROR(INDEX(코드!$E$2:$E$107,MATCH(X18,코드!$A$2:$A$107,0)),0))</f>
        <v/>
      </c>
      <c r="Y74" s="40">
        <f>IF(Y18="",0,IFERROR(INDEX(코드!$E$2:$E$107,MATCH(Y18,코드!$A$2:$A$107,0)),0))</f>
        <v/>
      </c>
      <c r="Z74" s="40">
        <f>IF(Z18="",0,IFERROR(INDEX(코드!$E$2:$E$107,MATCH(Z18,코드!$A$2:$A$107,0)),0))</f>
        <v/>
      </c>
      <c r="AA74" s="40">
        <f>IF(AA18="",0,IFERROR(INDEX(코드!$E$2:$E$107,MATCH(AA18,코드!$A$2:$A$107,0)),0))</f>
        <v/>
      </c>
      <c r="AB74" s="40">
        <f>IF(AB18="",0,IFERROR(INDEX(코드!$E$2:$E$107,MATCH(AB18,코드!$A$2:$A$107,0)),0))</f>
        <v/>
      </c>
      <c r="AC74" s="40">
        <f>IF(AC18="",0,IFERROR(INDEX(코드!$E$2:$E$107,MATCH(AC18,코드!$A$2:$A$107,0)),0))</f>
        <v/>
      </c>
      <c r="AD74" s="40">
        <f>IF(AD18="",0,IFERROR(INDEX(코드!$E$2:$E$107,MATCH(AD18,코드!$A$2:$A$107,0)),0))</f>
        <v/>
      </c>
      <c r="AE74" s="40">
        <f>IF(AE18="",0,IFERROR(INDEX(코드!$E$2:$E$107,MATCH(AE18,코드!$A$2:$A$107,0)),0))</f>
        <v/>
      </c>
      <c r="AF74" s="40">
        <f>IF(AF18="",0,IFERROR(INDEX(코드!$E$2:$E$107,MATCH(AF18,코드!$A$2:$A$107,0)),0))</f>
        <v/>
      </c>
      <c r="AG74" s="40">
        <f>IF(AG18="",0,IFERROR(INDEX(코드!$E$2:$E$107,MATCH(AG18,코드!$A$2:$A$107,0)),0))</f>
        <v/>
      </c>
      <c r="AH74" s="40">
        <f>IF(AH18="",0,IFERROR(INDEX(코드!$E$2:$E$107,MATCH(AH18,코드!$A$2:$A$107,0)),0))</f>
        <v/>
      </c>
    </row>
    <row r="75">
      <c r="A75" s="15">
        <f>IF(명부!A13="","",명부!A13)</f>
        <v/>
      </c>
      <c r="B75" s="16">
        <f>IF(명부!C13="","",명부!C13)</f>
        <v/>
      </c>
      <c r="C75" s="17">
        <f>IF(명부!E13="","",명부!E13)</f>
        <v/>
      </c>
      <c r="D75" s="40">
        <f>IF(D19="",0,IFERROR(INDEX(코드!$E$2:$E$107,MATCH(D19,코드!$A$2:$A$107,0)),0))</f>
        <v/>
      </c>
      <c r="E75" s="40">
        <f>IF(E19="",0,IFERROR(INDEX(코드!$E$2:$E$107,MATCH(E19,코드!$A$2:$A$107,0)),0))</f>
        <v/>
      </c>
      <c r="F75" s="40">
        <f>IF(F19="",0,IFERROR(INDEX(코드!$E$2:$E$107,MATCH(F19,코드!$A$2:$A$107,0)),0))</f>
        <v/>
      </c>
      <c r="G75" s="40">
        <f>IF(G19="",0,IFERROR(INDEX(코드!$E$2:$E$107,MATCH(G19,코드!$A$2:$A$107,0)),0))</f>
        <v/>
      </c>
      <c r="H75" s="40">
        <f>IF(H19="",0,IFERROR(INDEX(코드!$E$2:$E$107,MATCH(H19,코드!$A$2:$A$107,0)),0))</f>
        <v/>
      </c>
      <c r="I75" s="40">
        <f>IF(I19="",0,IFERROR(INDEX(코드!$E$2:$E$107,MATCH(I19,코드!$A$2:$A$107,0)),0))</f>
        <v/>
      </c>
      <c r="J75" s="40">
        <f>IF(J19="",0,IFERROR(INDEX(코드!$E$2:$E$107,MATCH(J19,코드!$A$2:$A$107,0)),0))</f>
        <v/>
      </c>
      <c r="K75" s="40">
        <f>IF(K19="",0,IFERROR(INDEX(코드!$E$2:$E$107,MATCH(K19,코드!$A$2:$A$107,0)),0))</f>
        <v/>
      </c>
      <c r="L75" s="40">
        <f>IF(L19="",0,IFERROR(INDEX(코드!$E$2:$E$107,MATCH(L19,코드!$A$2:$A$107,0)),0))</f>
        <v/>
      </c>
      <c r="M75" s="40">
        <f>IF(M19="",0,IFERROR(INDEX(코드!$E$2:$E$107,MATCH(M19,코드!$A$2:$A$107,0)),0))</f>
        <v/>
      </c>
      <c r="N75" s="40">
        <f>IF(N19="",0,IFERROR(INDEX(코드!$E$2:$E$107,MATCH(N19,코드!$A$2:$A$107,0)),0))</f>
        <v/>
      </c>
      <c r="O75" s="40">
        <f>IF(O19="",0,IFERROR(INDEX(코드!$E$2:$E$107,MATCH(O19,코드!$A$2:$A$107,0)),0))</f>
        <v/>
      </c>
      <c r="P75" s="40">
        <f>IF(P19="",0,IFERROR(INDEX(코드!$E$2:$E$107,MATCH(P19,코드!$A$2:$A$107,0)),0))</f>
        <v/>
      </c>
      <c r="Q75" s="40">
        <f>IF(Q19="",0,IFERROR(INDEX(코드!$E$2:$E$107,MATCH(Q19,코드!$A$2:$A$107,0)),0))</f>
        <v/>
      </c>
      <c r="R75" s="40">
        <f>IF(R19="",0,IFERROR(INDEX(코드!$E$2:$E$107,MATCH(R19,코드!$A$2:$A$107,0)),0))</f>
        <v/>
      </c>
      <c r="S75" s="40">
        <f>IF(S19="",0,IFERROR(INDEX(코드!$E$2:$E$107,MATCH(S19,코드!$A$2:$A$107,0)),0))</f>
        <v/>
      </c>
      <c r="T75" s="40">
        <f>IF(T19="",0,IFERROR(INDEX(코드!$E$2:$E$107,MATCH(T19,코드!$A$2:$A$107,0)),0))</f>
        <v/>
      </c>
      <c r="U75" s="40">
        <f>IF(U19="",0,IFERROR(INDEX(코드!$E$2:$E$107,MATCH(U19,코드!$A$2:$A$107,0)),0))</f>
        <v/>
      </c>
      <c r="V75" s="40">
        <f>IF(V19="",0,IFERROR(INDEX(코드!$E$2:$E$107,MATCH(V19,코드!$A$2:$A$107,0)),0))</f>
        <v/>
      </c>
      <c r="W75" s="40">
        <f>IF(W19="",0,IFERROR(INDEX(코드!$E$2:$E$107,MATCH(W19,코드!$A$2:$A$107,0)),0))</f>
        <v/>
      </c>
      <c r="X75" s="40">
        <f>IF(X19="",0,IFERROR(INDEX(코드!$E$2:$E$107,MATCH(X19,코드!$A$2:$A$107,0)),0))</f>
        <v/>
      </c>
      <c r="Y75" s="40">
        <f>IF(Y19="",0,IFERROR(INDEX(코드!$E$2:$E$107,MATCH(Y19,코드!$A$2:$A$107,0)),0))</f>
        <v/>
      </c>
      <c r="Z75" s="40">
        <f>IF(Z19="",0,IFERROR(INDEX(코드!$E$2:$E$107,MATCH(Z19,코드!$A$2:$A$107,0)),0))</f>
        <v/>
      </c>
      <c r="AA75" s="40">
        <f>IF(AA19="",0,IFERROR(INDEX(코드!$E$2:$E$107,MATCH(AA19,코드!$A$2:$A$107,0)),0))</f>
        <v/>
      </c>
      <c r="AB75" s="40">
        <f>IF(AB19="",0,IFERROR(INDEX(코드!$E$2:$E$107,MATCH(AB19,코드!$A$2:$A$107,0)),0))</f>
        <v/>
      </c>
      <c r="AC75" s="40">
        <f>IF(AC19="",0,IFERROR(INDEX(코드!$E$2:$E$107,MATCH(AC19,코드!$A$2:$A$107,0)),0))</f>
        <v/>
      </c>
      <c r="AD75" s="40">
        <f>IF(AD19="",0,IFERROR(INDEX(코드!$E$2:$E$107,MATCH(AD19,코드!$A$2:$A$107,0)),0))</f>
        <v/>
      </c>
      <c r="AE75" s="40">
        <f>IF(AE19="",0,IFERROR(INDEX(코드!$E$2:$E$107,MATCH(AE19,코드!$A$2:$A$107,0)),0))</f>
        <v/>
      </c>
      <c r="AF75" s="40">
        <f>IF(AF19="",0,IFERROR(INDEX(코드!$E$2:$E$107,MATCH(AF19,코드!$A$2:$A$107,0)),0))</f>
        <v/>
      </c>
      <c r="AG75" s="40">
        <f>IF(AG19="",0,IFERROR(INDEX(코드!$E$2:$E$107,MATCH(AG19,코드!$A$2:$A$107,0)),0))</f>
        <v/>
      </c>
      <c r="AH75" s="40">
        <f>IF(AH19="",0,IFERROR(INDEX(코드!$E$2:$E$107,MATCH(AH19,코드!$A$2:$A$107,0)),0))</f>
        <v/>
      </c>
    </row>
    <row r="76">
      <c r="A76" s="15">
        <f>IF(명부!A14="","",명부!A14)</f>
        <v/>
      </c>
      <c r="B76" s="16">
        <f>IF(명부!C14="","",명부!C14)</f>
        <v/>
      </c>
      <c r="C76" s="17">
        <f>IF(명부!E14="","",명부!E14)</f>
        <v/>
      </c>
      <c r="D76" s="40">
        <f>IF(D20="",0,IFERROR(INDEX(코드!$E$2:$E$107,MATCH(D20,코드!$A$2:$A$107,0)),0))</f>
        <v/>
      </c>
      <c r="E76" s="40">
        <f>IF(E20="",0,IFERROR(INDEX(코드!$E$2:$E$107,MATCH(E20,코드!$A$2:$A$107,0)),0))</f>
        <v/>
      </c>
      <c r="F76" s="40">
        <f>IF(F20="",0,IFERROR(INDEX(코드!$E$2:$E$107,MATCH(F20,코드!$A$2:$A$107,0)),0))</f>
        <v/>
      </c>
      <c r="G76" s="40">
        <f>IF(G20="",0,IFERROR(INDEX(코드!$E$2:$E$107,MATCH(G20,코드!$A$2:$A$107,0)),0))</f>
        <v/>
      </c>
      <c r="H76" s="40">
        <f>IF(H20="",0,IFERROR(INDEX(코드!$E$2:$E$107,MATCH(H20,코드!$A$2:$A$107,0)),0))</f>
        <v/>
      </c>
      <c r="I76" s="40">
        <f>IF(I20="",0,IFERROR(INDEX(코드!$E$2:$E$107,MATCH(I20,코드!$A$2:$A$107,0)),0))</f>
        <v/>
      </c>
      <c r="J76" s="40">
        <f>IF(J20="",0,IFERROR(INDEX(코드!$E$2:$E$107,MATCH(J20,코드!$A$2:$A$107,0)),0))</f>
        <v/>
      </c>
      <c r="K76" s="40">
        <f>IF(K20="",0,IFERROR(INDEX(코드!$E$2:$E$107,MATCH(K20,코드!$A$2:$A$107,0)),0))</f>
        <v/>
      </c>
      <c r="L76" s="40">
        <f>IF(L20="",0,IFERROR(INDEX(코드!$E$2:$E$107,MATCH(L20,코드!$A$2:$A$107,0)),0))</f>
        <v/>
      </c>
      <c r="M76" s="40">
        <f>IF(M20="",0,IFERROR(INDEX(코드!$E$2:$E$107,MATCH(M20,코드!$A$2:$A$107,0)),0))</f>
        <v/>
      </c>
      <c r="N76" s="40">
        <f>IF(N20="",0,IFERROR(INDEX(코드!$E$2:$E$107,MATCH(N20,코드!$A$2:$A$107,0)),0))</f>
        <v/>
      </c>
      <c r="O76" s="40">
        <f>IF(O20="",0,IFERROR(INDEX(코드!$E$2:$E$107,MATCH(O20,코드!$A$2:$A$107,0)),0))</f>
        <v/>
      </c>
      <c r="P76" s="40">
        <f>IF(P20="",0,IFERROR(INDEX(코드!$E$2:$E$107,MATCH(P20,코드!$A$2:$A$107,0)),0))</f>
        <v/>
      </c>
      <c r="Q76" s="40">
        <f>IF(Q20="",0,IFERROR(INDEX(코드!$E$2:$E$107,MATCH(Q20,코드!$A$2:$A$107,0)),0))</f>
        <v/>
      </c>
      <c r="R76" s="40">
        <f>IF(R20="",0,IFERROR(INDEX(코드!$E$2:$E$107,MATCH(R20,코드!$A$2:$A$107,0)),0))</f>
        <v/>
      </c>
      <c r="S76" s="40">
        <f>IF(S20="",0,IFERROR(INDEX(코드!$E$2:$E$107,MATCH(S20,코드!$A$2:$A$107,0)),0))</f>
        <v/>
      </c>
      <c r="T76" s="40">
        <f>IF(T20="",0,IFERROR(INDEX(코드!$E$2:$E$107,MATCH(T20,코드!$A$2:$A$107,0)),0))</f>
        <v/>
      </c>
      <c r="U76" s="40">
        <f>IF(U20="",0,IFERROR(INDEX(코드!$E$2:$E$107,MATCH(U20,코드!$A$2:$A$107,0)),0))</f>
        <v/>
      </c>
      <c r="V76" s="40">
        <f>IF(V20="",0,IFERROR(INDEX(코드!$E$2:$E$107,MATCH(V20,코드!$A$2:$A$107,0)),0))</f>
        <v/>
      </c>
      <c r="W76" s="40">
        <f>IF(W20="",0,IFERROR(INDEX(코드!$E$2:$E$107,MATCH(W20,코드!$A$2:$A$107,0)),0))</f>
        <v/>
      </c>
      <c r="X76" s="40">
        <f>IF(X20="",0,IFERROR(INDEX(코드!$E$2:$E$107,MATCH(X20,코드!$A$2:$A$107,0)),0))</f>
        <v/>
      </c>
      <c r="Y76" s="40">
        <f>IF(Y20="",0,IFERROR(INDEX(코드!$E$2:$E$107,MATCH(Y20,코드!$A$2:$A$107,0)),0))</f>
        <v/>
      </c>
      <c r="Z76" s="40">
        <f>IF(Z20="",0,IFERROR(INDEX(코드!$E$2:$E$107,MATCH(Z20,코드!$A$2:$A$107,0)),0))</f>
        <v/>
      </c>
      <c r="AA76" s="40">
        <f>IF(AA20="",0,IFERROR(INDEX(코드!$E$2:$E$107,MATCH(AA20,코드!$A$2:$A$107,0)),0))</f>
        <v/>
      </c>
      <c r="AB76" s="40">
        <f>IF(AB20="",0,IFERROR(INDEX(코드!$E$2:$E$107,MATCH(AB20,코드!$A$2:$A$107,0)),0))</f>
        <v/>
      </c>
      <c r="AC76" s="40">
        <f>IF(AC20="",0,IFERROR(INDEX(코드!$E$2:$E$107,MATCH(AC20,코드!$A$2:$A$107,0)),0))</f>
        <v/>
      </c>
      <c r="AD76" s="40">
        <f>IF(AD20="",0,IFERROR(INDEX(코드!$E$2:$E$107,MATCH(AD20,코드!$A$2:$A$107,0)),0))</f>
        <v/>
      </c>
      <c r="AE76" s="40">
        <f>IF(AE20="",0,IFERROR(INDEX(코드!$E$2:$E$107,MATCH(AE20,코드!$A$2:$A$107,0)),0))</f>
        <v/>
      </c>
      <c r="AF76" s="40">
        <f>IF(AF20="",0,IFERROR(INDEX(코드!$E$2:$E$107,MATCH(AF20,코드!$A$2:$A$107,0)),0))</f>
        <v/>
      </c>
      <c r="AG76" s="40">
        <f>IF(AG20="",0,IFERROR(INDEX(코드!$E$2:$E$107,MATCH(AG20,코드!$A$2:$A$107,0)),0))</f>
        <v/>
      </c>
      <c r="AH76" s="40">
        <f>IF(AH20="",0,IFERROR(INDEX(코드!$E$2:$E$107,MATCH(AH20,코드!$A$2:$A$107,0)),0))</f>
        <v/>
      </c>
    </row>
    <row r="77">
      <c r="A77" s="15">
        <f>IF(명부!A15="","",명부!A15)</f>
        <v/>
      </c>
      <c r="B77" s="16">
        <f>IF(명부!C15="","",명부!C15)</f>
        <v/>
      </c>
      <c r="C77" s="17">
        <f>IF(명부!E15="","",명부!E15)</f>
        <v/>
      </c>
      <c r="D77" s="40">
        <f>IF(D21="",0,IFERROR(INDEX(코드!$E$2:$E$107,MATCH(D21,코드!$A$2:$A$107,0)),0))</f>
        <v/>
      </c>
      <c r="E77" s="40">
        <f>IF(E21="",0,IFERROR(INDEX(코드!$E$2:$E$107,MATCH(E21,코드!$A$2:$A$107,0)),0))</f>
        <v/>
      </c>
      <c r="F77" s="40">
        <f>IF(F21="",0,IFERROR(INDEX(코드!$E$2:$E$107,MATCH(F21,코드!$A$2:$A$107,0)),0))</f>
        <v/>
      </c>
      <c r="G77" s="40">
        <f>IF(G21="",0,IFERROR(INDEX(코드!$E$2:$E$107,MATCH(G21,코드!$A$2:$A$107,0)),0))</f>
        <v/>
      </c>
      <c r="H77" s="40">
        <f>IF(H21="",0,IFERROR(INDEX(코드!$E$2:$E$107,MATCH(H21,코드!$A$2:$A$107,0)),0))</f>
        <v/>
      </c>
      <c r="I77" s="40">
        <f>IF(I21="",0,IFERROR(INDEX(코드!$E$2:$E$107,MATCH(I21,코드!$A$2:$A$107,0)),0))</f>
        <v/>
      </c>
      <c r="J77" s="40">
        <f>IF(J21="",0,IFERROR(INDEX(코드!$E$2:$E$107,MATCH(J21,코드!$A$2:$A$107,0)),0))</f>
        <v/>
      </c>
      <c r="K77" s="40">
        <f>IF(K21="",0,IFERROR(INDEX(코드!$E$2:$E$107,MATCH(K21,코드!$A$2:$A$107,0)),0))</f>
        <v/>
      </c>
      <c r="L77" s="40">
        <f>IF(L21="",0,IFERROR(INDEX(코드!$E$2:$E$107,MATCH(L21,코드!$A$2:$A$107,0)),0))</f>
        <v/>
      </c>
      <c r="M77" s="40">
        <f>IF(M21="",0,IFERROR(INDEX(코드!$E$2:$E$107,MATCH(M21,코드!$A$2:$A$107,0)),0))</f>
        <v/>
      </c>
      <c r="N77" s="40">
        <f>IF(N21="",0,IFERROR(INDEX(코드!$E$2:$E$107,MATCH(N21,코드!$A$2:$A$107,0)),0))</f>
        <v/>
      </c>
      <c r="O77" s="40">
        <f>IF(O21="",0,IFERROR(INDEX(코드!$E$2:$E$107,MATCH(O21,코드!$A$2:$A$107,0)),0))</f>
        <v/>
      </c>
      <c r="P77" s="40">
        <f>IF(P21="",0,IFERROR(INDEX(코드!$E$2:$E$107,MATCH(P21,코드!$A$2:$A$107,0)),0))</f>
        <v/>
      </c>
      <c r="Q77" s="40">
        <f>IF(Q21="",0,IFERROR(INDEX(코드!$E$2:$E$107,MATCH(Q21,코드!$A$2:$A$107,0)),0))</f>
        <v/>
      </c>
      <c r="R77" s="40">
        <f>IF(R21="",0,IFERROR(INDEX(코드!$E$2:$E$107,MATCH(R21,코드!$A$2:$A$107,0)),0))</f>
        <v/>
      </c>
      <c r="S77" s="40">
        <f>IF(S21="",0,IFERROR(INDEX(코드!$E$2:$E$107,MATCH(S21,코드!$A$2:$A$107,0)),0))</f>
        <v/>
      </c>
      <c r="T77" s="40">
        <f>IF(T21="",0,IFERROR(INDEX(코드!$E$2:$E$107,MATCH(T21,코드!$A$2:$A$107,0)),0))</f>
        <v/>
      </c>
      <c r="U77" s="40">
        <f>IF(U21="",0,IFERROR(INDEX(코드!$E$2:$E$107,MATCH(U21,코드!$A$2:$A$107,0)),0))</f>
        <v/>
      </c>
      <c r="V77" s="40">
        <f>IF(V21="",0,IFERROR(INDEX(코드!$E$2:$E$107,MATCH(V21,코드!$A$2:$A$107,0)),0))</f>
        <v/>
      </c>
      <c r="W77" s="40">
        <f>IF(W21="",0,IFERROR(INDEX(코드!$E$2:$E$107,MATCH(W21,코드!$A$2:$A$107,0)),0))</f>
        <v/>
      </c>
      <c r="X77" s="40">
        <f>IF(X21="",0,IFERROR(INDEX(코드!$E$2:$E$107,MATCH(X21,코드!$A$2:$A$107,0)),0))</f>
        <v/>
      </c>
      <c r="Y77" s="40">
        <f>IF(Y21="",0,IFERROR(INDEX(코드!$E$2:$E$107,MATCH(Y21,코드!$A$2:$A$107,0)),0))</f>
        <v/>
      </c>
      <c r="Z77" s="40">
        <f>IF(Z21="",0,IFERROR(INDEX(코드!$E$2:$E$107,MATCH(Z21,코드!$A$2:$A$107,0)),0))</f>
        <v/>
      </c>
      <c r="AA77" s="40">
        <f>IF(AA21="",0,IFERROR(INDEX(코드!$E$2:$E$107,MATCH(AA21,코드!$A$2:$A$107,0)),0))</f>
        <v/>
      </c>
      <c r="AB77" s="40">
        <f>IF(AB21="",0,IFERROR(INDEX(코드!$E$2:$E$107,MATCH(AB21,코드!$A$2:$A$107,0)),0))</f>
        <v/>
      </c>
      <c r="AC77" s="40">
        <f>IF(AC21="",0,IFERROR(INDEX(코드!$E$2:$E$107,MATCH(AC21,코드!$A$2:$A$107,0)),0))</f>
        <v/>
      </c>
      <c r="AD77" s="40">
        <f>IF(AD21="",0,IFERROR(INDEX(코드!$E$2:$E$107,MATCH(AD21,코드!$A$2:$A$107,0)),0))</f>
        <v/>
      </c>
      <c r="AE77" s="40">
        <f>IF(AE21="",0,IFERROR(INDEX(코드!$E$2:$E$107,MATCH(AE21,코드!$A$2:$A$107,0)),0))</f>
        <v/>
      </c>
      <c r="AF77" s="40">
        <f>IF(AF21="",0,IFERROR(INDEX(코드!$E$2:$E$107,MATCH(AF21,코드!$A$2:$A$107,0)),0))</f>
        <v/>
      </c>
      <c r="AG77" s="40">
        <f>IF(AG21="",0,IFERROR(INDEX(코드!$E$2:$E$107,MATCH(AG21,코드!$A$2:$A$107,0)),0))</f>
        <v/>
      </c>
      <c r="AH77" s="40">
        <f>IF(AH21="",0,IFERROR(INDEX(코드!$E$2:$E$107,MATCH(AH21,코드!$A$2:$A$107,0)),0))</f>
        <v/>
      </c>
    </row>
    <row r="78">
      <c r="A78" s="15">
        <f>IF(명부!A16="","",명부!A16)</f>
        <v/>
      </c>
      <c r="B78" s="16">
        <f>IF(명부!C16="","",명부!C16)</f>
        <v/>
      </c>
      <c r="C78" s="17">
        <f>IF(명부!E16="","",명부!E16)</f>
        <v/>
      </c>
      <c r="D78" s="40">
        <f>IF(D22="",0,IFERROR(INDEX(코드!$E$2:$E$107,MATCH(D22,코드!$A$2:$A$107,0)),0))</f>
        <v/>
      </c>
      <c r="E78" s="40">
        <f>IF(E22="",0,IFERROR(INDEX(코드!$E$2:$E$107,MATCH(E22,코드!$A$2:$A$107,0)),0))</f>
        <v/>
      </c>
      <c r="F78" s="40">
        <f>IF(F22="",0,IFERROR(INDEX(코드!$E$2:$E$107,MATCH(F22,코드!$A$2:$A$107,0)),0))</f>
        <v/>
      </c>
      <c r="G78" s="40">
        <f>IF(G22="",0,IFERROR(INDEX(코드!$E$2:$E$107,MATCH(G22,코드!$A$2:$A$107,0)),0))</f>
        <v/>
      </c>
      <c r="H78" s="40">
        <f>IF(H22="",0,IFERROR(INDEX(코드!$E$2:$E$107,MATCH(H22,코드!$A$2:$A$107,0)),0))</f>
        <v/>
      </c>
      <c r="I78" s="40">
        <f>IF(I22="",0,IFERROR(INDEX(코드!$E$2:$E$107,MATCH(I22,코드!$A$2:$A$107,0)),0))</f>
        <v/>
      </c>
      <c r="J78" s="40">
        <f>IF(J22="",0,IFERROR(INDEX(코드!$E$2:$E$107,MATCH(J22,코드!$A$2:$A$107,0)),0))</f>
        <v/>
      </c>
      <c r="K78" s="40">
        <f>IF(K22="",0,IFERROR(INDEX(코드!$E$2:$E$107,MATCH(K22,코드!$A$2:$A$107,0)),0))</f>
        <v/>
      </c>
      <c r="L78" s="40">
        <f>IF(L22="",0,IFERROR(INDEX(코드!$E$2:$E$107,MATCH(L22,코드!$A$2:$A$107,0)),0))</f>
        <v/>
      </c>
      <c r="M78" s="40">
        <f>IF(M22="",0,IFERROR(INDEX(코드!$E$2:$E$107,MATCH(M22,코드!$A$2:$A$107,0)),0))</f>
        <v/>
      </c>
      <c r="N78" s="40">
        <f>IF(N22="",0,IFERROR(INDEX(코드!$E$2:$E$107,MATCH(N22,코드!$A$2:$A$107,0)),0))</f>
        <v/>
      </c>
      <c r="O78" s="40">
        <f>IF(O22="",0,IFERROR(INDEX(코드!$E$2:$E$107,MATCH(O22,코드!$A$2:$A$107,0)),0))</f>
        <v/>
      </c>
      <c r="P78" s="40">
        <f>IF(P22="",0,IFERROR(INDEX(코드!$E$2:$E$107,MATCH(P22,코드!$A$2:$A$107,0)),0))</f>
        <v/>
      </c>
      <c r="Q78" s="40">
        <f>IF(Q22="",0,IFERROR(INDEX(코드!$E$2:$E$107,MATCH(Q22,코드!$A$2:$A$107,0)),0))</f>
        <v/>
      </c>
      <c r="R78" s="40">
        <f>IF(R22="",0,IFERROR(INDEX(코드!$E$2:$E$107,MATCH(R22,코드!$A$2:$A$107,0)),0))</f>
        <v/>
      </c>
      <c r="S78" s="40">
        <f>IF(S22="",0,IFERROR(INDEX(코드!$E$2:$E$107,MATCH(S22,코드!$A$2:$A$107,0)),0))</f>
        <v/>
      </c>
      <c r="T78" s="40">
        <f>IF(T22="",0,IFERROR(INDEX(코드!$E$2:$E$107,MATCH(T22,코드!$A$2:$A$107,0)),0))</f>
        <v/>
      </c>
      <c r="U78" s="40">
        <f>IF(U22="",0,IFERROR(INDEX(코드!$E$2:$E$107,MATCH(U22,코드!$A$2:$A$107,0)),0))</f>
        <v/>
      </c>
      <c r="V78" s="40">
        <f>IF(V22="",0,IFERROR(INDEX(코드!$E$2:$E$107,MATCH(V22,코드!$A$2:$A$107,0)),0))</f>
        <v/>
      </c>
      <c r="W78" s="40">
        <f>IF(W22="",0,IFERROR(INDEX(코드!$E$2:$E$107,MATCH(W22,코드!$A$2:$A$107,0)),0))</f>
        <v/>
      </c>
      <c r="X78" s="40">
        <f>IF(X22="",0,IFERROR(INDEX(코드!$E$2:$E$107,MATCH(X22,코드!$A$2:$A$107,0)),0))</f>
        <v/>
      </c>
      <c r="Y78" s="40">
        <f>IF(Y22="",0,IFERROR(INDEX(코드!$E$2:$E$107,MATCH(Y22,코드!$A$2:$A$107,0)),0))</f>
        <v/>
      </c>
      <c r="Z78" s="40">
        <f>IF(Z22="",0,IFERROR(INDEX(코드!$E$2:$E$107,MATCH(Z22,코드!$A$2:$A$107,0)),0))</f>
        <v/>
      </c>
      <c r="AA78" s="40">
        <f>IF(AA22="",0,IFERROR(INDEX(코드!$E$2:$E$107,MATCH(AA22,코드!$A$2:$A$107,0)),0))</f>
        <v/>
      </c>
      <c r="AB78" s="40">
        <f>IF(AB22="",0,IFERROR(INDEX(코드!$E$2:$E$107,MATCH(AB22,코드!$A$2:$A$107,0)),0))</f>
        <v/>
      </c>
      <c r="AC78" s="40">
        <f>IF(AC22="",0,IFERROR(INDEX(코드!$E$2:$E$107,MATCH(AC22,코드!$A$2:$A$107,0)),0))</f>
        <v/>
      </c>
      <c r="AD78" s="40">
        <f>IF(AD22="",0,IFERROR(INDEX(코드!$E$2:$E$107,MATCH(AD22,코드!$A$2:$A$107,0)),0))</f>
        <v/>
      </c>
      <c r="AE78" s="40">
        <f>IF(AE22="",0,IFERROR(INDEX(코드!$E$2:$E$107,MATCH(AE22,코드!$A$2:$A$107,0)),0))</f>
        <v/>
      </c>
      <c r="AF78" s="40">
        <f>IF(AF22="",0,IFERROR(INDEX(코드!$E$2:$E$107,MATCH(AF22,코드!$A$2:$A$107,0)),0))</f>
        <v/>
      </c>
      <c r="AG78" s="40">
        <f>IF(AG22="",0,IFERROR(INDEX(코드!$E$2:$E$107,MATCH(AG22,코드!$A$2:$A$107,0)),0))</f>
        <v/>
      </c>
      <c r="AH78" s="40">
        <f>IF(AH22="",0,IFERROR(INDEX(코드!$E$2:$E$107,MATCH(AH22,코드!$A$2:$A$107,0)),0))</f>
        <v/>
      </c>
    </row>
    <row r="79">
      <c r="A79" s="15">
        <f>IF(명부!A17="","",명부!A17)</f>
        <v/>
      </c>
      <c r="B79" s="16">
        <f>IF(명부!C17="","",명부!C17)</f>
        <v/>
      </c>
      <c r="C79" s="17">
        <f>IF(명부!E17="","",명부!E17)</f>
        <v/>
      </c>
      <c r="D79" s="40">
        <f>IF(D23="",0,IFERROR(INDEX(코드!$E$2:$E$107,MATCH(D23,코드!$A$2:$A$107,0)),0))</f>
        <v/>
      </c>
      <c r="E79" s="40">
        <f>IF(E23="",0,IFERROR(INDEX(코드!$E$2:$E$107,MATCH(E23,코드!$A$2:$A$107,0)),0))</f>
        <v/>
      </c>
      <c r="F79" s="40">
        <f>IF(F23="",0,IFERROR(INDEX(코드!$E$2:$E$107,MATCH(F23,코드!$A$2:$A$107,0)),0))</f>
        <v/>
      </c>
      <c r="G79" s="40">
        <f>IF(G23="",0,IFERROR(INDEX(코드!$E$2:$E$107,MATCH(G23,코드!$A$2:$A$107,0)),0))</f>
        <v/>
      </c>
      <c r="H79" s="40">
        <f>IF(H23="",0,IFERROR(INDEX(코드!$E$2:$E$107,MATCH(H23,코드!$A$2:$A$107,0)),0))</f>
        <v/>
      </c>
      <c r="I79" s="40">
        <f>IF(I23="",0,IFERROR(INDEX(코드!$E$2:$E$107,MATCH(I23,코드!$A$2:$A$107,0)),0))</f>
        <v/>
      </c>
      <c r="J79" s="40">
        <f>IF(J23="",0,IFERROR(INDEX(코드!$E$2:$E$107,MATCH(J23,코드!$A$2:$A$107,0)),0))</f>
        <v/>
      </c>
      <c r="K79" s="40">
        <f>IF(K23="",0,IFERROR(INDEX(코드!$E$2:$E$107,MATCH(K23,코드!$A$2:$A$107,0)),0))</f>
        <v/>
      </c>
      <c r="L79" s="40">
        <f>IF(L23="",0,IFERROR(INDEX(코드!$E$2:$E$107,MATCH(L23,코드!$A$2:$A$107,0)),0))</f>
        <v/>
      </c>
      <c r="M79" s="40">
        <f>IF(M23="",0,IFERROR(INDEX(코드!$E$2:$E$107,MATCH(M23,코드!$A$2:$A$107,0)),0))</f>
        <v/>
      </c>
      <c r="N79" s="40">
        <f>IF(N23="",0,IFERROR(INDEX(코드!$E$2:$E$107,MATCH(N23,코드!$A$2:$A$107,0)),0))</f>
        <v/>
      </c>
      <c r="O79" s="40">
        <f>IF(O23="",0,IFERROR(INDEX(코드!$E$2:$E$107,MATCH(O23,코드!$A$2:$A$107,0)),0))</f>
        <v/>
      </c>
      <c r="P79" s="40">
        <f>IF(P23="",0,IFERROR(INDEX(코드!$E$2:$E$107,MATCH(P23,코드!$A$2:$A$107,0)),0))</f>
        <v/>
      </c>
      <c r="Q79" s="40">
        <f>IF(Q23="",0,IFERROR(INDEX(코드!$E$2:$E$107,MATCH(Q23,코드!$A$2:$A$107,0)),0))</f>
        <v/>
      </c>
      <c r="R79" s="40">
        <f>IF(R23="",0,IFERROR(INDEX(코드!$E$2:$E$107,MATCH(R23,코드!$A$2:$A$107,0)),0))</f>
        <v/>
      </c>
      <c r="S79" s="40">
        <f>IF(S23="",0,IFERROR(INDEX(코드!$E$2:$E$107,MATCH(S23,코드!$A$2:$A$107,0)),0))</f>
        <v/>
      </c>
      <c r="T79" s="40">
        <f>IF(T23="",0,IFERROR(INDEX(코드!$E$2:$E$107,MATCH(T23,코드!$A$2:$A$107,0)),0))</f>
        <v/>
      </c>
      <c r="U79" s="40">
        <f>IF(U23="",0,IFERROR(INDEX(코드!$E$2:$E$107,MATCH(U23,코드!$A$2:$A$107,0)),0))</f>
        <v/>
      </c>
      <c r="V79" s="40">
        <f>IF(V23="",0,IFERROR(INDEX(코드!$E$2:$E$107,MATCH(V23,코드!$A$2:$A$107,0)),0))</f>
        <v/>
      </c>
      <c r="W79" s="40">
        <f>IF(W23="",0,IFERROR(INDEX(코드!$E$2:$E$107,MATCH(W23,코드!$A$2:$A$107,0)),0))</f>
        <v/>
      </c>
      <c r="X79" s="40">
        <f>IF(X23="",0,IFERROR(INDEX(코드!$E$2:$E$107,MATCH(X23,코드!$A$2:$A$107,0)),0))</f>
        <v/>
      </c>
      <c r="Y79" s="40">
        <f>IF(Y23="",0,IFERROR(INDEX(코드!$E$2:$E$107,MATCH(Y23,코드!$A$2:$A$107,0)),0))</f>
        <v/>
      </c>
      <c r="Z79" s="40">
        <f>IF(Z23="",0,IFERROR(INDEX(코드!$E$2:$E$107,MATCH(Z23,코드!$A$2:$A$107,0)),0))</f>
        <v/>
      </c>
      <c r="AA79" s="40">
        <f>IF(AA23="",0,IFERROR(INDEX(코드!$E$2:$E$107,MATCH(AA23,코드!$A$2:$A$107,0)),0))</f>
        <v/>
      </c>
      <c r="AB79" s="40">
        <f>IF(AB23="",0,IFERROR(INDEX(코드!$E$2:$E$107,MATCH(AB23,코드!$A$2:$A$107,0)),0))</f>
        <v/>
      </c>
      <c r="AC79" s="40">
        <f>IF(AC23="",0,IFERROR(INDEX(코드!$E$2:$E$107,MATCH(AC23,코드!$A$2:$A$107,0)),0))</f>
        <v/>
      </c>
      <c r="AD79" s="40">
        <f>IF(AD23="",0,IFERROR(INDEX(코드!$E$2:$E$107,MATCH(AD23,코드!$A$2:$A$107,0)),0))</f>
        <v/>
      </c>
      <c r="AE79" s="40">
        <f>IF(AE23="",0,IFERROR(INDEX(코드!$E$2:$E$107,MATCH(AE23,코드!$A$2:$A$107,0)),0))</f>
        <v/>
      </c>
      <c r="AF79" s="40">
        <f>IF(AF23="",0,IFERROR(INDEX(코드!$E$2:$E$107,MATCH(AF23,코드!$A$2:$A$107,0)),0))</f>
        <v/>
      </c>
      <c r="AG79" s="40">
        <f>IF(AG23="",0,IFERROR(INDEX(코드!$E$2:$E$107,MATCH(AG23,코드!$A$2:$A$107,0)),0))</f>
        <v/>
      </c>
      <c r="AH79" s="40">
        <f>IF(AH23="",0,IFERROR(INDEX(코드!$E$2:$E$107,MATCH(AH23,코드!$A$2:$A$107,0)),0))</f>
        <v/>
      </c>
    </row>
    <row r="80">
      <c r="A80" s="15">
        <f>IF(명부!A18="","",명부!A18)</f>
        <v/>
      </c>
      <c r="B80" s="16">
        <f>IF(명부!C18="","",명부!C18)</f>
        <v/>
      </c>
      <c r="C80" s="17">
        <f>IF(명부!E18="","",명부!E18)</f>
        <v/>
      </c>
      <c r="D80" s="40">
        <f>IF(D24="",0,IFERROR(INDEX(코드!$E$2:$E$107,MATCH(D24,코드!$A$2:$A$107,0)),0))</f>
        <v/>
      </c>
      <c r="E80" s="40">
        <f>IF(E24="",0,IFERROR(INDEX(코드!$E$2:$E$107,MATCH(E24,코드!$A$2:$A$107,0)),0))</f>
        <v/>
      </c>
      <c r="F80" s="40">
        <f>IF(F24="",0,IFERROR(INDEX(코드!$E$2:$E$107,MATCH(F24,코드!$A$2:$A$107,0)),0))</f>
        <v/>
      </c>
      <c r="G80" s="40">
        <f>IF(G24="",0,IFERROR(INDEX(코드!$E$2:$E$107,MATCH(G24,코드!$A$2:$A$107,0)),0))</f>
        <v/>
      </c>
      <c r="H80" s="40">
        <f>IF(H24="",0,IFERROR(INDEX(코드!$E$2:$E$107,MATCH(H24,코드!$A$2:$A$107,0)),0))</f>
        <v/>
      </c>
      <c r="I80" s="40">
        <f>IF(I24="",0,IFERROR(INDEX(코드!$E$2:$E$107,MATCH(I24,코드!$A$2:$A$107,0)),0))</f>
        <v/>
      </c>
      <c r="J80" s="40">
        <f>IF(J24="",0,IFERROR(INDEX(코드!$E$2:$E$107,MATCH(J24,코드!$A$2:$A$107,0)),0))</f>
        <v/>
      </c>
      <c r="K80" s="40">
        <f>IF(K24="",0,IFERROR(INDEX(코드!$E$2:$E$107,MATCH(K24,코드!$A$2:$A$107,0)),0))</f>
        <v/>
      </c>
      <c r="L80" s="40">
        <f>IF(L24="",0,IFERROR(INDEX(코드!$E$2:$E$107,MATCH(L24,코드!$A$2:$A$107,0)),0))</f>
        <v/>
      </c>
      <c r="M80" s="40">
        <f>IF(M24="",0,IFERROR(INDEX(코드!$E$2:$E$107,MATCH(M24,코드!$A$2:$A$107,0)),0))</f>
        <v/>
      </c>
      <c r="N80" s="40">
        <f>IF(N24="",0,IFERROR(INDEX(코드!$E$2:$E$107,MATCH(N24,코드!$A$2:$A$107,0)),0))</f>
        <v/>
      </c>
      <c r="O80" s="40">
        <f>IF(O24="",0,IFERROR(INDEX(코드!$E$2:$E$107,MATCH(O24,코드!$A$2:$A$107,0)),0))</f>
        <v/>
      </c>
      <c r="P80" s="40">
        <f>IF(P24="",0,IFERROR(INDEX(코드!$E$2:$E$107,MATCH(P24,코드!$A$2:$A$107,0)),0))</f>
        <v/>
      </c>
      <c r="Q80" s="40">
        <f>IF(Q24="",0,IFERROR(INDEX(코드!$E$2:$E$107,MATCH(Q24,코드!$A$2:$A$107,0)),0))</f>
        <v/>
      </c>
      <c r="R80" s="40">
        <f>IF(R24="",0,IFERROR(INDEX(코드!$E$2:$E$107,MATCH(R24,코드!$A$2:$A$107,0)),0))</f>
        <v/>
      </c>
      <c r="S80" s="40">
        <f>IF(S24="",0,IFERROR(INDEX(코드!$E$2:$E$107,MATCH(S24,코드!$A$2:$A$107,0)),0))</f>
        <v/>
      </c>
      <c r="T80" s="40">
        <f>IF(T24="",0,IFERROR(INDEX(코드!$E$2:$E$107,MATCH(T24,코드!$A$2:$A$107,0)),0))</f>
        <v/>
      </c>
      <c r="U80" s="40">
        <f>IF(U24="",0,IFERROR(INDEX(코드!$E$2:$E$107,MATCH(U24,코드!$A$2:$A$107,0)),0))</f>
        <v/>
      </c>
      <c r="V80" s="40">
        <f>IF(V24="",0,IFERROR(INDEX(코드!$E$2:$E$107,MATCH(V24,코드!$A$2:$A$107,0)),0))</f>
        <v/>
      </c>
      <c r="W80" s="40">
        <f>IF(W24="",0,IFERROR(INDEX(코드!$E$2:$E$107,MATCH(W24,코드!$A$2:$A$107,0)),0))</f>
        <v/>
      </c>
      <c r="X80" s="40">
        <f>IF(X24="",0,IFERROR(INDEX(코드!$E$2:$E$107,MATCH(X24,코드!$A$2:$A$107,0)),0))</f>
        <v/>
      </c>
      <c r="Y80" s="40">
        <f>IF(Y24="",0,IFERROR(INDEX(코드!$E$2:$E$107,MATCH(Y24,코드!$A$2:$A$107,0)),0))</f>
        <v/>
      </c>
      <c r="Z80" s="40">
        <f>IF(Z24="",0,IFERROR(INDEX(코드!$E$2:$E$107,MATCH(Z24,코드!$A$2:$A$107,0)),0))</f>
        <v/>
      </c>
      <c r="AA80" s="40">
        <f>IF(AA24="",0,IFERROR(INDEX(코드!$E$2:$E$107,MATCH(AA24,코드!$A$2:$A$107,0)),0))</f>
        <v/>
      </c>
      <c r="AB80" s="40">
        <f>IF(AB24="",0,IFERROR(INDEX(코드!$E$2:$E$107,MATCH(AB24,코드!$A$2:$A$107,0)),0))</f>
        <v/>
      </c>
      <c r="AC80" s="40">
        <f>IF(AC24="",0,IFERROR(INDEX(코드!$E$2:$E$107,MATCH(AC24,코드!$A$2:$A$107,0)),0))</f>
        <v/>
      </c>
      <c r="AD80" s="40">
        <f>IF(AD24="",0,IFERROR(INDEX(코드!$E$2:$E$107,MATCH(AD24,코드!$A$2:$A$107,0)),0))</f>
        <v/>
      </c>
      <c r="AE80" s="40">
        <f>IF(AE24="",0,IFERROR(INDEX(코드!$E$2:$E$107,MATCH(AE24,코드!$A$2:$A$107,0)),0))</f>
        <v/>
      </c>
      <c r="AF80" s="40">
        <f>IF(AF24="",0,IFERROR(INDEX(코드!$E$2:$E$107,MATCH(AF24,코드!$A$2:$A$107,0)),0))</f>
        <v/>
      </c>
      <c r="AG80" s="40">
        <f>IF(AG24="",0,IFERROR(INDEX(코드!$E$2:$E$107,MATCH(AG24,코드!$A$2:$A$107,0)),0))</f>
        <v/>
      </c>
      <c r="AH80" s="40">
        <f>IF(AH24="",0,IFERROR(INDEX(코드!$E$2:$E$107,MATCH(AH24,코드!$A$2:$A$107,0)),0))</f>
        <v/>
      </c>
    </row>
    <row r="81">
      <c r="A81" s="15">
        <f>IF(명부!A19="","",명부!A19)</f>
        <v/>
      </c>
      <c r="B81" s="16">
        <f>IF(명부!C19="","",명부!C19)</f>
        <v/>
      </c>
      <c r="C81" s="17">
        <f>IF(명부!E19="","",명부!E19)</f>
        <v/>
      </c>
      <c r="D81" s="40">
        <f>IF(D25="",0,IFERROR(INDEX(코드!$E$2:$E$107,MATCH(D25,코드!$A$2:$A$107,0)),0))</f>
        <v/>
      </c>
      <c r="E81" s="40">
        <f>IF(E25="",0,IFERROR(INDEX(코드!$E$2:$E$107,MATCH(E25,코드!$A$2:$A$107,0)),0))</f>
        <v/>
      </c>
      <c r="F81" s="40">
        <f>IF(F25="",0,IFERROR(INDEX(코드!$E$2:$E$107,MATCH(F25,코드!$A$2:$A$107,0)),0))</f>
        <v/>
      </c>
      <c r="G81" s="40">
        <f>IF(G25="",0,IFERROR(INDEX(코드!$E$2:$E$107,MATCH(G25,코드!$A$2:$A$107,0)),0))</f>
        <v/>
      </c>
      <c r="H81" s="40">
        <f>IF(H25="",0,IFERROR(INDEX(코드!$E$2:$E$107,MATCH(H25,코드!$A$2:$A$107,0)),0))</f>
        <v/>
      </c>
      <c r="I81" s="40">
        <f>IF(I25="",0,IFERROR(INDEX(코드!$E$2:$E$107,MATCH(I25,코드!$A$2:$A$107,0)),0))</f>
        <v/>
      </c>
      <c r="J81" s="40">
        <f>IF(J25="",0,IFERROR(INDEX(코드!$E$2:$E$107,MATCH(J25,코드!$A$2:$A$107,0)),0))</f>
        <v/>
      </c>
      <c r="K81" s="40">
        <f>IF(K25="",0,IFERROR(INDEX(코드!$E$2:$E$107,MATCH(K25,코드!$A$2:$A$107,0)),0))</f>
        <v/>
      </c>
      <c r="L81" s="40">
        <f>IF(L25="",0,IFERROR(INDEX(코드!$E$2:$E$107,MATCH(L25,코드!$A$2:$A$107,0)),0))</f>
        <v/>
      </c>
      <c r="M81" s="40">
        <f>IF(M25="",0,IFERROR(INDEX(코드!$E$2:$E$107,MATCH(M25,코드!$A$2:$A$107,0)),0))</f>
        <v/>
      </c>
      <c r="N81" s="40">
        <f>IF(N25="",0,IFERROR(INDEX(코드!$E$2:$E$107,MATCH(N25,코드!$A$2:$A$107,0)),0))</f>
        <v/>
      </c>
      <c r="O81" s="40">
        <f>IF(O25="",0,IFERROR(INDEX(코드!$E$2:$E$107,MATCH(O25,코드!$A$2:$A$107,0)),0))</f>
        <v/>
      </c>
      <c r="P81" s="40">
        <f>IF(P25="",0,IFERROR(INDEX(코드!$E$2:$E$107,MATCH(P25,코드!$A$2:$A$107,0)),0))</f>
        <v/>
      </c>
      <c r="Q81" s="40">
        <f>IF(Q25="",0,IFERROR(INDEX(코드!$E$2:$E$107,MATCH(Q25,코드!$A$2:$A$107,0)),0))</f>
        <v/>
      </c>
      <c r="R81" s="40">
        <f>IF(R25="",0,IFERROR(INDEX(코드!$E$2:$E$107,MATCH(R25,코드!$A$2:$A$107,0)),0))</f>
        <v/>
      </c>
      <c r="S81" s="40">
        <f>IF(S25="",0,IFERROR(INDEX(코드!$E$2:$E$107,MATCH(S25,코드!$A$2:$A$107,0)),0))</f>
        <v/>
      </c>
      <c r="T81" s="40">
        <f>IF(T25="",0,IFERROR(INDEX(코드!$E$2:$E$107,MATCH(T25,코드!$A$2:$A$107,0)),0))</f>
        <v/>
      </c>
      <c r="U81" s="40">
        <f>IF(U25="",0,IFERROR(INDEX(코드!$E$2:$E$107,MATCH(U25,코드!$A$2:$A$107,0)),0))</f>
        <v/>
      </c>
      <c r="V81" s="40">
        <f>IF(V25="",0,IFERROR(INDEX(코드!$E$2:$E$107,MATCH(V25,코드!$A$2:$A$107,0)),0))</f>
        <v/>
      </c>
      <c r="W81" s="40">
        <f>IF(W25="",0,IFERROR(INDEX(코드!$E$2:$E$107,MATCH(W25,코드!$A$2:$A$107,0)),0))</f>
        <v/>
      </c>
      <c r="X81" s="40">
        <f>IF(X25="",0,IFERROR(INDEX(코드!$E$2:$E$107,MATCH(X25,코드!$A$2:$A$107,0)),0))</f>
        <v/>
      </c>
      <c r="Y81" s="40">
        <f>IF(Y25="",0,IFERROR(INDEX(코드!$E$2:$E$107,MATCH(Y25,코드!$A$2:$A$107,0)),0))</f>
        <v/>
      </c>
      <c r="Z81" s="40">
        <f>IF(Z25="",0,IFERROR(INDEX(코드!$E$2:$E$107,MATCH(Z25,코드!$A$2:$A$107,0)),0))</f>
        <v/>
      </c>
      <c r="AA81" s="40">
        <f>IF(AA25="",0,IFERROR(INDEX(코드!$E$2:$E$107,MATCH(AA25,코드!$A$2:$A$107,0)),0))</f>
        <v/>
      </c>
      <c r="AB81" s="40">
        <f>IF(AB25="",0,IFERROR(INDEX(코드!$E$2:$E$107,MATCH(AB25,코드!$A$2:$A$107,0)),0))</f>
        <v/>
      </c>
      <c r="AC81" s="40">
        <f>IF(AC25="",0,IFERROR(INDEX(코드!$E$2:$E$107,MATCH(AC25,코드!$A$2:$A$107,0)),0))</f>
        <v/>
      </c>
      <c r="AD81" s="40">
        <f>IF(AD25="",0,IFERROR(INDEX(코드!$E$2:$E$107,MATCH(AD25,코드!$A$2:$A$107,0)),0))</f>
        <v/>
      </c>
      <c r="AE81" s="40">
        <f>IF(AE25="",0,IFERROR(INDEX(코드!$E$2:$E$107,MATCH(AE25,코드!$A$2:$A$107,0)),0))</f>
        <v/>
      </c>
      <c r="AF81" s="40">
        <f>IF(AF25="",0,IFERROR(INDEX(코드!$E$2:$E$107,MATCH(AF25,코드!$A$2:$A$107,0)),0))</f>
        <v/>
      </c>
      <c r="AG81" s="40">
        <f>IF(AG25="",0,IFERROR(INDEX(코드!$E$2:$E$107,MATCH(AG25,코드!$A$2:$A$107,0)),0))</f>
        <v/>
      </c>
      <c r="AH81" s="40">
        <f>IF(AH25="",0,IFERROR(INDEX(코드!$E$2:$E$107,MATCH(AH25,코드!$A$2:$A$107,0)),0))</f>
        <v/>
      </c>
    </row>
    <row r="82">
      <c r="A82" s="15">
        <f>IF(명부!A20="","",명부!A20)</f>
        <v/>
      </c>
      <c r="B82" s="16">
        <f>IF(명부!C20="","",명부!C20)</f>
        <v/>
      </c>
      <c r="C82" s="17">
        <f>IF(명부!E20="","",명부!E20)</f>
        <v/>
      </c>
      <c r="D82" s="40">
        <f>IF(D26="",0,IFERROR(INDEX(코드!$E$2:$E$107,MATCH(D26,코드!$A$2:$A$107,0)),0))</f>
        <v/>
      </c>
      <c r="E82" s="40">
        <f>IF(E26="",0,IFERROR(INDEX(코드!$E$2:$E$107,MATCH(E26,코드!$A$2:$A$107,0)),0))</f>
        <v/>
      </c>
      <c r="F82" s="40">
        <f>IF(F26="",0,IFERROR(INDEX(코드!$E$2:$E$107,MATCH(F26,코드!$A$2:$A$107,0)),0))</f>
        <v/>
      </c>
      <c r="G82" s="40">
        <f>IF(G26="",0,IFERROR(INDEX(코드!$E$2:$E$107,MATCH(G26,코드!$A$2:$A$107,0)),0))</f>
        <v/>
      </c>
      <c r="H82" s="40">
        <f>IF(H26="",0,IFERROR(INDEX(코드!$E$2:$E$107,MATCH(H26,코드!$A$2:$A$107,0)),0))</f>
        <v/>
      </c>
      <c r="I82" s="40">
        <f>IF(I26="",0,IFERROR(INDEX(코드!$E$2:$E$107,MATCH(I26,코드!$A$2:$A$107,0)),0))</f>
        <v/>
      </c>
      <c r="J82" s="40">
        <f>IF(J26="",0,IFERROR(INDEX(코드!$E$2:$E$107,MATCH(J26,코드!$A$2:$A$107,0)),0))</f>
        <v/>
      </c>
      <c r="K82" s="40">
        <f>IF(K26="",0,IFERROR(INDEX(코드!$E$2:$E$107,MATCH(K26,코드!$A$2:$A$107,0)),0))</f>
        <v/>
      </c>
      <c r="L82" s="40">
        <f>IF(L26="",0,IFERROR(INDEX(코드!$E$2:$E$107,MATCH(L26,코드!$A$2:$A$107,0)),0))</f>
        <v/>
      </c>
      <c r="M82" s="40">
        <f>IF(M26="",0,IFERROR(INDEX(코드!$E$2:$E$107,MATCH(M26,코드!$A$2:$A$107,0)),0))</f>
        <v/>
      </c>
      <c r="N82" s="40">
        <f>IF(N26="",0,IFERROR(INDEX(코드!$E$2:$E$107,MATCH(N26,코드!$A$2:$A$107,0)),0))</f>
        <v/>
      </c>
      <c r="O82" s="40">
        <f>IF(O26="",0,IFERROR(INDEX(코드!$E$2:$E$107,MATCH(O26,코드!$A$2:$A$107,0)),0))</f>
        <v/>
      </c>
      <c r="P82" s="40">
        <f>IF(P26="",0,IFERROR(INDEX(코드!$E$2:$E$107,MATCH(P26,코드!$A$2:$A$107,0)),0))</f>
        <v/>
      </c>
      <c r="Q82" s="40">
        <f>IF(Q26="",0,IFERROR(INDEX(코드!$E$2:$E$107,MATCH(Q26,코드!$A$2:$A$107,0)),0))</f>
        <v/>
      </c>
      <c r="R82" s="40">
        <f>IF(R26="",0,IFERROR(INDEX(코드!$E$2:$E$107,MATCH(R26,코드!$A$2:$A$107,0)),0))</f>
        <v/>
      </c>
      <c r="S82" s="40">
        <f>IF(S26="",0,IFERROR(INDEX(코드!$E$2:$E$107,MATCH(S26,코드!$A$2:$A$107,0)),0))</f>
        <v/>
      </c>
      <c r="T82" s="40">
        <f>IF(T26="",0,IFERROR(INDEX(코드!$E$2:$E$107,MATCH(T26,코드!$A$2:$A$107,0)),0))</f>
        <v/>
      </c>
      <c r="U82" s="40">
        <f>IF(U26="",0,IFERROR(INDEX(코드!$E$2:$E$107,MATCH(U26,코드!$A$2:$A$107,0)),0))</f>
        <v/>
      </c>
      <c r="V82" s="40">
        <f>IF(V26="",0,IFERROR(INDEX(코드!$E$2:$E$107,MATCH(V26,코드!$A$2:$A$107,0)),0))</f>
        <v/>
      </c>
      <c r="W82" s="40">
        <f>IF(W26="",0,IFERROR(INDEX(코드!$E$2:$E$107,MATCH(W26,코드!$A$2:$A$107,0)),0))</f>
        <v/>
      </c>
      <c r="X82" s="40">
        <f>IF(X26="",0,IFERROR(INDEX(코드!$E$2:$E$107,MATCH(X26,코드!$A$2:$A$107,0)),0))</f>
        <v/>
      </c>
      <c r="Y82" s="40">
        <f>IF(Y26="",0,IFERROR(INDEX(코드!$E$2:$E$107,MATCH(Y26,코드!$A$2:$A$107,0)),0))</f>
        <v/>
      </c>
      <c r="Z82" s="40">
        <f>IF(Z26="",0,IFERROR(INDEX(코드!$E$2:$E$107,MATCH(Z26,코드!$A$2:$A$107,0)),0))</f>
        <v/>
      </c>
      <c r="AA82" s="40">
        <f>IF(AA26="",0,IFERROR(INDEX(코드!$E$2:$E$107,MATCH(AA26,코드!$A$2:$A$107,0)),0))</f>
        <v/>
      </c>
      <c r="AB82" s="40">
        <f>IF(AB26="",0,IFERROR(INDEX(코드!$E$2:$E$107,MATCH(AB26,코드!$A$2:$A$107,0)),0))</f>
        <v/>
      </c>
      <c r="AC82" s="40">
        <f>IF(AC26="",0,IFERROR(INDEX(코드!$E$2:$E$107,MATCH(AC26,코드!$A$2:$A$107,0)),0))</f>
        <v/>
      </c>
      <c r="AD82" s="40">
        <f>IF(AD26="",0,IFERROR(INDEX(코드!$E$2:$E$107,MATCH(AD26,코드!$A$2:$A$107,0)),0))</f>
        <v/>
      </c>
      <c r="AE82" s="40">
        <f>IF(AE26="",0,IFERROR(INDEX(코드!$E$2:$E$107,MATCH(AE26,코드!$A$2:$A$107,0)),0))</f>
        <v/>
      </c>
      <c r="AF82" s="40">
        <f>IF(AF26="",0,IFERROR(INDEX(코드!$E$2:$E$107,MATCH(AF26,코드!$A$2:$A$107,0)),0))</f>
        <v/>
      </c>
      <c r="AG82" s="40">
        <f>IF(AG26="",0,IFERROR(INDEX(코드!$E$2:$E$107,MATCH(AG26,코드!$A$2:$A$107,0)),0))</f>
        <v/>
      </c>
      <c r="AH82" s="40">
        <f>IF(AH26="",0,IFERROR(INDEX(코드!$E$2:$E$107,MATCH(AH26,코드!$A$2:$A$107,0)),0))</f>
        <v/>
      </c>
    </row>
    <row r="83">
      <c r="A83" s="15">
        <f>IF(명부!A21="","",명부!A21)</f>
        <v/>
      </c>
      <c r="B83" s="16">
        <f>IF(명부!C21="","",명부!C21)</f>
        <v/>
      </c>
      <c r="C83" s="17">
        <f>IF(명부!E21="","",명부!E21)</f>
        <v/>
      </c>
      <c r="D83" s="40">
        <f>IF(D27="",0,IFERROR(INDEX(코드!$E$2:$E$107,MATCH(D27,코드!$A$2:$A$107,0)),0))</f>
        <v/>
      </c>
      <c r="E83" s="40">
        <f>IF(E27="",0,IFERROR(INDEX(코드!$E$2:$E$107,MATCH(E27,코드!$A$2:$A$107,0)),0))</f>
        <v/>
      </c>
      <c r="F83" s="40">
        <f>IF(F27="",0,IFERROR(INDEX(코드!$E$2:$E$107,MATCH(F27,코드!$A$2:$A$107,0)),0))</f>
        <v/>
      </c>
      <c r="G83" s="40">
        <f>IF(G27="",0,IFERROR(INDEX(코드!$E$2:$E$107,MATCH(G27,코드!$A$2:$A$107,0)),0))</f>
        <v/>
      </c>
      <c r="H83" s="40">
        <f>IF(H27="",0,IFERROR(INDEX(코드!$E$2:$E$107,MATCH(H27,코드!$A$2:$A$107,0)),0))</f>
        <v/>
      </c>
      <c r="I83" s="40">
        <f>IF(I27="",0,IFERROR(INDEX(코드!$E$2:$E$107,MATCH(I27,코드!$A$2:$A$107,0)),0))</f>
        <v/>
      </c>
      <c r="J83" s="40">
        <f>IF(J27="",0,IFERROR(INDEX(코드!$E$2:$E$107,MATCH(J27,코드!$A$2:$A$107,0)),0))</f>
        <v/>
      </c>
      <c r="K83" s="40">
        <f>IF(K27="",0,IFERROR(INDEX(코드!$E$2:$E$107,MATCH(K27,코드!$A$2:$A$107,0)),0))</f>
        <v/>
      </c>
      <c r="L83" s="40">
        <f>IF(L27="",0,IFERROR(INDEX(코드!$E$2:$E$107,MATCH(L27,코드!$A$2:$A$107,0)),0))</f>
        <v/>
      </c>
      <c r="M83" s="40">
        <f>IF(M27="",0,IFERROR(INDEX(코드!$E$2:$E$107,MATCH(M27,코드!$A$2:$A$107,0)),0))</f>
        <v/>
      </c>
      <c r="N83" s="40">
        <f>IF(N27="",0,IFERROR(INDEX(코드!$E$2:$E$107,MATCH(N27,코드!$A$2:$A$107,0)),0))</f>
        <v/>
      </c>
      <c r="O83" s="40">
        <f>IF(O27="",0,IFERROR(INDEX(코드!$E$2:$E$107,MATCH(O27,코드!$A$2:$A$107,0)),0))</f>
        <v/>
      </c>
      <c r="P83" s="40">
        <f>IF(P27="",0,IFERROR(INDEX(코드!$E$2:$E$107,MATCH(P27,코드!$A$2:$A$107,0)),0))</f>
        <v/>
      </c>
      <c r="Q83" s="40">
        <f>IF(Q27="",0,IFERROR(INDEX(코드!$E$2:$E$107,MATCH(Q27,코드!$A$2:$A$107,0)),0))</f>
        <v/>
      </c>
      <c r="R83" s="40">
        <f>IF(R27="",0,IFERROR(INDEX(코드!$E$2:$E$107,MATCH(R27,코드!$A$2:$A$107,0)),0))</f>
        <v/>
      </c>
      <c r="S83" s="40">
        <f>IF(S27="",0,IFERROR(INDEX(코드!$E$2:$E$107,MATCH(S27,코드!$A$2:$A$107,0)),0))</f>
        <v/>
      </c>
      <c r="T83" s="40">
        <f>IF(T27="",0,IFERROR(INDEX(코드!$E$2:$E$107,MATCH(T27,코드!$A$2:$A$107,0)),0))</f>
        <v/>
      </c>
      <c r="U83" s="40">
        <f>IF(U27="",0,IFERROR(INDEX(코드!$E$2:$E$107,MATCH(U27,코드!$A$2:$A$107,0)),0))</f>
        <v/>
      </c>
      <c r="V83" s="40">
        <f>IF(V27="",0,IFERROR(INDEX(코드!$E$2:$E$107,MATCH(V27,코드!$A$2:$A$107,0)),0))</f>
        <v/>
      </c>
      <c r="W83" s="40">
        <f>IF(W27="",0,IFERROR(INDEX(코드!$E$2:$E$107,MATCH(W27,코드!$A$2:$A$107,0)),0))</f>
        <v/>
      </c>
      <c r="X83" s="40">
        <f>IF(X27="",0,IFERROR(INDEX(코드!$E$2:$E$107,MATCH(X27,코드!$A$2:$A$107,0)),0))</f>
        <v/>
      </c>
      <c r="Y83" s="40">
        <f>IF(Y27="",0,IFERROR(INDEX(코드!$E$2:$E$107,MATCH(Y27,코드!$A$2:$A$107,0)),0))</f>
        <v/>
      </c>
      <c r="Z83" s="40">
        <f>IF(Z27="",0,IFERROR(INDEX(코드!$E$2:$E$107,MATCH(Z27,코드!$A$2:$A$107,0)),0))</f>
        <v/>
      </c>
      <c r="AA83" s="40">
        <f>IF(AA27="",0,IFERROR(INDEX(코드!$E$2:$E$107,MATCH(AA27,코드!$A$2:$A$107,0)),0))</f>
        <v/>
      </c>
      <c r="AB83" s="40">
        <f>IF(AB27="",0,IFERROR(INDEX(코드!$E$2:$E$107,MATCH(AB27,코드!$A$2:$A$107,0)),0))</f>
        <v/>
      </c>
      <c r="AC83" s="40">
        <f>IF(AC27="",0,IFERROR(INDEX(코드!$E$2:$E$107,MATCH(AC27,코드!$A$2:$A$107,0)),0))</f>
        <v/>
      </c>
      <c r="AD83" s="40">
        <f>IF(AD27="",0,IFERROR(INDEX(코드!$E$2:$E$107,MATCH(AD27,코드!$A$2:$A$107,0)),0))</f>
        <v/>
      </c>
      <c r="AE83" s="40">
        <f>IF(AE27="",0,IFERROR(INDEX(코드!$E$2:$E$107,MATCH(AE27,코드!$A$2:$A$107,0)),0))</f>
        <v/>
      </c>
      <c r="AF83" s="40">
        <f>IF(AF27="",0,IFERROR(INDEX(코드!$E$2:$E$107,MATCH(AF27,코드!$A$2:$A$107,0)),0))</f>
        <v/>
      </c>
      <c r="AG83" s="40">
        <f>IF(AG27="",0,IFERROR(INDEX(코드!$E$2:$E$107,MATCH(AG27,코드!$A$2:$A$107,0)),0))</f>
        <v/>
      </c>
      <c r="AH83" s="40">
        <f>IF(AH27="",0,IFERROR(INDEX(코드!$E$2:$E$107,MATCH(AH27,코드!$A$2:$A$107,0)),0))</f>
        <v/>
      </c>
    </row>
    <row r="84">
      <c r="A84" s="15">
        <f>IF(명부!A22="","",명부!A22)</f>
        <v/>
      </c>
      <c r="B84" s="16">
        <f>IF(명부!C22="","",명부!C22)</f>
        <v/>
      </c>
      <c r="C84" s="17">
        <f>IF(명부!E22="","",명부!E22)</f>
        <v/>
      </c>
      <c r="D84" s="40">
        <f>IF(D28="",0,IFERROR(INDEX(코드!$E$2:$E$107,MATCH(D28,코드!$A$2:$A$107,0)),0))</f>
        <v/>
      </c>
      <c r="E84" s="40">
        <f>IF(E28="",0,IFERROR(INDEX(코드!$E$2:$E$107,MATCH(E28,코드!$A$2:$A$107,0)),0))</f>
        <v/>
      </c>
      <c r="F84" s="40">
        <f>IF(F28="",0,IFERROR(INDEX(코드!$E$2:$E$107,MATCH(F28,코드!$A$2:$A$107,0)),0))</f>
        <v/>
      </c>
      <c r="G84" s="40">
        <f>IF(G28="",0,IFERROR(INDEX(코드!$E$2:$E$107,MATCH(G28,코드!$A$2:$A$107,0)),0))</f>
        <v/>
      </c>
      <c r="H84" s="40">
        <f>IF(H28="",0,IFERROR(INDEX(코드!$E$2:$E$107,MATCH(H28,코드!$A$2:$A$107,0)),0))</f>
        <v/>
      </c>
      <c r="I84" s="40">
        <f>IF(I28="",0,IFERROR(INDEX(코드!$E$2:$E$107,MATCH(I28,코드!$A$2:$A$107,0)),0))</f>
        <v/>
      </c>
      <c r="J84" s="40">
        <f>IF(J28="",0,IFERROR(INDEX(코드!$E$2:$E$107,MATCH(J28,코드!$A$2:$A$107,0)),0))</f>
        <v/>
      </c>
      <c r="K84" s="40">
        <f>IF(K28="",0,IFERROR(INDEX(코드!$E$2:$E$107,MATCH(K28,코드!$A$2:$A$107,0)),0))</f>
        <v/>
      </c>
      <c r="L84" s="40">
        <f>IF(L28="",0,IFERROR(INDEX(코드!$E$2:$E$107,MATCH(L28,코드!$A$2:$A$107,0)),0))</f>
        <v/>
      </c>
      <c r="M84" s="40">
        <f>IF(M28="",0,IFERROR(INDEX(코드!$E$2:$E$107,MATCH(M28,코드!$A$2:$A$107,0)),0))</f>
        <v/>
      </c>
      <c r="N84" s="40">
        <f>IF(N28="",0,IFERROR(INDEX(코드!$E$2:$E$107,MATCH(N28,코드!$A$2:$A$107,0)),0))</f>
        <v/>
      </c>
      <c r="O84" s="40">
        <f>IF(O28="",0,IFERROR(INDEX(코드!$E$2:$E$107,MATCH(O28,코드!$A$2:$A$107,0)),0))</f>
        <v/>
      </c>
      <c r="P84" s="40">
        <f>IF(P28="",0,IFERROR(INDEX(코드!$E$2:$E$107,MATCH(P28,코드!$A$2:$A$107,0)),0))</f>
        <v/>
      </c>
      <c r="Q84" s="40">
        <f>IF(Q28="",0,IFERROR(INDEX(코드!$E$2:$E$107,MATCH(Q28,코드!$A$2:$A$107,0)),0))</f>
        <v/>
      </c>
      <c r="R84" s="40">
        <f>IF(R28="",0,IFERROR(INDEX(코드!$E$2:$E$107,MATCH(R28,코드!$A$2:$A$107,0)),0))</f>
        <v/>
      </c>
      <c r="S84" s="40">
        <f>IF(S28="",0,IFERROR(INDEX(코드!$E$2:$E$107,MATCH(S28,코드!$A$2:$A$107,0)),0))</f>
        <v/>
      </c>
      <c r="T84" s="40">
        <f>IF(T28="",0,IFERROR(INDEX(코드!$E$2:$E$107,MATCH(T28,코드!$A$2:$A$107,0)),0))</f>
        <v/>
      </c>
      <c r="U84" s="40">
        <f>IF(U28="",0,IFERROR(INDEX(코드!$E$2:$E$107,MATCH(U28,코드!$A$2:$A$107,0)),0))</f>
        <v/>
      </c>
      <c r="V84" s="40">
        <f>IF(V28="",0,IFERROR(INDEX(코드!$E$2:$E$107,MATCH(V28,코드!$A$2:$A$107,0)),0))</f>
        <v/>
      </c>
      <c r="W84" s="40">
        <f>IF(W28="",0,IFERROR(INDEX(코드!$E$2:$E$107,MATCH(W28,코드!$A$2:$A$107,0)),0))</f>
        <v/>
      </c>
      <c r="X84" s="40">
        <f>IF(X28="",0,IFERROR(INDEX(코드!$E$2:$E$107,MATCH(X28,코드!$A$2:$A$107,0)),0))</f>
        <v/>
      </c>
      <c r="Y84" s="40">
        <f>IF(Y28="",0,IFERROR(INDEX(코드!$E$2:$E$107,MATCH(Y28,코드!$A$2:$A$107,0)),0))</f>
        <v/>
      </c>
      <c r="Z84" s="40">
        <f>IF(Z28="",0,IFERROR(INDEX(코드!$E$2:$E$107,MATCH(Z28,코드!$A$2:$A$107,0)),0))</f>
        <v/>
      </c>
      <c r="AA84" s="40">
        <f>IF(AA28="",0,IFERROR(INDEX(코드!$E$2:$E$107,MATCH(AA28,코드!$A$2:$A$107,0)),0))</f>
        <v/>
      </c>
      <c r="AB84" s="40">
        <f>IF(AB28="",0,IFERROR(INDEX(코드!$E$2:$E$107,MATCH(AB28,코드!$A$2:$A$107,0)),0))</f>
        <v/>
      </c>
      <c r="AC84" s="40">
        <f>IF(AC28="",0,IFERROR(INDEX(코드!$E$2:$E$107,MATCH(AC28,코드!$A$2:$A$107,0)),0))</f>
        <v/>
      </c>
      <c r="AD84" s="40">
        <f>IF(AD28="",0,IFERROR(INDEX(코드!$E$2:$E$107,MATCH(AD28,코드!$A$2:$A$107,0)),0))</f>
        <v/>
      </c>
      <c r="AE84" s="40">
        <f>IF(AE28="",0,IFERROR(INDEX(코드!$E$2:$E$107,MATCH(AE28,코드!$A$2:$A$107,0)),0))</f>
        <v/>
      </c>
      <c r="AF84" s="40">
        <f>IF(AF28="",0,IFERROR(INDEX(코드!$E$2:$E$107,MATCH(AF28,코드!$A$2:$A$107,0)),0))</f>
        <v/>
      </c>
      <c r="AG84" s="40">
        <f>IF(AG28="",0,IFERROR(INDEX(코드!$E$2:$E$107,MATCH(AG28,코드!$A$2:$A$107,0)),0))</f>
        <v/>
      </c>
      <c r="AH84" s="40">
        <f>IF(AH28="",0,IFERROR(INDEX(코드!$E$2:$E$107,MATCH(AH28,코드!$A$2:$A$107,0)),0))</f>
        <v/>
      </c>
    </row>
    <row r="85">
      <c r="A85" s="15">
        <f>IF(명부!A23="","",명부!A23)</f>
        <v/>
      </c>
      <c r="B85" s="16">
        <f>IF(명부!C23="","",명부!C23)</f>
        <v/>
      </c>
      <c r="C85" s="17">
        <f>IF(명부!E23="","",명부!E23)</f>
        <v/>
      </c>
      <c r="D85" s="40">
        <f>IF(D29="",0,IFERROR(INDEX(코드!$E$2:$E$107,MATCH(D29,코드!$A$2:$A$107,0)),0))</f>
        <v/>
      </c>
      <c r="E85" s="40">
        <f>IF(E29="",0,IFERROR(INDEX(코드!$E$2:$E$107,MATCH(E29,코드!$A$2:$A$107,0)),0))</f>
        <v/>
      </c>
      <c r="F85" s="40">
        <f>IF(F29="",0,IFERROR(INDEX(코드!$E$2:$E$107,MATCH(F29,코드!$A$2:$A$107,0)),0))</f>
        <v/>
      </c>
      <c r="G85" s="40">
        <f>IF(G29="",0,IFERROR(INDEX(코드!$E$2:$E$107,MATCH(G29,코드!$A$2:$A$107,0)),0))</f>
        <v/>
      </c>
      <c r="H85" s="40">
        <f>IF(H29="",0,IFERROR(INDEX(코드!$E$2:$E$107,MATCH(H29,코드!$A$2:$A$107,0)),0))</f>
        <v/>
      </c>
      <c r="I85" s="40">
        <f>IF(I29="",0,IFERROR(INDEX(코드!$E$2:$E$107,MATCH(I29,코드!$A$2:$A$107,0)),0))</f>
        <v/>
      </c>
      <c r="J85" s="40">
        <f>IF(J29="",0,IFERROR(INDEX(코드!$E$2:$E$107,MATCH(J29,코드!$A$2:$A$107,0)),0))</f>
        <v/>
      </c>
      <c r="K85" s="40">
        <f>IF(K29="",0,IFERROR(INDEX(코드!$E$2:$E$107,MATCH(K29,코드!$A$2:$A$107,0)),0))</f>
        <v/>
      </c>
      <c r="L85" s="40">
        <f>IF(L29="",0,IFERROR(INDEX(코드!$E$2:$E$107,MATCH(L29,코드!$A$2:$A$107,0)),0))</f>
        <v/>
      </c>
      <c r="M85" s="40">
        <f>IF(M29="",0,IFERROR(INDEX(코드!$E$2:$E$107,MATCH(M29,코드!$A$2:$A$107,0)),0))</f>
        <v/>
      </c>
      <c r="N85" s="40">
        <f>IF(N29="",0,IFERROR(INDEX(코드!$E$2:$E$107,MATCH(N29,코드!$A$2:$A$107,0)),0))</f>
        <v/>
      </c>
      <c r="O85" s="40">
        <f>IF(O29="",0,IFERROR(INDEX(코드!$E$2:$E$107,MATCH(O29,코드!$A$2:$A$107,0)),0))</f>
        <v/>
      </c>
      <c r="P85" s="40">
        <f>IF(P29="",0,IFERROR(INDEX(코드!$E$2:$E$107,MATCH(P29,코드!$A$2:$A$107,0)),0))</f>
        <v/>
      </c>
      <c r="Q85" s="40">
        <f>IF(Q29="",0,IFERROR(INDEX(코드!$E$2:$E$107,MATCH(Q29,코드!$A$2:$A$107,0)),0))</f>
        <v/>
      </c>
      <c r="R85" s="40">
        <f>IF(R29="",0,IFERROR(INDEX(코드!$E$2:$E$107,MATCH(R29,코드!$A$2:$A$107,0)),0))</f>
        <v/>
      </c>
      <c r="S85" s="40">
        <f>IF(S29="",0,IFERROR(INDEX(코드!$E$2:$E$107,MATCH(S29,코드!$A$2:$A$107,0)),0))</f>
        <v/>
      </c>
      <c r="T85" s="40">
        <f>IF(T29="",0,IFERROR(INDEX(코드!$E$2:$E$107,MATCH(T29,코드!$A$2:$A$107,0)),0))</f>
        <v/>
      </c>
      <c r="U85" s="40">
        <f>IF(U29="",0,IFERROR(INDEX(코드!$E$2:$E$107,MATCH(U29,코드!$A$2:$A$107,0)),0))</f>
        <v/>
      </c>
      <c r="V85" s="40">
        <f>IF(V29="",0,IFERROR(INDEX(코드!$E$2:$E$107,MATCH(V29,코드!$A$2:$A$107,0)),0))</f>
        <v/>
      </c>
      <c r="W85" s="40">
        <f>IF(W29="",0,IFERROR(INDEX(코드!$E$2:$E$107,MATCH(W29,코드!$A$2:$A$107,0)),0))</f>
        <v/>
      </c>
      <c r="X85" s="40">
        <f>IF(X29="",0,IFERROR(INDEX(코드!$E$2:$E$107,MATCH(X29,코드!$A$2:$A$107,0)),0))</f>
        <v/>
      </c>
      <c r="Y85" s="40">
        <f>IF(Y29="",0,IFERROR(INDEX(코드!$E$2:$E$107,MATCH(Y29,코드!$A$2:$A$107,0)),0))</f>
        <v/>
      </c>
      <c r="Z85" s="40">
        <f>IF(Z29="",0,IFERROR(INDEX(코드!$E$2:$E$107,MATCH(Z29,코드!$A$2:$A$107,0)),0))</f>
        <v/>
      </c>
      <c r="AA85" s="40">
        <f>IF(AA29="",0,IFERROR(INDEX(코드!$E$2:$E$107,MATCH(AA29,코드!$A$2:$A$107,0)),0))</f>
        <v/>
      </c>
      <c r="AB85" s="40">
        <f>IF(AB29="",0,IFERROR(INDEX(코드!$E$2:$E$107,MATCH(AB29,코드!$A$2:$A$107,0)),0))</f>
        <v/>
      </c>
      <c r="AC85" s="40">
        <f>IF(AC29="",0,IFERROR(INDEX(코드!$E$2:$E$107,MATCH(AC29,코드!$A$2:$A$107,0)),0))</f>
        <v/>
      </c>
      <c r="AD85" s="40">
        <f>IF(AD29="",0,IFERROR(INDEX(코드!$E$2:$E$107,MATCH(AD29,코드!$A$2:$A$107,0)),0))</f>
        <v/>
      </c>
      <c r="AE85" s="40">
        <f>IF(AE29="",0,IFERROR(INDEX(코드!$E$2:$E$107,MATCH(AE29,코드!$A$2:$A$107,0)),0))</f>
        <v/>
      </c>
      <c r="AF85" s="40">
        <f>IF(AF29="",0,IFERROR(INDEX(코드!$E$2:$E$107,MATCH(AF29,코드!$A$2:$A$107,0)),0))</f>
        <v/>
      </c>
      <c r="AG85" s="40">
        <f>IF(AG29="",0,IFERROR(INDEX(코드!$E$2:$E$107,MATCH(AG29,코드!$A$2:$A$107,0)),0))</f>
        <v/>
      </c>
      <c r="AH85" s="40">
        <f>IF(AH29="",0,IFERROR(INDEX(코드!$E$2:$E$107,MATCH(AH29,코드!$A$2:$A$107,0)),0))</f>
        <v/>
      </c>
    </row>
    <row r="86">
      <c r="A86" s="15">
        <f>IF(명부!A24="","",명부!A24)</f>
        <v/>
      </c>
      <c r="B86" s="16">
        <f>IF(명부!C24="","",명부!C24)</f>
        <v/>
      </c>
      <c r="C86" s="17">
        <f>IF(명부!E24="","",명부!E24)</f>
        <v/>
      </c>
      <c r="D86" s="40">
        <f>IF(D30="",0,IFERROR(INDEX(코드!$E$2:$E$107,MATCH(D30,코드!$A$2:$A$107,0)),0))</f>
        <v/>
      </c>
      <c r="E86" s="40">
        <f>IF(E30="",0,IFERROR(INDEX(코드!$E$2:$E$107,MATCH(E30,코드!$A$2:$A$107,0)),0))</f>
        <v/>
      </c>
      <c r="F86" s="40">
        <f>IF(F30="",0,IFERROR(INDEX(코드!$E$2:$E$107,MATCH(F30,코드!$A$2:$A$107,0)),0))</f>
        <v/>
      </c>
      <c r="G86" s="40">
        <f>IF(G30="",0,IFERROR(INDEX(코드!$E$2:$E$107,MATCH(G30,코드!$A$2:$A$107,0)),0))</f>
        <v/>
      </c>
      <c r="H86" s="40">
        <f>IF(H30="",0,IFERROR(INDEX(코드!$E$2:$E$107,MATCH(H30,코드!$A$2:$A$107,0)),0))</f>
        <v/>
      </c>
      <c r="I86" s="40">
        <f>IF(I30="",0,IFERROR(INDEX(코드!$E$2:$E$107,MATCH(I30,코드!$A$2:$A$107,0)),0))</f>
        <v/>
      </c>
      <c r="J86" s="40">
        <f>IF(J30="",0,IFERROR(INDEX(코드!$E$2:$E$107,MATCH(J30,코드!$A$2:$A$107,0)),0))</f>
        <v/>
      </c>
      <c r="K86" s="40">
        <f>IF(K30="",0,IFERROR(INDEX(코드!$E$2:$E$107,MATCH(K30,코드!$A$2:$A$107,0)),0))</f>
        <v/>
      </c>
      <c r="L86" s="40">
        <f>IF(L30="",0,IFERROR(INDEX(코드!$E$2:$E$107,MATCH(L30,코드!$A$2:$A$107,0)),0))</f>
        <v/>
      </c>
      <c r="M86" s="40">
        <f>IF(M30="",0,IFERROR(INDEX(코드!$E$2:$E$107,MATCH(M30,코드!$A$2:$A$107,0)),0))</f>
        <v/>
      </c>
      <c r="N86" s="40">
        <f>IF(N30="",0,IFERROR(INDEX(코드!$E$2:$E$107,MATCH(N30,코드!$A$2:$A$107,0)),0))</f>
        <v/>
      </c>
      <c r="O86" s="40">
        <f>IF(O30="",0,IFERROR(INDEX(코드!$E$2:$E$107,MATCH(O30,코드!$A$2:$A$107,0)),0))</f>
        <v/>
      </c>
      <c r="P86" s="40">
        <f>IF(P30="",0,IFERROR(INDEX(코드!$E$2:$E$107,MATCH(P30,코드!$A$2:$A$107,0)),0))</f>
        <v/>
      </c>
      <c r="Q86" s="40">
        <f>IF(Q30="",0,IFERROR(INDEX(코드!$E$2:$E$107,MATCH(Q30,코드!$A$2:$A$107,0)),0))</f>
        <v/>
      </c>
      <c r="R86" s="40">
        <f>IF(R30="",0,IFERROR(INDEX(코드!$E$2:$E$107,MATCH(R30,코드!$A$2:$A$107,0)),0))</f>
        <v/>
      </c>
      <c r="S86" s="40">
        <f>IF(S30="",0,IFERROR(INDEX(코드!$E$2:$E$107,MATCH(S30,코드!$A$2:$A$107,0)),0))</f>
        <v/>
      </c>
      <c r="T86" s="40">
        <f>IF(T30="",0,IFERROR(INDEX(코드!$E$2:$E$107,MATCH(T30,코드!$A$2:$A$107,0)),0))</f>
        <v/>
      </c>
      <c r="U86" s="40">
        <f>IF(U30="",0,IFERROR(INDEX(코드!$E$2:$E$107,MATCH(U30,코드!$A$2:$A$107,0)),0))</f>
        <v/>
      </c>
      <c r="V86" s="40">
        <f>IF(V30="",0,IFERROR(INDEX(코드!$E$2:$E$107,MATCH(V30,코드!$A$2:$A$107,0)),0))</f>
        <v/>
      </c>
      <c r="W86" s="40">
        <f>IF(W30="",0,IFERROR(INDEX(코드!$E$2:$E$107,MATCH(W30,코드!$A$2:$A$107,0)),0))</f>
        <v/>
      </c>
      <c r="X86" s="40">
        <f>IF(X30="",0,IFERROR(INDEX(코드!$E$2:$E$107,MATCH(X30,코드!$A$2:$A$107,0)),0))</f>
        <v/>
      </c>
      <c r="Y86" s="40">
        <f>IF(Y30="",0,IFERROR(INDEX(코드!$E$2:$E$107,MATCH(Y30,코드!$A$2:$A$107,0)),0))</f>
        <v/>
      </c>
      <c r="Z86" s="40">
        <f>IF(Z30="",0,IFERROR(INDEX(코드!$E$2:$E$107,MATCH(Z30,코드!$A$2:$A$107,0)),0))</f>
        <v/>
      </c>
      <c r="AA86" s="40">
        <f>IF(AA30="",0,IFERROR(INDEX(코드!$E$2:$E$107,MATCH(AA30,코드!$A$2:$A$107,0)),0))</f>
        <v/>
      </c>
      <c r="AB86" s="40">
        <f>IF(AB30="",0,IFERROR(INDEX(코드!$E$2:$E$107,MATCH(AB30,코드!$A$2:$A$107,0)),0))</f>
        <v/>
      </c>
      <c r="AC86" s="40">
        <f>IF(AC30="",0,IFERROR(INDEX(코드!$E$2:$E$107,MATCH(AC30,코드!$A$2:$A$107,0)),0))</f>
        <v/>
      </c>
      <c r="AD86" s="40">
        <f>IF(AD30="",0,IFERROR(INDEX(코드!$E$2:$E$107,MATCH(AD30,코드!$A$2:$A$107,0)),0))</f>
        <v/>
      </c>
      <c r="AE86" s="40">
        <f>IF(AE30="",0,IFERROR(INDEX(코드!$E$2:$E$107,MATCH(AE30,코드!$A$2:$A$107,0)),0))</f>
        <v/>
      </c>
      <c r="AF86" s="40">
        <f>IF(AF30="",0,IFERROR(INDEX(코드!$E$2:$E$107,MATCH(AF30,코드!$A$2:$A$107,0)),0))</f>
        <v/>
      </c>
      <c r="AG86" s="40">
        <f>IF(AG30="",0,IFERROR(INDEX(코드!$E$2:$E$107,MATCH(AG30,코드!$A$2:$A$107,0)),0))</f>
        <v/>
      </c>
      <c r="AH86" s="40">
        <f>IF(AH30="",0,IFERROR(INDEX(코드!$E$2:$E$107,MATCH(AH30,코드!$A$2:$A$107,0)),0))</f>
        <v/>
      </c>
    </row>
    <row r="87">
      <c r="A87" s="15">
        <f>IF(명부!A25="","",명부!A25)</f>
        <v/>
      </c>
      <c r="B87" s="16">
        <f>IF(명부!C25="","",명부!C25)</f>
        <v/>
      </c>
      <c r="C87" s="17">
        <f>IF(명부!E25="","",명부!E25)</f>
        <v/>
      </c>
      <c r="D87" s="40">
        <f>IF(D31="",0,IFERROR(INDEX(코드!$E$2:$E$107,MATCH(D31,코드!$A$2:$A$107,0)),0))</f>
        <v/>
      </c>
      <c r="E87" s="40">
        <f>IF(E31="",0,IFERROR(INDEX(코드!$E$2:$E$107,MATCH(E31,코드!$A$2:$A$107,0)),0))</f>
        <v/>
      </c>
      <c r="F87" s="40">
        <f>IF(F31="",0,IFERROR(INDEX(코드!$E$2:$E$107,MATCH(F31,코드!$A$2:$A$107,0)),0))</f>
        <v/>
      </c>
      <c r="G87" s="40">
        <f>IF(G31="",0,IFERROR(INDEX(코드!$E$2:$E$107,MATCH(G31,코드!$A$2:$A$107,0)),0))</f>
        <v/>
      </c>
      <c r="H87" s="40">
        <f>IF(H31="",0,IFERROR(INDEX(코드!$E$2:$E$107,MATCH(H31,코드!$A$2:$A$107,0)),0))</f>
        <v/>
      </c>
      <c r="I87" s="40">
        <f>IF(I31="",0,IFERROR(INDEX(코드!$E$2:$E$107,MATCH(I31,코드!$A$2:$A$107,0)),0))</f>
        <v/>
      </c>
      <c r="J87" s="40">
        <f>IF(J31="",0,IFERROR(INDEX(코드!$E$2:$E$107,MATCH(J31,코드!$A$2:$A$107,0)),0))</f>
        <v/>
      </c>
      <c r="K87" s="40">
        <f>IF(K31="",0,IFERROR(INDEX(코드!$E$2:$E$107,MATCH(K31,코드!$A$2:$A$107,0)),0))</f>
        <v/>
      </c>
      <c r="L87" s="40">
        <f>IF(L31="",0,IFERROR(INDEX(코드!$E$2:$E$107,MATCH(L31,코드!$A$2:$A$107,0)),0))</f>
        <v/>
      </c>
      <c r="M87" s="40">
        <f>IF(M31="",0,IFERROR(INDEX(코드!$E$2:$E$107,MATCH(M31,코드!$A$2:$A$107,0)),0))</f>
        <v/>
      </c>
      <c r="N87" s="40">
        <f>IF(N31="",0,IFERROR(INDEX(코드!$E$2:$E$107,MATCH(N31,코드!$A$2:$A$107,0)),0))</f>
        <v/>
      </c>
      <c r="O87" s="40">
        <f>IF(O31="",0,IFERROR(INDEX(코드!$E$2:$E$107,MATCH(O31,코드!$A$2:$A$107,0)),0))</f>
        <v/>
      </c>
      <c r="P87" s="40">
        <f>IF(P31="",0,IFERROR(INDEX(코드!$E$2:$E$107,MATCH(P31,코드!$A$2:$A$107,0)),0))</f>
        <v/>
      </c>
      <c r="Q87" s="40">
        <f>IF(Q31="",0,IFERROR(INDEX(코드!$E$2:$E$107,MATCH(Q31,코드!$A$2:$A$107,0)),0))</f>
        <v/>
      </c>
      <c r="R87" s="40">
        <f>IF(R31="",0,IFERROR(INDEX(코드!$E$2:$E$107,MATCH(R31,코드!$A$2:$A$107,0)),0))</f>
        <v/>
      </c>
      <c r="S87" s="40">
        <f>IF(S31="",0,IFERROR(INDEX(코드!$E$2:$E$107,MATCH(S31,코드!$A$2:$A$107,0)),0))</f>
        <v/>
      </c>
      <c r="T87" s="40">
        <f>IF(T31="",0,IFERROR(INDEX(코드!$E$2:$E$107,MATCH(T31,코드!$A$2:$A$107,0)),0))</f>
        <v/>
      </c>
      <c r="U87" s="40">
        <f>IF(U31="",0,IFERROR(INDEX(코드!$E$2:$E$107,MATCH(U31,코드!$A$2:$A$107,0)),0))</f>
        <v/>
      </c>
      <c r="V87" s="40">
        <f>IF(V31="",0,IFERROR(INDEX(코드!$E$2:$E$107,MATCH(V31,코드!$A$2:$A$107,0)),0))</f>
        <v/>
      </c>
      <c r="W87" s="40">
        <f>IF(W31="",0,IFERROR(INDEX(코드!$E$2:$E$107,MATCH(W31,코드!$A$2:$A$107,0)),0))</f>
        <v/>
      </c>
      <c r="X87" s="40">
        <f>IF(X31="",0,IFERROR(INDEX(코드!$E$2:$E$107,MATCH(X31,코드!$A$2:$A$107,0)),0))</f>
        <v/>
      </c>
      <c r="Y87" s="40">
        <f>IF(Y31="",0,IFERROR(INDEX(코드!$E$2:$E$107,MATCH(Y31,코드!$A$2:$A$107,0)),0))</f>
        <v/>
      </c>
      <c r="Z87" s="40">
        <f>IF(Z31="",0,IFERROR(INDEX(코드!$E$2:$E$107,MATCH(Z31,코드!$A$2:$A$107,0)),0))</f>
        <v/>
      </c>
      <c r="AA87" s="40">
        <f>IF(AA31="",0,IFERROR(INDEX(코드!$E$2:$E$107,MATCH(AA31,코드!$A$2:$A$107,0)),0))</f>
        <v/>
      </c>
      <c r="AB87" s="40">
        <f>IF(AB31="",0,IFERROR(INDEX(코드!$E$2:$E$107,MATCH(AB31,코드!$A$2:$A$107,0)),0))</f>
        <v/>
      </c>
      <c r="AC87" s="40">
        <f>IF(AC31="",0,IFERROR(INDEX(코드!$E$2:$E$107,MATCH(AC31,코드!$A$2:$A$107,0)),0))</f>
        <v/>
      </c>
      <c r="AD87" s="40">
        <f>IF(AD31="",0,IFERROR(INDEX(코드!$E$2:$E$107,MATCH(AD31,코드!$A$2:$A$107,0)),0))</f>
        <v/>
      </c>
      <c r="AE87" s="40">
        <f>IF(AE31="",0,IFERROR(INDEX(코드!$E$2:$E$107,MATCH(AE31,코드!$A$2:$A$107,0)),0))</f>
        <v/>
      </c>
      <c r="AF87" s="40">
        <f>IF(AF31="",0,IFERROR(INDEX(코드!$E$2:$E$107,MATCH(AF31,코드!$A$2:$A$107,0)),0))</f>
        <v/>
      </c>
      <c r="AG87" s="40">
        <f>IF(AG31="",0,IFERROR(INDEX(코드!$E$2:$E$107,MATCH(AG31,코드!$A$2:$A$107,0)),0))</f>
        <v/>
      </c>
      <c r="AH87" s="40">
        <f>IF(AH31="",0,IFERROR(INDEX(코드!$E$2:$E$107,MATCH(AH31,코드!$A$2:$A$107,0)),0))</f>
        <v/>
      </c>
    </row>
    <row r="91">
      <c r="A91" s="20" t="inlineStr">
        <is>
          <t>충족</t>
        </is>
      </c>
    </row>
    <row r="92">
      <c r="A92" s="15">
        <f>IF(명부!A2="","",명부!A2)</f>
        <v/>
      </c>
      <c r="B92" s="16">
        <f>IF(명부!C2="","",명부!C2)</f>
        <v/>
      </c>
      <c r="C92" s="17">
        <f>IF(명부!E2="","",명부!E2)</f>
        <v/>
      </c>
      <c r="D92" s="41">
        <f>IF(D$6="휴일",0,IF(D8="",1,IFERROR(INDEX(코드!$F$2:$F$107,MATCH(D8,코드!$A$2:$A$107,0)),0)))</f>
        <v/>
      </c>
      <c r="E92" s="41">
        <f>IF(E$6="휴일",0,IF(E8="",1,IFERROR(INDEX(코드!$F$2:$F$107,MATCH(E8,코드!$A$2:$A$107,0)),0)))</f>
        <v/>
      </c>
      <c r="F92" s="41">
        <f>IF(F$6="휴일",0,IF(F8="",1,IFERROR(INDEX(코드!$F$2:$F$107,MATCH(F8,코드!$A$2:$A$107,0)),0)))</f>
        <v/>
      </c>
      <c r="G92" s="41">
        <f>IF(G$6="휴일",0,IF(G8="",1,IFERROR(INDEX(코드!$F$2:$F$107,MATCH(G8,코드!$A$2:$A$107,0)),0)))</f>
        <v/>
      </c>
      <c r="H92" s="41">
        <f>IF(H$6="휴일",0,IF(H8="",1,IFERROR(INDEX(코드!$F$2:$F$107,MATCH(H8,코드!$A$2:$A$107,0)),0)))</f>
        <v/>
      </c>
      <c r="I92" s="41">
        <f>IF(I$6="휴일",0,IF(I8="",1,IFERROR(INDEX(코드!$F$2:$F$107,MATCH(I8,코드!$A$2:$A$107,0)),0)))</f>
        <v/>
      </c>
      <c r="J92" s="41">
        <f>IF(J$6="휴일",0,IF(J8="",1,IFERROR(INDEX(코드!$F$2:$F$107,MATCH(J8,코드!$A$2:$A$107,0)),0)))</f>
        <v/>
      </c>
      <c r="K92" s="41">
        <f>IF(K$6="휴일",0,IF(K8="",1,IFERROR(INDEX(코드!$F$2:$F$107,MATCH(K8,코드!$A$2:$A$107,0)),0)))</f>
        <v/>
      </c>
      <c r="L92" s="41">
        <f>IF(L$6="휴일",0,IF(L8="",1,IFERROR(INDEX(코드!$F$2:$F$107,MATCH(L8,코드!$A$2:$A$107,0)),0)))</f>
        <v/>
      </c>
      <c r="M92" s="41">
        <f>IF(M$6="휴일",0,IF(M8="",1,IFERROR(INDEX(코드!$F$2:$F$107,MATCH(M8,코드!$A$2:$A$107,0)),0)))</f>
        <v/>
      </c>
      <c r="N92" s="41">
        <f>IF(N$6="휴일",0,IF(N8="",1,IFERROR(INDEX(코드!$F$2:$F$107,MATCH(N8,코드!$A$2:$A$107,0)),0)))</f>
        <v/>
      </c>
      <c r="O92" s="41">
        <f>IF(O$6="휴일",0,IF(O8="",1,IFERROR(INDEX(코드!$F$2:$F$107,MATCH(O8,코드!$A$2:$A$107,0)),0)))</f>
        <v/>
      </c>
      <c r="P92" s="41">
        <f>IF(P$6="휴일",0,IF(P8="",1,IFERROR(INDEX(코드!$F$2:$F$107,MATCH(P8,코드!$A$2:$A$107,0)),0)))</f>
        <v/>
      </c>
      <c r="Q92" s="41">
        <f>IF(Q$6="휴일",0,IF(Q8="",1,IFERROR(INDEX(코드!$F$2:$F$107,MATCH(Q8,코드!$A$2:$A$107,0)),0)))</f>
        <v/>
      </c>
      <c r="R92" s="41">
        <f>IF(R$6="휴일",0,IF(R8="",1,IFERROR(INDEX(코드!$F$2:$F$107,MATCH(R8,코드!$A$2:$A$107,0)),0)))</f>
        <v/>
      </c>
      <c r="S92" s="41">
        <f>IF(S$6="휴일",0,IF(S8="",1,IFERROR(INDEX(코드!$F$2:$F$107,MATCH(S8,코드!$A$2:$A$107,0)),0)))</f>
        <v/>
      </c>
      <c r="T92" s="41">
        <f>IF(T$6="휴일",0,IF(T8="",1,IFERROR(INDEX(코드!$F$2:$F$107,MATCH(T8,코드!$A$2:$A$107,0)),0)))</f>
        <v/>
      </c>
      <c r="U92" s="41">
        <f>IF(U$6="휴일",0,IF(U8="",1,IFERROR(INDEX(코드!$F$2:$F$107,MATCH(U8,코드!$A$2:$A$107,0)),0)))</f>
        <v/>
      </c>
      <c r="V92" s="41">
        <f>IF(V$6="휴일",0,IF(V8="",1,IFERROR(INDEX(코드!$F$2:$F$107,MATCH(V8,코드!$A$2:$A$107,0)),0)))</f>
        <v/>
      </c>
      <c r="W92" s="41">
        <f>IF(W$6="휴일",0,IF(W8="",1,IFERROR(INDEX(코드!$F$2:$F$107,MATCH(W8,코드!$A$2:$A$107,0)),0)))</f>
        <v/>
      </c>
      <c r="X92" s="41">
        <f>IF(X$6="휴일",0,IF(X8="",1,IFERROR(INDEX(코드!$F$2:$F$107,MATCH(X8,코드!$A$2:$A$107,0)),0)))</f>
        <v/>
      </c>
      <c r="Y92" s="41">
        <f>IF(Y$6="휴일",0,IF(Y8="",1,IFERROR(INDEX(코드!$F$2:$F$107,MATCH(Y8,코드!$A$2:$A$107,0)),0)))</f>
        <v/>
      </c>
      <c r="Z92" s="41">
        <f>IF(Z$6="휴일",0,IF(Z8="",1,IFERROR(INDEX(코드!$F$2:$F$107,MATCH(Z8,코드!$A$2:$A$107,0)),0)))</f>
        <v/>
      </c>
      <c r="AA92" s="41">
        <f>IF(AA$6="휴일",0,IF(AA8="",1,IFERROR(INDEX(코드!$F$2:$F$107,MATCH(AA8,코드!$A$2:$A$107,0)),0)))</f>
        <v/>
      </c>
      <c r="AB92" s="41">
        <f>IF(AB$6="휴일",0,IF(AB8="",1,IFERROR(INDEX(코드!$F$2:$F$107,MATCH(AB8,코드!$A$2:$A$107,0)),0)))</f>
        <v/>
      </c>
      <c r="AC92" s="41">
        <f>IF(AC$6="휴일",0,IF(AC8="",1,IFERROR(INDEX(코드!$F$2:$F$107,MATCH(AC8,코드!$A$2:$A$107,0)),0)))</f>
        <v/>
      </c>
      <c r="AD92" s="41">
        <f>IF(AD$6="휴일",0,IF(AD8="",1,IFERROR(INDEX(코드!$F$2:$F$107,MATCH(AD8,코드!$A$2:$A$107,0)),0)))</f>
        <v/>
      </c>
      <c r="AE92" s="41">
        <f>IF(AE$6="휴일",0,IF(AE8="",1,IFERROR(INDEX(코드!$F$2:$F$107,MATCH(AE8,코드!$A$2:$A$107,0)),0)))</f>
        <v/>
      </c>
      <c r="AF92" s="41">
        <f>IF(AF$6="휴일",0,IF(AF8="",1,IFERROR(INDEX(코드!$F$2:$F$107,MATCH(AF8,코드!$A$2:$A$107,0)),0)))</f>
        <v/>
      </c>
      <c r="AG92" s="41">
        <f>IF(AG$6="휴일",0,IF(AG8="",1,IFERROR(INDEX(코드!$F$2:$F$107,MATCH(AG8,코드!$A$2:$A$107,0)),0)))</f>
        <v/>
      </c>
      <c r="AH92" s="41">
        <f>IF(AH$6="휴일",0,IF(AH8="",1,IFERROR(INDEX(코드!$F$2:$F$107,MATCH(AH8,코드!$A$2:$A$107,0)),0)))</f>
        <v/>
      </c>
    </row>
    <row r="93">
      <c r="A93" s="15">
        <f>IF(명부!A3="","",명부!A3)</f>
        <v/>
      </c>
      <c r="B93" s="16">
        <f>IF(명부!C3="","",명부!C3)</f>
        <v/>
      </c>
      <c r="C93" s="17">
        <f>IF(명부!E3="","",명부!E3)</f>
        <v/>
      </c>
      <c r="D93" s="41">
        <f>IF(D$6="휴일",0,IF(D9="",1,IFERROR(INDEX(코드!$F$2:$F$107,MATCH(D9,코드!$A$2:$A$107,0)),0)))</f>
        <v/>
      </c>
      <c r="E93" s="41">
        <f>IF(E$6="휴일",0,IF(E9="",1,IFERROR(INDEX(코드!$F$2:$F$107,MATCH(E9,코드!$A$2:$A$107,0)),0)))</f>
        <v/>
      </c>
      <c r="F93" s="41">
        <f>IF(F$6="휴일",0,IF(F9="",1,IFERROR(INDEX(코드!$F$2:$F$107,MATCH(F9,코드!$A$2:$A$107,0)),0)))</f>
        <v/>
      </c>
      <c r="G93" s="41">
        <f>IF(G$6="휴일",0,IF(G9="",1,IFERROR(INDEX(코드!$F$2:$F$107,MATCH(G9,코드!$A$2:$A$107,0)),0)))</f>
        <v/>
      </c>
      <c r="H93" s="41">
        <f>IF(H$6="휴일",0,IF(H9="",1,IFERROR(INDEX(코드!$F$2:$F$107,MATCH(H9,코드!$A$2:$A$107,0)),0)))</f>
        <v/>
      </c>
      <c r="I93" s="41">
        <f>IF(I$6="휴일",0,IF(I9="",1,IFERROR(INDEX(코드!$F$2:$F$107,MATCH(I9,코드!$A$2:$A$107,0)),0)))</f>
        <v/>
      </c>
      <c r="J93" s="41">
        <f>IF(J$6="휴일",0,IF(J9="",1,IFERROR(INDEX(코드!$F$2:$F$107,MATCH(J9,코드!$A$2:$A$107,0)),0)))</f>
        <v/>
      </c>
      <c r="K93" s="41">
        <f>IF(K$6="휴일",0,IF(K9="",1,IFERROR(INDEX(코드!$F$2:$F$107,MATCH(K9,코드!$A$2:$A$107,0)),0)))</f>
        <v/>
      </c>
      <c r="L93" s="41">
        <f>IF(L$6="휴일",0,IF(L9="",1,IFERROR(INDEX(코드!$F$2:$F$107,MATCH(L9,코드!$A$2:$A$107,0)),0)))</f>
        <v/>
      </c>
      <c r="M93" s="41">
        <f>IF(M$6="휴일",0,IF(M9="",1,IFERROR(INDEX(코드!$F$2:$F$107,MATCH(M9,코드!$A$2:$A$107,0)),0)))</f>
        <v/>
      </c>
      <c r="N93" s="41">
        <f>IF(N$6="휴일",0,IF(N9="",1,IFERROR(INDEX(코드!$F$2:$F$107,MATCH(N9,코드!$A$2:$A$107,0)),0)))</f>
        <v/>
      </c>
      <c r="O93" s="41">
        <f>IF(O$6="휴일",0,IF(O9="",1,IFERROR(INDEX(코드!$F$2:$F$107,MATCH(O9,코드!$A$2:$A$107,0)),0)))</f>
        <v/>
      </c>
      <c r="P93" s="41">
        <f>IF(P$6="휴일",0,IF(P9="",1,IFERROR(INDEX(코드!$F$2:$F$107,MATCH(P9,코드!$A$2:$A$107,0)),0)))</f>
        <v/>
      </c>
      <c r="Q93" s="41">
        <f>IF(Q$6="휴일",0,IF(Q9="",1,IFERROR(INDEX(코드!$F$2:$F$107,MATCH(Q9,코드!$A$2:$A$107,0)),0)))</f>
        <v/>
      </c>
      <c r="R93" s="41">
        <f>IF(R$6="휴일",0,IF(R9="",1,IFERROR(INDEX(코드!$F$2:$F$107,MATCH(R9,코드!$A$2:$A$107,0)),0)))</f>
        <v/>
      </c>
      <c r="S93" s="41">
        <f>IF(S$6="휴일",0,IF(S9="",1,IFERROR(INDEX(코드!$F$2:$F$107,MATCH(S9,코드!$A$2:$A$107,0)),0)))</f>
        <v/>
      </c>
      <c r="T93" s="41">
        <f>IF(T$6="휴일",0,IF(T9="",1,IFERROR(INDEX(코드!$F$2:$F$107,MATCH(T9,코드!$A$2:$A$107,0)),0)))</f>
        <v/>
      </c>
      <c r="U93" s="41">
        <f>IF(U$6="휴일",0,IF(U9="",1,IFERROR(INDEX(코드!$F$2:$F$107,MATCH(U9,코드!$A$2:$A$107,0)),0)))</f>
        <v/>
      </c>
      <c r="V93" s="41">
        <f>IF(V$6="휴일",0,IF(V9="",1,IFERROR(INDEX(코드!$F$2:$F$107,MATCH(V9,코드!$A$2:$A$107,0)),0)))</f>
        <v/>
      </c>
      <c r="W93" s="41">
        <f>IF(W$6="휴일",0,IF(W9="",1,IFERROR(INDEX(코드!$F$2:$F$107,MATCH(W9,코드!$A$2:$A$107,0)),0)))</f>
        <v/>
      </c>
      <c r="X93" s="41">
        <f>IF(X$6="휴일",0,IF(X9="",1,IFERROR(INDEX(코드!$F$2:$F$107,MATCH(X9,코드!$A$2:$A$107,0)),0)))</f>
        <v/>
      </c>
      <c r="Y93" s="41">
        <f>IF(Y$6="휴일",0,IF(Y9="",1,IFERROR(INDEX(코드!$F$2:$F$107,MATCH(Y9,코드!$A$2:$A$107,0)),0)))</f>
        <v/>
      </c>
      <c r="Z93" s="41">
        <f>IF(Z$6="휴일",0,IF(Z9="",1,IFERROR(INDEX(코드!$F$2:$F$107,MATCH(Z9,코드!$A$2:$A$107,0)),0)))</f>
        <v/>
      </c>
      <c r="AA93" s="41">
        <f>IF(AA$6="휴일",0,IF(AA9="",1,IFERROR(INDEX(코드!$F$2:$F$107,MATCH(AA9,코드!$A$2:$A$107,0)),0)))</f>
        <v/>
      </c>
      <c r="AB93" s="41">
        <f>IF(AB$6="휴일",0,IF(AB9="",1,IFERROR(INDEX(코드!$F$2:$F$107,MATCH(AB9,코드!$A$2:$A$107,0)),0)))</f>
        <v/>
      </c>
      <c r="AC93" s="41">
        <f>IF(AC$6="휴일",0,IF(AC9="",1,IFERROR(INDEX(코드!$F$2:$F$107,MATCH(AC9,코드!$A$2:$A$107,0)),0)))</f>
        <v/>
      </c>
      <c r="AD93" s="41">
        <f>IF(AD$6="휴일",0,IF(AD9="",1,IFERROR(INDEX(코드!$F$2:$F$107,MATCH(AD9,코드!$A$2:$A$107,0)),0)))</f>
        <v/>
      </c>
      <c r="AE93" s="41">
        <f>IF(AE$6="휴일",0,IF(AE9="",1,IFERROR(INDEX(코드!$F$2:$F$107,MATCH(AE9,코드!$A$2:$A$107,0)),0)))</f>
        <v/>
      </c>
      <c r="AF93" s="41">
        <f>IF(AF$6="휴일",0,IF(AF9="",1,IFERROR(INDEX(코드!$F$2:$F$107,MATCH(AF9,코드!$A$2:$A$107,0)),0)))</f>
        <v/>
      </c>
      <c r="AG93" s="41">
        <f>IF(AG$6="휴일",0,IF(AG9="",1,IFERROR(INDEX(코드!$F$2:$F$107,MATCH(AG9,코드!$A$2:$A$107,0)),0)))</f>
        <v/>
      </c>
      <c r="AH93" s="41">
        <f>IF(AH$6="휴일",0,IF(AH9="",1,IFERROR(INDEX(코드!$F$2:$F$107,MATCH(AH9,코드!$A$2:$A$107,0)),0)))</f>
        <v/>
      </c>
    </row>
    <row r="94">
      <c r="A94" s="15">
        <f>IF(명부!A4="","",명부!A4)</f>
        <v/>
      </c>
      <c r="B94" s="16">
        <f>IF(명부!C4="","",명부!C4)</f>
        <v/>
      </c>
      <c r="C94" s="17">
        <f>IF(명부!E4="","",명부!E4)</f>
        <v/>
      </c>
      <c r="D94" s="41">
        <f>IF(D$6="휴일",0,IF(D10="",1,IFERROR(INDEX(코드!$F$2:$F$107,MATCH(D10,코드!$A$2:$A$107,0)),0)))</f>
        <v/>
      </c>
      <c r="E94" s="41">
        <f>IF(E$6="휴일",0,IF(E10="",1,IFERROR(INDEX(코드!$F$2:$F$107,MATCH(E10,코드!$A$2:$A$107,0)),0)))</f>
        <v/>
      </c>
      <c r="F94" s="41">
        <f>IF(F$6="휴일",0,IF(F10="",1,IFERROR(INDEX(코드!$F$2:$F$107,MATCH(F10,코드!$A$2:$A$107,0)),0)))</f>
        <v/>
      </c>
      <c r="G94" s="41">
        <f>IF(G$6="휴일",0,IF(G10="",1,IFERROR(INDEX(코드!$F$2:$F$107,MATCH(G10,코드!$A$2:$A$107,0)),0)))</f>
        <v/>
      </c>
      <c r="H94" s="41">
        <f>IF(H$6="휴일",0,IF(H10="",1,IFERROR(INDEX(코드!$F$2:$F$107,MATCH(H10,코드!$A$2:$A$107,0)),0)))</f>
        <v/>
      </c>
      <c r="I94" s="41">
        <f>IF(I$6="휴일",0,IF(I10="",1,IFERROR(INDEX(코드!$F$2:$F$107,MATCH(I10,코드!$A$2:$A$107,0)),0)))</f>
        <v/>
      </c>
      <c r="J94" s="41">
        <f>IF(J$6="휴일",0,IF(J10="",1,IFERROR(INDEX(코드!$F$2:$F$107,MATCH(J10,코드!$A$2:$A$107,0)),0)))</f>
        <v/>
      </c>
      <c r="K94" s="41">
        <f>IF(K$6="휴일",0,IF(K10="",1,IFERROR(INDEX(코드!$F$2:$F$107,MATCH(K10,코드!$A$2:$A$107,0)),0)))</f>
        <v/>
      </c>
      <c r="L94" s="41">
        <f>IF(L$6="휴일",0,IF(L10="",1,IFERROR(INDEX(코드!$F$2:$F$107,MATCH(L10,코드!$A$2:$A$107,0)),0)))</f>
        <v/>
      </c>
      <c r="M94" s="41">
        <f>IF(M$6="휴일",0,IF(M10="",1,IFERROR(INDEX(코드!$F$2:$F$107,MATCH(M10,코드!$A$2:$A$107,0)),0)))</f>
        <v/>
      </c>
      <c r="N94" s="41">
        <f>IF(N$6="휴일",0,IF(N10="",1,IFERROR(INDEX(코드!$F$2:$F$107,MATCH(N10,코드!$A$2:$A$107,0)),0)))</f>
        <v/>
      </c>
      <c r="O94" s="41">
        <f>IF(O$6="휴일",0,IF(O10="",1,IFERROR(INDEX(코드!$F$2:$F$107,MATCH(O10,코드!$A$2:$A$107,0)),0)))</f>
        <v/>
      </c>
      <c r="P94" s="41">
        <f>IF(P$6="휴일",0,IF(P10="",1,IFERROR(INDEX(코드!$F$2:$F$107,MATCH(P10,코드!$A$2:$A$107,0)),0)))</f>
        <v/>
      </c>
      <c r="Q94" s="41">
        <f>IF(Q$6="휴일",0,IF(Q10="",1,IFERROR(INDEX(코드!$F$2:$F$107,MATCH(Q10,코드!$A$2:$A$107,0)),0)))</f>
        <v/>
      </c>
      <c r="R94" s="41">
        <f>IF(R$6="휴일",0,IF(R10="",1,IFERROR(INDEX(코드!$F$2:$F$107,MATCH(R10,코드!$A$2:$A$107,0)),0)))</f>
        <v/>
      </c>
      <c r="S94" s="41">
        <f>IF(S$6="휴일",0,IF(S10="",1,IFERROR(INDEX(코드!$F$2:$F$107,MATCH(S10,코드!$A$2:$A$107,0)),0)))</f>
        <v/>
      </c>
      <c r="T94" s="41">
        <f>IF(T$6="휴일",0,IF(T10="",1,IFERROR(INDEX(코드!$F$2:$F$107,MATCH(T10,코드!$A$2:$A$107,0)),0)))</f>
        <v/>
      </c>
      <c r="U94" s="41">
        <f>IF(U$6="휴일",0,IF(U10="",1,IFERROR(INDEX(코드!$F$2:$F$107,MATCH(U10,코드!$A$2:$A$107,0)),0)))</f>
        <v/>
      </c>
      <c r="V94" s="41">
        <f>IF(V$6="휴일",0,IF(V10="",1,IFERROR(INDEX(코드!$F$2:$F$107,MATCH(V10,코드!$A$2:$A$107,0)),0)))</f>
        <v/>
      </c>
      <c r="W94" s="41">
        <f>IF(W$6="휴일",0,IF(W10="",1,IFERROR(INDEX(코드!$F$2:$F$107,MATCH(W10,코드!$A$2:$A$107,0)),0)))</f>
        <v/>
      </c>
      <c r="X94" s="41">
        <f>IF(X$6="휴일",0,IF(X10="",1,IFERROR(INDEX(코드!$F$2:$F$107,MATCH(X10,코드!$A$2:$A$107,0)),0)))</f>
        <v/>
      </c>
      <c r="Y94" s="41">
        <f>IF(Y$6="휴일",0,IF(Y10="",1,IFERROR(INDEX(코드!$F$2:$F$107,MATCH(Y10,코드!$A$2:$A$107,0)),0)))</f>
        <v/>
      </c>
      <c r="Z94" s="41">
        <f>IF(Z$6="휴일",0,IF(Z10="",1,IFERROR(INDEX(코드!$F$2:$F$107,MATCH(Z10,코드!$A$2:$A$107,0)),0)))</f>
        <v/>
      </c>
      <c r="AA94" s="41">
        <f>IF(AA$6="휴일",0,IF(AA10="",1,IFERROR(INDEX(코드!$F$2:$F$107,MATCH(AA10,코드!$A$2:$A$107,0)),0)))</f>
        <v/>
      </c>
      <c r="AB94" s="41">
        <f>IF(AB$6="휴일",0,IF(AB10="",1,IFERROR(INDEX(코드!$F$2:$F$107,MATCH(AB10,코드!$A$2:$A$107,0)),0)))</f>
        <v/>
      </c>
      <c r="AC94" s="41">
        <f>IF(AC$6="휴일",0,IF(AC10="",1,IFERROR(INDEX(코드!$F$2:$F$107,MATCH(AC10,코드!$A$2:$A$107,0)),0)))</f>
        <v/>
      </c>
      <c r="AD94" s="41">
        <f>IF(AD$6="휴일",0,IF(AD10="",1,IFERROR(INDEX(코드!$F$2:$F$107,MATCH(AD10,코드!$A$2:$A$107,0)),0)))</f>
        <v/>
      </c>
      <c r="AE94" s="41">
        <f>IF(AE$6="휴일",0,IF(AE10="",1,IFERROR(INDEX(코드!$F$2:$F$107,MATCH(AE10,코드!$A$2:$A$107,0)),0)))</f>
        <v/>
      </c>
      <c r="AF94" s="41">
        <f>IF(AF$6="휴일",0,IF(AF10="",1,IFERROR(INDEX(코드!$F$2:$F$107,MATCH(AF10,코드!$A$2:$A$107,0)),0)))</f>
        <v/>
      </c>
      <c r="AG94" s="41">
        <f>IF(AG$6="휴일",0,IF(AG10="",1,IFERROR(INDEX(코드!$F$2:$F$107,MATCH(AG10,코드!$A$2:$A$107,0)),0)))</f>
        <v/>
      </c>
      <c r="AH94" s="41">
        <f>IF(AH$6="휴일",0,IF(AH10="",1,IFERROR(INDEX(코드!$F$2:$F$107,MATCH(AH10,코드!$A$2:$A$107,0)),0)))</f>
        <v/>
      </c>
    </row>
    <row r="95">
      <c r="A95" s="15">
        <f>IF(명부!A5="","",명부!A5)</f>
        <v/>
      </c>
      <c r="B95" s="16">
        <f>IF(명부!C5="","",명부!C5)</f>
        <v/>
      </c>
      <c r="C95" s="17">
        <f>IF(명부!E5="","",명부!E5)</f>
        <v/>
      </c>
      <c r="D95" s="41">
        <f>IF(D$6="휴일",0,IF(D11="",1,IFERROR(INDEX(코드!$F$2:$F$107,MATCH(D11,코드!$A$2:$A$107,0)),0)))</f>
        <v/>
      </c>
      <c r="E95" s="41">
        <f>IF(E$6="휴일",0,IF(E11="",1,IFERROR(INDEX(코드!$F$2:$F$107,MATCH(E11,코드!$A$2:$A$107,0)),0)))</f>
        <v/>
      </c>
      <c r="F95" s="41">
        <f>IF(F$6="휴일",0,IF(F11="",1,IFERROR(INDEX(코드!$F$2:$F$107,MATCH(F11,코드!$A$2:$A$107,0)),0)))</f>
        <v/>
      </c>
      <c r="G95" s="41">
        <f>IF(G$6="휴일",0,IF(G11="",1,IFERROR(INDEX(코드!$F$2:$F$107,MATCH(G11,코드!$A$2:$A$107,0)),0)))</f>
        <v/>
      </c>
      <c r="H95" s="41">
        <f>IF(H$6="휴일",0,IF(H11="",1,IFERROR(INDEX(코드!$F$2:$F$107,MATCH(H11,코드!$A$2:$A$107,0)),0)))</f>
        <v/>
      </c>
      <c r="I95" s="41">
        <f>IF(I$6="휴일",0,IF(I11="",1,IFERROR(INDEX(코드!$F$2:$F$107,MATCH(I11,코드!$A$2:$A$107,0)),0)))</f>
        <v/>
      </c>
      <c r="J95" s="41">
        <f>IF(J$6="휴일",0,IF(J11="",1,IFERROR(INDEX(코드!$F$2:$F$107,MATCH(J11,코드!$A$2:$A$107,0)),0)))</f>
        <v/>
      </c>
      <c r="K95" s="41">
        <f>IF(K$6="휴일",0,IF(K11="",1,IFERROR(INDEX(코드!$F$2:$F$107,MATCH(K11,코드!$A$2:$A$107,0)),0)))</f>
        <v/>
      </c>
      <c r="L95" s="41">
        <f>IF(L$6="휴일",0,IF(L11="",1,IFERROR(INDEX(코드!$F$2:$F$107,MATCH(L11,코드!$A$2:$A$107,0)),0)))</f>
        <v/>
      </c>
      <c r="M95" s="41">
        <f>IF(M$6="휴일",0,IF(M11="",1,IFERROR(INDEX(코드!$F$2:$F$107,MATCH(M11,코드!$A$2:$A$107,0)),0)))</f>
        <v/>
      </c>
      <c r="N95" s="41">
        <f>IF(N$6="휴일",0,IF(N11="",1,IFERROR(INDEX(코드!$F$2:$F$107,MATCH(N11,코드!$A$2:$A$107,0)),0)))</f>
        <v/>
      </c>
      <c r="O95" s="41">
        <f>IF(O$6="휴일",0,IF(O11="",1,IFERROR(INDEX(코드!$F$2:$F$107,MATCH(O11,코드!$A$2:$A$107,0)),0)))</f>
        <v/>
      </c>
      <c r="P95" s="41">
        <f>IF(P$6="휴일",0,IF(P11="",1,IFERROR(INDEX(코드!$F$2:$F$107,MATCH(P11,코드!$A$2:$A$107,0)),0)))</f>
        <v/>
      </c>
      <c r="Q95" s="41">
        <f>IF(Q$6="휴일",0,IF(Q11="",1,IFERROR(INDEX(코드!$F$2:$F$107,MATCH(Q11,코드!$A$2:$A$107,0)),0)))</f>
        <v/>
      </c>
      <c r="R95" s="41">
        <f>IF(R$6="휴일",0,IF(R11="",1,IFERROR(INDEX(코드!$F$2:$F$107,MATCH(R11,코드!$A$2:$A$107,0)),0)))</f>
        <v/>
      </c>
      <c r="S95" s="41">
        <f>IF(S$6="휴일",0,IF(S11="",1,IFERROR(INDEX(코드!$F$2:$F$107,MATCH(S11,코드!$A$2:$A$107,0)),0)))</f>
        <v/>
      </c>
      <c r="T95" s="41">
        <f>IF(T$6="휴일",0,IF(T11="",1,IFERROR(INDEX(코드!$F$2:$F$107,MATCH(T11,코드!$A$2:$A$107,0)),0)))</f>
        <v/>
      </c>
      <c r="U95" s="41">
        <f>IF(U$6="휴일",0,IF(U11="",1,IFERROR(INDEX(코드!$F$2:$F$107,MATCH(U11,코드!$A$2:$A$107,0)),0)))</f>
        <v/>
      </c>
      <c r="V95" s="41">
        <f>IF(V$6="휴일",0,IF(V11="",1,IFERROR(INDEX(코드!$F$2:$F$107,MATCH(V11,코드!$A$2:$A$107,0)),0)))</f>
        <v/>
      </c>
      <c r="W95" s="41">
        <f>IF(W$6="휴일",0,IF(W11="",1,IFERROR(INDEX(코드!$F$2:$F$107,MATCH(W11,코드!$A$2:$A$107,0)),0)))</f>
        <v/>
      </c>
      <c r="X95" s="41">
        <f>IF(X$6="휴일",0,IF(X11="",1,IFERROR(INDEX(코드!$F$2:$F$107,MATCH(X11,코드!$A$2:$A$107,0)),0)))</f>
        <v/>
      </c>
      <c r="Y95" s="41">
        <f>IF(Y$6="휴일",0,IF(Y11="",1,IFERROR(INDEX(코드!$F$2:$F$107,MATCH(Y11,코드!$A$2:$A$107,0)),0)))</f>
        <v/>
      </c>
      <c r="Z95" s="41">
        <f>IF(Z$6="휴일",0,IF(Z11="",1,IFERROR(INDEX(코드!$F$2:$F$107,MATCH(Z11,코드!$A$2:$A$107,0)),0)))</f>
        <v/>
      </c>
      <c r="AA95" s="41">
        <f>IF(AA$6="휴일",0,IF(AA11="",1,IFERROR(INDEX(코드!$F$2:$F$107,MATCH(AA11,코드!$A$2:$A$107,0)),0)))</f>
        <v/>
      </c>
      <c r="AB95" s="41">
        <f>IF(AB$6="휴일",0,IF(AB11="",1,IFERROR(INDEX(코드!$F$2:$F$107,MATCH(AB11,코드!$A$2:$A$107,0)),0)))</f>
        <v/>
      </c>
      <c r="AC95" s="41">
        <f>IF(AC$6="휴일",0,IF(AC11="",1,IFERROR(INDEX(코드!$F$2:$F$107,MATCH(AC11,코드!$A$2:$A$107,0)),0)))</f>
        <v/>
      </c>
      <c r="AD95" s="41">
        <f>IF(AD$6="휴일",0,IF(AD11="",1,IFERROR(INDEX(코드!$F$2:$F$107,MATCH(AD11,코드!$A$2:$A$107,0)),0)))</f>
        <v/>
      </c>
      <c r="AE95" s="41">
        <f>IF(AE$6="휴일",0,IF(AE11="",1,IFERROR(INDEX(코드!$F$2:$F$107,MATCH(AE11,코드!$A$2:$A$107,0)),0)))</f>
        <v/>
      </c>
      <c r="AF95" s="41">
        <f>IF(AF$6="휴일",0,IF(AF11="",1,IFERROR(INDEX(코드!$F$2:$F$107,MATCH(AF11,코드!$A$2:$A$107,0)),0)))</f>
        <v/>
      </c>
      <c r="AG95" s="41">
        <f>IF(AG$6="휴일",0,IF(AG11="",1,IFERROR(INDEX(코드!$F$2:$F$107,MATCH(AG11,코드!$A$2:$A$107,0)),0)))</f>
        <v/>
      </c>
      <c r="AH95" s="41">
        <f>IF(AH$6="휴일",0,IF(AH11="",1,IFERROR(INDEX(코드!$F$2:$F$107,MATCH(AH11,코드!$A$2:$A$107,0)),0)))</f>
        <v/>
      </c>
    </row>
    <row r="96">
      <c r="A96" s="15">
        <f>IF(명부!A6="","",명부!A6)</f>
        <v/>
      </c>
      <c r="B96" s="16">
        <f>IF(명부!C6="","",명부!C6)</f>
        <v/>
      </c>
      <c r="C96" s="17">
        <f>IF(명부!E6="","",명부!E6)</f>
        <v/>
      </c>
      <c r="D96" s="41">
        <f>IF(D$6="휴일",0,IF(D12="",1,IFERROR(INDEX(코드!$F$2:$F$107,MATCH(D12,코드!$A$2:$A$107,0)),0)))</f>
        <v/>
      </c>
      <c r="E96" s="41">
        <f>IF(E$6="휴일",0,IF(E12="",1,IFERROR(INDEX(코드!$F$2:$F$107,MATCH(E12,코드!$A$2:$A$107,0)),0)))</f>
        <v/>
      </c>
      <c r="F96" s="41">
        <f>IF(F$6="휴일",0,IF(F12="",1,IFERROR(INDEX(코드!$F$2:$F$107,MATCH(F12,코드!$A$2:$A$107,0)),0)))</f>
        <v/>
      </c>
      <c r="G96" s="41">
        <f>IF(G$6="휴일",0,IF(G12="",1,IFERROR(INDEX(코드!$F$2:$F$107,MATCH(G12,코드!$A$2:$A$107,0)),0)))</f>
        <v/>
      </c>
      <c r="H96" s="41">
        <f>IF(H$6="휴일",0,IF(H12="",1,IFERROR(INDEX(코드!$F$2:$F$107,MATCH(H12,코드!$A$2:$A$107,0)),0)))</f>
        <v/>
      </c>
      <c r="I96" s="41">
        <f>IF(I$6="휴일",0,IF(I12="",1,IFERROR(INDEX(코드!$F$2:$F$107,MATCH(I12,코드!$A$2:$A$107,0)),0)))</f>
        <v/>
      </c>
      <c r="J96" s="41">
        <f>IF(J$6="휴일",0,IF(J12="",1,IFERROR(INDEX(코드!$F$2:$F$107,MATCH(J12,코드!$A$2:$A$107,0)),0)))</f>
        <v/>
      </c>
      <c r="K96" s="41">
        <f>IF(K$6="휴일",0,IF(K12="",1,IFERROR(INDEX(코드!$F$2:$F$107,MATCH(K12,코드!$A$2:$A$107,0)),0)))</f>
        <v/>
      </c>
      <c r="L96" s="41">
        <f>IF(L$6="휴일",0,IF(L12="",1,IFERROR(INDEX(코드!$F$2:$F$107,MATCH(L12,코드!$A$2:$A$107,0)),0)))</f>
        <v/>
      </c>
      <c r="M96" s="41">
        <f>IF(M$6="휴일",0,IF(M12="",1,IFERROR(INDEX(코드!$F$2:$F$107,MATCH(M12,코드!$A$2:$A$107,0)),0)))</f>
        <v/>
      </c>
      <c r="N96" s="41">
        <f>IF(N$6="휴일",0,IF(N12="",1,IFERROR(INDEX(코드!$F$2:$F$107,MATCH(N12,코드!$A$2:$A$107,0)),0)))</f>
        <v/>
      </c>
      <c r="O96" s="41">
        <f>IF(O$6="휴일",0,IF(O12="",1,IFERROR(INDEX(코드!$F$2:$F$107,MATCH(O12,코드!$A$2:$A$107,0)),0)))</f>
        <v/>
      </c>
      <c r="P96" s="41">
        <f>IF(P$6="휴일",0,IF(P12="",1,IFERROR(INDEX(코드!$F$2:$F$107,MATCH(P12,코드!$A$2:$A$107,0)),0)))</f>
        <v/>
      </c>
      <c r="Q96" s="41">
        <f>IF(Q$6="휴일",0,IF(Q12="",1,IFERROR(INDEX(코드!$F$2:$F$107,MATCH(Q12,코드!$A$2:$A$107,0)),0)))</f>
        <v/>
      </c>
      <c r="R96" s="41">
        <f>IF(R$6="휴일",0,IF(R12="",1,IFERROR(INDEX(코드!$F$2:$F$107,MATCH(R12,코드!$A$2:$A$107,0)),0)))</f>
        <v/>
      </c>
      <c r="S96" s="41">
        <f>IF(S$6="휴일",0,IF(S12="",1,IFERROR(INDEX(코드!$F$2:$F$107,MATCH(S12,코드!$A$2:$A$107,0)),0)))</f>
        <v/>
      </c>
      <c r="T96" s="41">
        <f>IF(T$6="휴일",0,IF(T12="",1,IFERROR(INDEX(코드!$F$2:$F$107,MATCH(T12,코드!$A$2:$A$107,0)),0)))</f>
        <v/>
      </c>
      <c r="U96" s="41">
        <f>IF(U$6="휴일",0,IF(U12="",1,IFERROR(INDEX(코드!$F$2:$F$107,MATCH(U12,코드!$A$2:$A$107,0)),0)))</f>
        <v/>
      </c>
      <c r="V96" s="41">
        <f>IF(V$6="휴일",0,IF(V12="",1,IFERROR(INDEX(코드!$F$2:$F$107,MATCH(V12,코드!$A$2:$A$107,0)),0)))</f>
        <v/>
      </c>
      <c r="W96" s="41">
        <f>IF(W$6="휴일",0,IF(W12="",1,IFERROR(INDEX(코드!$F$2:$F$107,MATCH(W12,코드!$A$2:$A$107,0)),0)))</f>
        <v/>
      </c>
      <c r="X96" s="41">
        <f>IF(X$6="휴일",0,IF(X12="",1,IFERROR(INDEX(코드!$F$2:$F$107,MATCH(X12,코드!$A$2:$A$107,0)),0)))</f>
        <v/>
      </c>
      <c r="Y96" s="41">
        <f>IF(Y$6="휴일",0,IF(Y12="",1,IFERROR(INDEX(코드!$F$2:$F$107,MATCH(Y12,코드!$A$2:$A$107,0)),0)))</f>
        <v/>
      </c>
      <c r="Z96" s="41">
        <f>IF(Z$6="휴일",0,IF(Z12="",1,IFERROR(INDEX(코드!$F$2:$F$107,MATCH(Z12,코드!$A$2:$A$107,0)),0)))</f>
        <v/>
      </c>
      <c r="AA96" s="41">
        <f>IF(AA$6="휴일",0,IF(AA12="",1,IFERROR(INDEX(코드!$F$2:$F$107,MATCH(AA12,코드!$A$2:$A$107,0)),0)))</f>
        <v/>
      </c>
      <c r="AB96" s="41">
        <f>IF(AB$6="휴일",0,IF(AB12="",1,IFERROR(INDEX(코드!$F$2:$F$107,MATCH(AB12,코드!$A$2:$A$107,0)),0)))</f>
        <v/>
      </c>
      <c r="AC96" s="41">
        <f>IF(AC$6="휴일",0,IF(AC12="",1,IFERROR(INDEX(코드!$F$2:$F$107,MATCH(AC12,코드!$A$2:$A$107,0)),0)))</f>
        <v/>
      </c>
      <c r="AD96" s="41">
        <f>IF(AD$6="휴일",0,IF(AD12="",1,IFERROR(INDEX(코드!$F$2:$F$107,MATCH(AD12,코드!$A$2:$A$107,0)),0)))</f>
        <v/>
      </c>
      <c r="AE96" s="41">
        <f>IF(AE$6="휴일",0,IF(AE12="",1,IFERROR(INDEX(코드!$F$2:$F$107,MATCH(AE12,코드!$A$2:$A$107,0)),0)))</f>
        <v/>
      </c>
      <c r="AF96" s="41">
        <f>IF(AF$6="휴일",0,IF(AF12="",1,IFERROR(INDEX(코드!$F$2:$F$107,MATCH(AF12,코드!$A$2:$A$107,0)),0)))</f>
        <v/>
      </c>
      <c r="AG96" s="41">
        <f>IF(AG$6="휴일",0,IF(AG12="",1,IFERROR(INDEX(코드!$F$2:$F$107,MATCH(AG12,코드!$A$2:$A$107,0)),0)))</f>
        <v/>
      </c>
      <c r="AH96" s="41">
        <f>IF(AH$6="휴일",0,IF(AH12="",1,IFERROR(INDEX(코드!$F$2:$F$107,MATCH(AH12,코드!$A$2:$A$107,0)),0)))</f>
        <v/>
      </c>
    </row>
    <row r="97">
      <c r="A97" s="15">
        <f>IF(명부!A7="","",명부!A7)</f>
        <v/>
      </c>
      <c r="B97" s="16">
        <f>IF(명부!C7="","",명부!C7)</f>
        <v/>
      </c>
      <c r="C97" s="17">
        <f>IF(명부!E7="","",명부!E7)</f>
        <v/>
      </c>
      <c r="D97" s="41">
        <f>IF(D$6="휴일",0,IF(D13="",1,IFERROR(INDEX(코드!$F$2:$F$107,MATCH(D13,코드!$A$2:$A$107,0)),0)))</f>
        <v/>
      </c>
      <c r="E97" s="41">
        <f>IF(E$6="휴일",0,IF(E13="",1,IFERROR(INDEX(코드!$F$2:$F$107,MATCH(E13,코드!$A$2:$A$107,0)),0)))</f>
        <v/>
      </c>
      <c r="F97" s="41">
        <f>IF(F$6="휴일",0,IF(F13="",1,IFERROR(INDEX(코드!$F$2:$F$107,MATCH(F13,코드!$A$2:$A$107,0)),0)))</f>
        <v/>
      </c>
      <c r="G97" s="41">
        <f>IF(G$6="휴일",0,IF(G13="",1,IFERROR(INDEX(코드!$F$2:$F$107,MATCH(G13,코드!$A$2:$A$107,0)),0)))</f>
        <v/>
      </c>
      <c r="H97" s="41">
        <f>IF(H$6="휴일",0,IF(H13="",1,IFERROR(INDEX(코드!$F$2:$F$107,MATCH(H13,코드!$A$2:$A$107,0)),0)))</f>
        <v/>
      </c>
      <c r="I97" s="41">
        <f>IF(I$6="휴일",0,IF(I13="",1,IFERROR(INDEX(코드!$F$2:$F$107,MATCH(I13,코드!$A$2:$A$107,0)),0)))</f>
        <v/>
      </c>
      <c r="J97" s="41">
        <f>IF(J$6="휴일",0,IF(J13="",1,IFERROR(INDEX(코드!$F$2:$F$107,MATCH(J13,코드!$A$2:$A$107,0)),0)))</f>
        <v/>
      </c>
      <c r="K97" s="41">
        <f>IF(K$6="휴일",0,IF(K13="",1,IFERROR(INDEX(코드!$F$2:$F$107,MATCH(K13,코드!$A$2:$A$107,0)),0)))</f>
        <v/>
      </c>
      <c r="L97" s="41">
        <f>IF(L$6="휴일",0,IF(L13="",1,IFERROR(INDEX(코드!$F$2:$F$107,MATCH(L13,코드!$A$2:$A$107,0)),0)))</f>
        <v/>
      </c>
      <c r="M97" s="41">
        <f>IF(M$6="휴일",0,IF(M13="",1,IFERROR(INDEX(코드!$F$2:$F$107,MATCH(M13,코드!$A$2:$A$107,0)),0)))</f>
        <v/>
      </c>
      <c r="N97" s="41">
        <f>IF(N$6="휴일",0,IF(N13="",1,IFERROR(INDEX(코드!$F$2:$F$107,MATCH(N13,코드!$A$2:$A$107,0)),0)))</f>
        <v/>
      </c>
      <c r="O97" s="41">
        <f>IF(O$6="휴일",0,IF(O13="",1,IFERROR(INDEX(코드!$F$2:$F$107,MATCH(O13,코드!$A$2:$A$107,0)),0)))</f>
        <v/>
      </c>
      <c r="P97" s="41">
        <f>IF(P$6="휴일",0,IF(P13="",1,IFERROR(INDEX(코드!$F$2:$F$107,MATCH(P13,코드!$A$2:$A$107,0)),0)))</f>
        <v/>
      </c>
      <c r="Q97" s="41">
        <f>IF(Q$6="휴일",0,IF(Q13="",1,IFERROR(INDEX(코드!$F$2:$F$107,MATCH(Q13,코드!$A$2:$A$107,0)),0)))</f>
        <v/>
      </c>
      <c r="R97" s="41">
        <f>IF(R$6="휴일",0,IF(R13="",1,IFERROR(INDEX(코드!$F$2:$F$107,MATCH(R13,코드!$A$2:$A$107,0)),0)))</f>
        <v/>
      </c>
      <c r="S97" s="41">
        <f>IF(S$6="휴일",0,IF(S13="",1,IFERROR(INDEX(코드!$F$2:$F$107,MATCH(S13,코드!$A$2:$A$107,0)),0)))</f>
        <v/>
      </c>
      <c r="T97" s="41">
        <f>IF(T$6="휴일",0,IF(T13="",1,IFERROR(INDEX(코드!$F$2:$F$107,MATCH(T13,코드!$A$2:$A$107,0)),0)))</f>
        <v/>
      </c>
      <c r="U97" s="41">
        <f>IF(U$6="휴일",0,IF(U13="",1,IFERROR(INDEX(코드!$F$2:$F$107,MATCH(U13,코드!$A$2:$A$107,0)),0)))</f>
        <v/>
      </c>
      <c r="V97" s="41">
        <f>IF(V$6="휴일",0,IF(V13="",1,IFERROR(INDEX(코드!$F$2:$F$107,MATCH(V13,코드!$A$2:$A$107,0)),0)))</f>
        <v/>
      </c>
      <c r="W97" s="41">
        <f>IF(W$6="휴일",0,IF(W13="",1,IFERROR(INDEX(코드!$F$2:$F$107,MATCH(W13,코드!$A$2:$A$107,0)),0)))</f>
        <v/>
      </c>
      <c r="X97" s="41">
        <f>IF(X$6="휴일",0,IF(X13="",1,IFERROR(INDEX(코드!$F$2:$F$107,MATCH(X13,코드!$A$2:$A$107,0)),0)))</f>
        <v/>
      </c>
      <c r="Y97" s="41">
        <f>IF(Y$6="휴일",0,IF(Y13="",1,IFERROR(INDEX(코드!$F$2:$F$107,MATCH(Y13,코드!$A$2:$A$107,0)),0)))</f>
        <v/>
      </c>
      <c r="Z97" s="41">
        <f>IF(Z$6="휴일",0,IF(Z13="",1,IFERROR(INDEX(코드!$F$2:$F$107,MATCH(Z13,코드!$A$2:$A$107,0)),0)))</f>
        <v/>
      </c>
      <c r="AA97" s="41">
        <f>IF(AA$6="휴일",0,IF(AA13="",1,IFERROR(INDEX(코드!$F$2:$F$107,MATCH(AA13,코드!$A$2:$A$107,0)),0)))</f>
        <v/>
      </c>
      <c r="AB97" s="41">
        <f>IF(AB$6="휴일",0,IF(AB13="",1,IFERROR(INDEX(코드!$F$2:$F$107,MATCH(AB13,코드!$A$2:$A$107,0)),0)))</f>
        <v/>
      </c>
      <c r="AC97" s="41">
        <f>IF(AC$6="휴일",0,IF(AC13="",1,IFERROR(INDEX(코드!$F$2:$F$107,MATCH(AC13,코드!$A$2:$A$107,0)),0)))</f>
        <v/>
      </c>
      <c r="AD97" s="41">
        <f>IF(AD$6="휴일",0,IF(AD13="",1,IFERROR(INDEX(코드!$F$2:$F$107,MATCH(AD13,코드!$A$2:$A$107,0)),0)))</f>
        <v/>
      </c>
      <c r="AE97" s="41">
        <f>IF(AE$6="휴일",0,IF(AE13="",1,IFERROR(INDEX(코드!$F$2:$F$107,MATCH(AE13,코드!$A$2:$A$107,0)),0)))</f>
        <v/>
      </c>
      <c r="AF97" s="41">
        <f>IF(AF$6="휴일",0,IF(AF13="",1,IFERROR(INDEX(코드!$F$2:$F$107,MATCH(AF13,코드!$A$2:$A$107,0)),0)))</f>
        <v/>
      </c>
      <c r="AG97" s="41">
        <f>IF(AG$6="휴일",0,IF(AG13="",1,IFERROR(INDEX(코드!$F$2:$F$107,MATCH(AG13,코드!$A$2:$A$107,0)),0)))</f>
        <v/>
      </c>
      <c r="AH97" s="41">
        <f>IF(AH$6="휴일",0,IF(AH13="",1,IFERROR(INDEX(코드!$F$2:$F$107,MATCH(AH13,코드!$A$2:$A$107,0)),0)))</f>
        <v/>
      </c>
    </row>
    <row r="98">
      <c r="A98" s="15">
        <f>IF(명부!A8="","",명부!A8)</f>
        <v/>
      </c>
      <c r="B98" s="16">
        <f>IF(명부!C8="","",명부!C8)</f>
        <v/>
      </c>
      <c r="C98" s="17">
        <f>IF(명부!E8="","",명부!E8)</f>
        <v/>
      </c>
      <c r="D98" s="41">
        <f>IF(D$6="휴일",0,IF(D14="",1,IFERROR(INDEX(코드!$F$2:$F$107,MATCH(D14,코드!$A$2:$A$107,0)),0)))</f>
        <v/>
      </c>
      <c r="E98" s="41">
        <f>IF(E$6="휴일",0,IF(E14="",1,IFERROR(INDEX(코드!$F$2:$F$107,MATCH(E14,코드!$A$2:$A$107,0)),0)))</f>
        <v/>
      </c>
      <c r="F98" s="41">
        <f>IF(F$6="휴일",0,IF(F14="",1,IFERROR(INDEX(코드!$F$2:$F$107,MATCH(F14,코드!$A$2:$A$107,0)),0)))</f>
        <v/>
      </c>
      <c r="G98" s="41">
        <f>IF(G$6="휴일",0,IF(G14="",1,IFERROR(INDEX(코드!$F$2:$F$107,MATCH(G14,코드!$A$2:$A$107,0)),0)))</f>
        <v/>
      </c>
      <c r="H98" s="41">
        <f>IF(H$6="휴일",0,IF(H14="",1,IFERROR(INDEX(코드!$F$2:$F$107,MATCH(H14,코드!$A$2:$A$107,0)),0)))</f>
        <v/>
      </c>
      <c r="I98" s="41">
        <f>IF(I$6="휴일",0,IF(I14="",1,IFERROR(INDEX(코드!$F$2:$F$107,MATCH(I14,코드!$A$2:$A$107,0)),0)))</f>
        <v/>
      </c>
      <c r="J98" s="41">
        <f>IF(J$6="휴일",0,IF(J14="",1,IFERROR(INDEX(코드!$F$2:$F$107,MATCH(J14,코드!$A$2:$A$107,0)),0)))</f>
        <v/>
      </c>
      <c r="K98" s="41">
        <f>IF(K$6="휴일",0,IF(K14="",1,IFERROR(INDEX(코드!$F$2:$F$107,MATCH(K14,코드!$A$2:$A$107,0)),0)))</f>
        <v/>
      </c>
      <c r="L98" s="41">
        <f>IF(L$6="휴일",0,IF(L14="",1,IFERROR(INDEX(코드!$F$2:$F$107,MATCH(L14,코드!$A$2:$A$107,0)),0)))</f>
        <v/>
      </c>
      <c r="M98" s="41">
        <f>IF(M$6="휴일",0,IF(M14="",1,IFERROR(INDEX(코드!$F$2:$F$107,MATCH(M14,코드!$A$2:$A$107,0)),0)))</f>
        <v/>
      </c>
      <c r="N98" s="41">
        <f>IF(N$6="휴일",0,IF(N14="",1,IFERROR(INDEX(코드!$F$2:$F$107,MATCH(N14,코드!$A$2:$A$107,0)),0)))</f>
        <v/>
      </c>
      <c r="O98" s="41">
        <f>IF(O$6="휴일",0,IF(O14="",1,IFERROR(INDEX(코드!$F$2:$F$107,MATCH(O14,코드!$A$2:$A$107,0)),0)))</f>
        <v/>
      </c>
      <c r="P98" s="41">
        <f>IF(P$6="휴일",0,IF(P14="",1,IFERROR(INDEX(코드!$F$2:$F$107,MATCH(P14,코드!$A$2:$A$107,0)),0)))</f>
        <v/>
      </c>
      <c r="Q98" s="41">
        <f>IF(Q$6="휴일",0,IF(Q14="",1,IFERROR(INDEX(코드!$F$2:$F$107,MATCH(Q14,코드!$A$2:$A$107,0)),0)))</f>
        <v/>
      </c>
      <c r="R98" s="41">
        <f>IF(R$6="휴일",0,IF(R14="",1,IFERROR(INDEX(코드!$F$2:$F$107,MATCH(R14,코드!$A$2:$A$107,0)),0)))</f>
        <v/>
      </c>
      <c r="S98" s="41">
        <f>IF(S$6="휴일",0,IF(S14="",1,IFERROR(INDEX(코드!$F$2:$F$107,MATCH(S14,코드!$A$2:$A$107,0)),0)))</f>
        <v/>
      </c>
      <c r="T98" s="41">
        <f>IF(T$6="휴일",0,IF(T14="",1,IFERROR(INDEX(코드!$F$2:$F$107,MATCH(T14,코드!$A$2:$A$107,0)),0)))</f>
        <v/>
      </c>
      <c r="U98" s="41">
        <f>IF(U$6="휴일",0,IF(U14="",1,IFERROR(INDEX(코드!$F$2:$F$107,MATCH(U14,코드!$A$2:$A$107,0)),0)))</f>
        <v/>
      </c>
      <c r="V98" s="41">
        <f>IF(V$6="휴일",0,IF(V14="",1,IFERROR(INDEX(코드!$F$2:$F$107,MATCH(V14,코드!$A$2:$A$107,0)),0)))</f>
        <v/>
      </c>
      <c r="W98" s="41">
        <f>IF(W$6="휴일",0,IF(W14="",1,IFERROR(INDEX(코드!$F$2:$F$107,MATCH(W14,코드!$A$2:$A$107,0)),0)))</f>
        <v/>
      </c>
      <c r="X98" s="41">
        <f>IF(X$6="휴일",0,IF(X14="",1,IFERROR(INDEX(코드!$F$2:$F$107,MATCH(X14,코드!$A$2:$A$107,0)),0)))</f>
        <v/>
      </c>
      <c r="Y98" s="41">
        <f>IF(Y$6="휴일",0,IF(Y14="",1,IFERROR(INDEX(코드!$F$2:$F$107,MATCH(Y14,코드!$A$2:$A$107,0)),0)))</f>
        <v/>
      </c>
      <c r="Z98" s="41">
        <f>IF(Z$6="휴일",0,IF(Z14="",1,IFERROR(INDEX(코드!$F$2:$F$107,MATCH(Z14,코드!$A$2:$A$107,0)),0)))</f>
        <v/>
      </c>
      <c r="AA98" s="41">
        <f>IF(AA$6="휴일",0,IF(AA14="",1,IFERROR(INDEX(코드!$F$2:$F$107,MATCH(AA14,코드!$A$2:$A$107,0)),0)))</f>
        <v/>
      </c>
      <c r="AB98" s="41">
        <f>IF(AB$6="휴일",0,IF(AB14="",1,IFERROR(INDEX(코드!$F$2:$F$107,MATCH(AB14,코드!$A$2:$A$107,0)),0)))</f>
        <v/>
      </c>
      <c r="AC98" s="41">
        <f>IF(AC$6="휴일",0,IF(AC14="",1,IFERROR(INDEX(코드!$F$2:$F$107,MATCH(AC14,코드!$A$2:$A$107,0)),0)))</f>
        <v/>
      </c>
      <c r="AD98" s="41">
        <f>IF(AD$6="휴일",0,IF(AD14="",1,IFERROR(INDEX(코드!$F$2:$F$107,MATCH(AD14,코드!$A$2:$A$107,0)),0)))</f>
        <v/>
      </c>
      <c r="AE98" s="41">
        <f>IF(AE$6="휴일",0,IF(AE14="",1,IFERROR(INDEX(코드!$F$2:$F$107,MATCH(AE14,코드!$A$2:$A$107,0)),0)))</f>
        <v/>
      </c>
      <c r="AF98" s="41">
        <f>IF(AF$6="휴일",0,IF(AF14="",1,IFERROR(INDEX(코드!$F$2:$F$107,MATCH(AF14,코드!$A$2:$A$107,0)),0)))</f>
        <v/>
      </c>
      <c r="AG98" s="41">
        <f>IF(AG$6="휴일",0,IF(AG14="",1,IFERROR(INDEX(코드!$F$2:$F$107,MATCH(AG14,코드!$A$2:$A$107,0)),0)))</f>
        <v/>
      </c>
      <c r="AH98" s="41">
        <f>IF(AH$6="휴일",0,IF(AH14="",1,IFERROR(INDEX(코드!$F$2:$F$107,MATCH(AH14,코드!$A$2:$A$107,0)),0)))</f>
        <v/>
      </c>
    </row>
    <row r="99">
      <c r="A99" s="15">
        <f>IF(명부!A9="","",명부!A9)</f>
        <v/>
      </c>
      <c r="B99" s="16">
        <f>IF(명부!C9="","",명부!C9)</f>
        <v/>
      </c>
      <c r="C99" s="17">
        <f>IF(명부!E9="","",명부!E9)</f>
        <v/>
      </c>
      <c r="D99" s="41">
        <f>IF(D$6="휴일",0,IF(D15="",1,IFERROR(INDEX(코드!$F$2:$F$107,MATCH(D15,코드!$A$2:$A$107,0)),0)))</f>
        <v/>
      </c>
      <c r="E99" s="41">
        <f>IF(E$6="휴일",0,IF(E15="",1,IFERROR(INDEX(코드!$F$2:$F$107,MATCH(E15,코드!$A$2:$A$107,0)),0)))</f>
        <v/>
      </c>
      <c r="F99" s="41">
        <f>IF(F$6="휴일",0,IF(F15="",1,IFERROR(INDEX(코드!$F$2:$F$107,MATCH(F15,코드!$A$2:$A$107,0)),0)))</f>
        <v/>
      </c>
      <c r="G99" s="41">
        <f>IF(G$6="휴일",0,IF(G15="",1,IFERROR(INDEX(코드!$F$2:$F$107,MATCH(G15,코드!$A$2:$A$107,0)),0)))</f>
        <v/>
      </c>
      <c r="H99" s="41">
        <f>IF(H$6="휴일",0,IF(H15="",1,IFERROR(INDEX(코드!$F$2:$F$107,MATCH(H15,코드!$A$2:$A$107,0)),0)))</f>
        <v/>
      </c>
      <c r="I99" s="41">
        <f>IF(I$6="휴일",0,IF(I15="",1,IFERROR(INDEX(코드!$F$2:$F$107,MATCH(I15,코드!$A$2:$A$107,0)),0)))</f>
        <v/>
      </c>
      <c r="J99" s="41">
        <f>IF(J$6="휴일",0,IF(J15="",1,IFERROR(INDEX(코드!$F$2:$F$107,MATCH(J15,코드!$A$2:$A$107,0)),0)))</f>
        <v/>
      </c>
      <c r="K99" s="41">
        <f>IF(K$6="휴일",0,IF(K15="",1,IFERROR(INDEX(코드!$F$2:$F$107,MATCH(K15,코드!$A$2:$A$107,0)),0)))</f>
        <v/>
      </c>
      <c r="L99" s="41">
        <f>IF(L$6="휴일",0,IF(L15="",1,IFERROR(INDEX(코드!$F$2:$F$107,MATCH(L15,코드!$A$2:$A$107,0)),0)))</f>
        <v/>
      </c>
      <c r="M99" s="41">
        <f>IF(M$6="휴일",0,IF(M15="",1,IFERROR(INDEX(코드!$F$2:$F$107,MATCH(M15,코드!$A$2:$A$107,0)),0)))</f>
        <v/>
      </c>
      <c r="N99" s="41">
        <f>IF(N$6="휴일",0,IF(N15="",1,IFERROR(INDEX(코드!$F$2:$F$107,MATCH(N15,코드!$A$2:$A$107,0)),0)))</f>
        <v/>
      </c>
      <c r="O99" s="41">
        <f>IF(O$6="휴일",0,IF(O15="",1,IFERROR(INDEX(코드!$F$2:$F$107,MATCH(O15,코드!$A$2:$A$107,0)),0)))</f>
        <v/>
      </c>
      <c r="P99" s="41">
        <f>IF(P$6="휴일",0,IF(P15="",1,IFERROR(INDEX(코드!$F$2:$F$107,MATCH(P15,코드!$A$2:$A$107,0)),0)))</f>
        <v/>
      </c>
      <c r="Q99" s="41">
        <f>IF(Q$6="휴일",0,IF(Q15="",1,IFERROR(INDEX(코드!$F$2:$F$107,MATCH(Q15,코드!$A$2:$A$107,0)),0)))</f>
        <v/>
      </c>
      <c r="R99" s="41">
        <f>IF(R$6="휴일",0,IF(R15="",1,IFERROR(INDEX(코드!$F$2:$F$107,MATCH(R15,코드!$A$2:$A$107,0)),0)))</f>
        <v/>
      </c>
      <c r="S99" s="41">
        <f>IF(S$6="휴일",0,IF(S15="",1,IFERROR(INDEX(코드!$F$2:$F$107,MATCH(S15,코드!$A$2:$A$107,0)),0)))</f>
        <v/>
      </c>
      <c r="T99" s="41">
        <f>IF(T$6="휴일",0,IF(T15="",1,IFERROR(INDEX(코드!$F$2:$F$107,MATCH(T15,코드!$A$2:$A$107,0)),0)))</f>
        <v/>
      </c>
      <c r="U99" s="41">
        <f>IF(U$6="휴일",0,IF(U15="",1,IFERROR(INDEX(코드!$F$2:$F$107,MATCH(U15,코드!$A$2:$A$107,0)),0)))</f>
        <v/>
      </c>
      <c r="V99" s="41">
        <f>IF(V$6="휴일",0,IF(V15="",1,IFERROR(INDEX(코드!$F$2:$F$107,MATCH(V15,코드!$A$2:$A$107,0)),0)))</f>
        <v/>
      </c>
      <c r="W99" s="41">
        <f>IF(W$6="휴일",0,IF(W15="",1,IFERROR(INDEX(코드!$F$2:$F$107,MATCH(W15,코드!$A$2:$A$107,0)),0)))</f>
        <v/>
      </c>
      <c r="X99" s="41">
        <f>IF(X$6="휴일",0,IF(X15="",1,IFERROR(INDEX(코드!$F$2:$F$107,MATCH(X15,코드!$A$2:$A$107,0)),0)))</f>
        <v/>
      </c>
      <c r="Y99" s="41">
        <f>IF(Y$6="휴일",0,IF(Y15="",1,IFERROR(INDEX(코드!$F$2:$F$107,MATCH(Y15,코드!$A$2:$A$107,0)),0)))</f>
        <v/>
      </c>
      <c r="Z99" s="41">
        <f>IF(Z$6="휴일",0,IF(Z15="",1,IFERROR(INDEX(코드!$F$2:$F$107,MATCH(Z15,코드!$A$2:$A$107,0)),0)))</f>
        <v/>
      </c>
      <c r="AA99" s="41">
        <f>IF(AA$6="휴일",0,IF(AA15="",1,IFERROR(INDEX(코드!$F$2:$F$107,MATCH(AA15,코드!$A$2:$A$107,0)),0)))</f>
        <v/>
      </c>
      <c r="AB99" s="41">
        <f>IF(AB$6="휴일",0,IF(AB15="",1,IFERROR(INDEX(코드!$F$2:$F$107,MATCH(AB15,코드!$A$2:$A$107,0)),0)))</f>
        <v/>
      </c>
      <c r="AC99" s="41">
        <f>IF(AC$6="휴일",0,IF(AC15="",1,IFERROR(INDEX(코드!$F$2:$F$107,MATCH(AC15,코드!$A$2:$A$107,0)),0)))</f>
        <v/>
      </c>
      <c r="AD99" s="41">
        <f>IF(AD$6="휴일",0,IF(AD15="",1,IFERROR(INDEX(코드!$F$2:$F$107,MATCH(AD15,코드!$A$2:$A$107,0)),0)))</f>
        <v/>
      </c>
      <c r="AE99" s="41">
        <f>IF(AE$6="휴일",0,IF(AE15="",1,IFERROR(INDEX(코드!$F$2:$F$107,MATCH(AE15,코드!$A$2:$A$107,0)),0)))</f>
        <v/>
      </c>
      <c r="AF99" s="41">
        <f>IF(AF$6="휴일",0,IF(AF15="",1,IFERROR(INDEX(코드!$F$2:$F$107,MATCH(AF15,코드!$A$2:$A$107,0)),0)))</f>
        <v/>
      </c>
      <c r="AG99" s="41">
        <f>IF(AG$6="휴일",0,IF(AG15="",1,IFERROR(INDEX(코드!$F$2:$F$107,MATCH(AG15,코드!$A$2:$A$107,0)),0)))</f>
        <v/>
      </c>
      <c r="AH99" s="41">
        <f>IF(AH$6="휴일",0,IF(AH15="",1,IFERROR(INDEX(코드!$F$2:$F$107,MATCH(AH15,코드!$A$2:$A$107,0)),0)))</f>
        <v/>
      </c>
    </row>
    <row r="100">
      <c r="A100" s="15">
        <f>IF(명부!A10="","",명부!A10)</f>
        <v/>
      </c>
      <c r="B100" s="16">
        <f>IF(명부!C10="","",명부!C10)</f>
        <v/>
      </c>
      <c r="C100" s="17">
        <f>IF(명부!E10="","",명부!E10)</f>
        <v/>
      </c>
      <c r="D100" s="41">
        <f>IF(D$6="휴일",0,IF(D16="",1,IFERROR(INDEX(코드!$F$2:$F$107,MATCH(D16,코드!$A$2:$A$107,0)),0)))</f>
        <v/>
      </c>
      <c r="E100" s="41">
        <f>IF(E$6="휴일",0,IF(E16="",1,IFERROR(INDEX(코드!$F$2:$F$107,MATCH(E16,코드!$A$2:$A$107,0)),0)))</f>
        <v/>
      </c>
      <c r="F100" s="41">
        <f>IF(F$6="휴일",0,IF(F16="",1,IFERROR(INDEX(코드!$F$2:$F$107,MATCH(F16,코드!$A$2:$A$107,0)),0)))</f>
        <v/>
      </c>
      <c r="G100" s="41">
        <f>IF(G$6="휴일",0,IF(G16="",1,IFERROR(INDEX(코드!$F$2:$F$107,MATCH(G16,코드!$A$2:$A$107,0)),0)))</f>
        <v/>
      </c>
      <c r="H100" s="41">
        <f>IF(H$6="휴일",0,IF(H16="",1,IFERROR(INDEX(코드!$F$2:$F$107,MATCH(H16,코드!$A$2:$A$107,0)),0)))</f>
        <v/>
      </c>
      <c r="I100" s="41">
        <f>IF(I$6="휴일",0,IF(I16="",1,IFERROR(INDEX(코드!$F$2:$F$107,MATCH(I16,코드!$A$2:$A$107,0)),0)))</f>
        <v/>
      </c>
      <c r="J100" s="41">
        <f>IF(J$6="휴일",0,IF(J16="",1,IFERROR(INDEX(코드!$F$2:$F$107,MATCH(J16,코드!$A$2:$A$107,0)),0)))</f>
        <v/>
      </c>
      <c r="K100" s="41">
        <f>IF(K$6="휴일",0,IF(K16="",1,IFERROR(INDEX(코드!$F$2:$F$107,MATCH(K16,코드!$A$2:$A$107,0)),0)))</f>
        <v/>
      </c>
      <c r="L100" s="41">
        <f>IF(L$6="휴일",0,IF(L16="",1,IFERROR(INDEX(코드!$F$2:$F$107,MATCH(L16,코드!$A$2:$A$107,0)),0)))</f>
        <v/>
      </c>
      <c r="M100" s="41">
        <f>IF(M$6="휴일",0,IF(M16="",1,IFERROR(INDEX(코드!$F$2:$F$107,MATCH(M16,코드!$A$2:$A$107,0)),0)))</f>
        <v/>
      </c>
      <c r="N100" s="41">
        <f>IF(N$6="휴일",0,IF(N16="",1,IFERROR(INDEX(코드!$F$2:$F$107,MATCH(N16,코드!$A$2:$A$107,0)),0)))</f>
        <v/>
      </c>
      <c r="O100" s="41">
        <f>IF(O$6="휴일",0,IF(O16="",1,IFERROR(INDEX(코드!$F$2:$F$107,MATCH(O16,코드!$A$2:$A$107,0)),0)))</f>
        <v/>
      </c>
      <c r="P100" s="41">
        <f>IF(P$6="휴일",0,IF(P16="",1,IFERROR(INDEX(코드!$F$2:$F$107,MATCH(P16,코드!$A$2:$A$107,0)),0)))</f>
        <v/>
      </c>
      <c r="Q100" s="41">
        <f>IF(Q$6="휴일",0,IF(Q16="",1,IFERROR(INDEX(코드!$F$2:$F$107,MATCH(Q16,코드!$A$2:$A$107,0)),0)))</f>
        <v/>
      </c>
      <c r="R100" s="41">
        <f>IF(R$6="휴일",0,IF(R16="",1,IFERROR(INDEX(코드!$F$2:$F$107,MATCH(R16,코드!$A$2:$A$107,0)),0)))</f>
        <v/>
      </c>
      <c r="S100" s="41">
        <f>IF(S$6="휴일",0,IF(S16="",1,IFERROR(INDEX(코드!$F$2:$F$107,MATCH(S16,코드!$A$2:$A$107,0)),0)))</f>
        <v/>
      </c>
      <c r="T100" s="41">
        <f>IF(T$6="휴일",0,IF(T16="",1,IFERROR(INDEX(코드!$F$2:$F$107,MATCH(T16,코드!$A$2:$A$107,0)),0)))</f>
        <v/>
      </c>
      <c r="U100" s="41">
        <f>IF(U$6="휴일",0,IF(U16="",1,IFERROR(INDEX(코드!$F$2:$F$107,MATCH(U16,코드!$A$2:$A$107,0)),0)))</f>
        <v/>
      </c>
      <c r="V100" s="41">
        <f>IF(V$6="휴일",0,IF(V16="",1,IFERROR(INDEX(코드!$F$2:$F$107,MATCH(V16,코드!$A$2:$A$107,0)),0)))</f>
        <v/>
      </c>
      <c r="W100" s="41">
        <f>IF(W$6="휴일",0,IF(W16="",1,IFERROR(INDEX(코드!$F$2:$F$107,MATCH(W16,코드!$A$2:$A$107,0)),0)))</f>
        <v/>
      </c>
      <c r="X100" s="41">
        <f>IF(X$6="휴일",0,IF(X16="",1,IFERROR(INDEX(코드!$F$2:$F$107,MATCH(X16,코드!$A$2:$A$107,0)),0)))</f>
        <v/>
      </c>
      <c r="Y100" s="41">
        <f>IF(Y$6="휴일",0,IF(Y16="",1,IFERROR(INDEX(코드!$F$2:$F$107,MATCH(Y16,코드!$A$2:$A$107,0)),0)))</f>
        <v/>
      </c>
      <c r="Z100" s="41">
        <f>IF(Z$6="휴일",0,IF(Z16="",1,IFERROR(INDEX(코드!$F$2:$F$107,MATCH(Z16,코드!$A$2:$A$107,0)),0)))</f>
        <v/>
      </c>
      <c r="AA100" s="41">
        <f>IF(AA$6="휴일",0,IF(AA16="",1,IFERROR(INDEX(코드!$F$2:$F$107,MATCH(AA16,코드!$A$2:$A$107,0)),0)))</f>
        <v/>
      </c>
      <c r="AB100" s="41">
        <f>IF(AB$6="휴일",0,IF(AB16="",1,IFERROR(INDEX(코드!$F$2:$F$107,MATCH(AB16,코드!$A$2:$A$107,0)),0)))</f>
        <v/>
      </c>
      <c r="AC100" s="41">
        <f>IF(AC$6="휴일",0,IF(AC16="",1,IFERROR(INDEX(코드!$F$2:$F$107,MATCH(AC16,코드!$A$2:$A$107,0)),0)))</f>
        <v/>
      </c>
      <c r="AD100" s="41">
        <f>IF(AD$6="휴일",0,IF(AD16="",1,IFERROR(INDEX(코드!$F$2:$F$107,MATCH(AD16,코드!$A$2:$A$107,0)),0)))</f>
        <v/>
      </c>
      <c r="AE100" s="41">
        <f>IF(AE$6="휴일",0,IF(AE16="",1,IFERROR(INDEX(코드!$F$2:$F$107,MATCH(AE16,코드!$A$2:$A$107,0)),0)))</f>
        <v/>
      </c>
      <c r="AF100" s="41">
        <f>IF(AF$6="휴일",0,IF(AF16="",1,IFERROR(INDEX(코드!$F$2:$F$107,MATCH(AF16,코드!$A$2:$A$107,0)),0)))</f>
        <v/>
      </c>
      <c r="AG100" s="41">
        <f>IF(AG$6="휴일",0,IF(AG16="",1,IFERROR(INDEX(코드!$F$2:$F$107,MATCH(AG16,코드!$A$2:$A$107,0)),0)))</f>
        <v/>
      </c>
      <c r="AH100" s="41">
        <f>IF(AH$6="휴일",0,IF(AH16="",1,IFERROR(INDEX(코드!$F$2:$F$107,MATCH(AH16,코드!$A$2:$A$107,0)),0)))</f>
        <v/>
      </c>
    </row>
    <row r="101">
      <c r="A101" s="15">
        <f>IF(명부!A11="","",명부!A11)</f>
        <v/>
      </c>
      <c r="B101" s="16">
        <f>IF(명부!C11="","",명부!C11)</f>
        <v/>
      </c>
      <c r="C101" s="17">
        <f>IF(명부!E11="","",명부!E11)</f>
        <v/>
      </c>
      <c r="D101" s="41">
        <f>IF(D$6="휴일",0,IF(D17="",1,IFERROR(INDEX(코드!$F$2:$F$107,MATCH(D17,코드!$A$2:$A$107,0)),0)))</f>
        <v/>
      </c>
      <c r="E101" s="41">
        <f>IF(E$6="휴일",0,IF(E17="",1,IFERROR(INDEX(코드!$F$2:$F$107,MATCH(E17,코드!$A$2:$A$107,0)),0)))</f>
        <v/>
      </c>
      <c r="F101" s="41">
        <f>IF(F$6="휴일",0,IF(F17="",1,IFERROR(INDEX(코드!$F$2:$F$107,MATCH(F17,코드!$A$2:$A$107,0)),0)))</f>
        <v/>
      </c>
      <c r="G101" s="41">
        <f>IF(G$6="휴일",0,IF(G17="",1,IFERROR(INDEX(코드!$F$2:$F$107,MATCH(G17,코드!$A$2:$A$107,0)),0)))</f>
        <v/>
      </c>
      <c r="H101" s="41">
        <f>IF(H$6="휴일",0,IF(H17="",1,IFERROR(INDEX(코드!$F$2:$F$107,MATCH(H17,코드!$A$2:$A$107,0)),0)))</f>
        <v/>
      </c>
      <c r="I101" s="41">
        <f>IF(I$6="휴일",0,IF(I17="",1,IFERROR(INDEX(코드!$F$2:$F$107,MATCH(I17,코드!$A$2:$A$107,0)),0)))</f>
        <v/>
      </c>
      <c r="J101" s="41">
        <f>IF(J$6="휴일",0,IF(J17="",1,IFERROR(INDEX(코드!$F$2:$F$107,MATCH(J17,코드!$A$2:$A$107,0)),0)))</f>
        <v/>
      </c>
      <c r="K101" s="41">
        <f>IF(K$6="휴일",0,IF(K17="",1,IFERROR(INDEX(코드!$F$2:$F$107,MATCH(K17,코드!$A$2:$A$107,0)),0)))</f>
        <v/>
      </c>
      <c r="L101" s="41">
        <f>IF(L$6="휴일",0,IF(L17="",1,IFERROR(INDEX(코드!$F$2:$F$107,MATCH(L17,코드!$A$2:$A$107,0)),0)))</f>
        <v/>
      </c>
      <c r="M101" s="41">
        <f>IF(M$6="휴일",0,IF(M17="",1,IFERROR(INDEX(코드!$F$2:$F$107,MATCH(M17,코드!$A$2:$A$107,0)),0)))</f>
        <v/>
      </c>
      <c r="N101" s="41">
        <f>IF(N$6="휴일",0,IF(N17="",1,IFERROR(INDEX(코드!$F$2:$F$107,MATCH(N17,코드!$A$2:$A$107,0)),0)))</f>
        <v/>
      </c>
      <c r="O101" s="41">
        <f>IF(O$6="휴일",0,IF(O17="",1,IFERROR(INDEX(코드!$F$2:$F$107,MATCH(O17,코드!$A$2:$A$107,0)),0)))</f>
        <v/>
      </c>
      <c r="P101" s="41">
        <f>IF(P$6="휴일",0,IF(P17="",1,IFERROR(INDEX(코드!$F$2:$F$107,MATCH(P17,코드!$A$2:$A$107,0)),0)))</f>
        <v/>
      </c>
      <c r="Q101" s="41">
        <f>IF(Q$6="휴일",0,IF(Q17="",1,IFERROR(INDEX(코드!$F$2:$F$107,MATCH(Q17,코드!$A$2:$A$107,0)),0)))</f>
        <v/>
      </c>
      <c r="R101" s="41">
        <f>IF(R$6="휴일",0,IF(R17="",1,IFERROR(INDEX(코드!$F$2:$F$107,MATCH(R17,코드!$A$2:$A$107,0)),0)))</f>
        <v/>
      </c>
      <c r="S101" s="41">
        <f>IF(S$6="휴일",0,IF(S17="",1,IFERROR(INDEX(코드!$F$2:$F$107,MATCH(S17,코드!$A$2:$A$107,0)),0)))</f>
        <v/>
      </c>
      <c r="T101" s="41">
        <f>IF(T$6="휴일",0,IF(T17="",1,IFERROR(INDEX(코드!$F$2:$F$107,MATCH(T17,코드!$A$2:$A$107,0)),0)))</f>
        <v/>
      </c>
      <c r="U101" s="41">
        <f>IF(U$6="휴일",0,IF(U17="",1,IFERROR(INDEX(코드!$F$2:$F$107,MATCH(U17,코드!$A$2:$A$107,0)),0)))</f>
        <v/>
      </c>
      <c r="V101" s="41">
        <f>IF(V$6="휴일",0,IF(V17="",1,IFERROR(INDEX(코드!$F$2:$F$107,MATCH(V17,코드!$A$2:$A$107,0)),0)))</f>
        <v/>
      </c>
      <c r="W101" s="41">
        <f>IF(W$6="휴일",0,IF(W17="",1,IFERROR(INDEX(코드!$F$2:$F$107,MATCH(W17,코드!$A$2:$A$107,0)),0)))</f>
        <v/>
      </c>
      <c r="X101" s="41">
        <f>IF(X$6="휴일",0,IF(X17="",1,IFERROR(INDEX(코드!$F$2:$F$107,MATCH(X17,코드!$A$2:$A$107,0)),0)))</f>
        <v/>
      </c>
      <c r="Y101" s="41">
        <f>IF(Y$6="휴일",0,IF(Y17="",1,IFERROR(INDEX(코드!$F$2:$F$107,MATCH(Y17,코드!$A$2:$A$107,0)),0)))</f>
        <v/>
      </c>
      <c r="Z101" s="41">
        <f>IF(Z$6="휴일",0,IF(Z17="",1,IFERROR(INDEX(코드!$F$2:$F$107,MATCH(Z17,코드!$A$2:$A$107,0)),0)))</f>
        <v/>
      </c>
      <c r="AA101" s="41">
        <f>IF(AA$6="휴일",0,IF(AA17="",1,IFERROR(INDEX(코드!$F$2:$F$107,MATCH(AA17,코드!$A$2:$A$107,0)),0)))</f>
        <v/>
      </c>
      <c r="AB101" s="41">
        <f>IF(AB$6="휴일",0,IF(AB17="",1,IFERROR(INDEX(코드!$F$2:$F$107,MATCH(AB17,코드!$A$2:$A$107,0)),0)))</f>
        <v/>
      </c>
      <c r="AC101" s="41">
        <f>IF(AC$6="휴일",0,IF(AC17="",1,IFERROR(INDEX(코드!$F$2:$F$107,MATCH(AC17,코드!$A$2:$A$107,0)),0)))</f>
        <v/>
      </c>
      <c r="AD101" s="41">
        <f>IF(AD$6="휴일",0,IF(AD17="",1,IFERROR(INDEX(코드!$F$2:$F$107,MATCH(AD17,코드!$A$2:$A$107,0)),0)))</f>
        <v/>
      </c>
      <c r="AE101" s="41">
        <f>IF(AE$6="휴일",0,IF(AE17="",1,IFERROR(INDEX(코드!$F$2:$F$107,MATCH(AE17,코드!$A$2:$A$107,0)),0)))</f>
        <v/>
      </c>
      <c r="AF101" s="41">
        <f>IF(AF$6="휴일",0,IF(AF17="",1,IFERROR(INDEX(코드!$F$2:$F$107,MATCH(AF17,코드!$A$2:$A$107,0)),0)))</f>
        <v/>
      </c>
      <c r="AG101" s="41">
        <f>IF(AG$6="휴일",0,IF(AG17="",1,IFERROR(INDEX(코드!$F$2:$F$107,MATCH(AG17,코드!$A$2:$A$107,0)),0)))</f>
        <v/>
      </c>
      <c r="AH101" s="41">
        <f>IF(AH$6="휴일",0,IF(AH17="",1,IFERROR(INDEX(코드!$F$2:$F$107,MATCH(AH17,코드!$A$2:$A$107,0)),0)))</f>
        <v/>
      </c>
    </row>
    <row r="102">
      <c r="A102" s="15">
        <f>IF(명부!A12="","",명부!A12)</f>
        <v/>
      </c>
      <c r="B102" s="16">
        <f>IF(명부!C12="","",명부!C12)</f>
        <v/>
      </c>
      <c r="C102" s="17">
        <f>IF(명부!E12="","",명부!E12)</f>
        <v/>
      </c>
      <c r="D102" s="41">
        <f>IF(D$6="휴일",0,IF(D18="",1,IFERROR(INDEX(코드!$F$2:$F$107,MATCH(D18,코드!$A$2:$A$107,0)),0)))</f>
        <v/>
      </c>
      <c r="E102" s="41">
        <f>IF(E$6="휴일",0,IF(E18="",1,IFERROR(INDEX(코드!$F$2:$F$107,MATCH(E18,코드!$A$2:$A$107,0)),0)))</f>
        <v/>
      </c>
      <c r="F102" s="41">
        <f>IF(F$6="휴일",0,IF(F18="",1,IFERROR(INDEX(코드!$F$2:$F$107,MATCH(F18,코드!$A$2:$A$107,0)),0)))</f>
        <v/>
      </c>
      <c r="G102" s="41">
        <f>IF(G$6="휴일",0,IF(G18="",1,IFERROR(INDEX(코드!$F$2:$F$107,MATCH(G18,코드!$A$2:$A$107,0)),0)))</f>
        <v/>
      </c>
      <c r="H102" s="41">
        <f>IF(H$6="휴일",0,IF(H18="",1,IFERROR(INDEX(코드!$F$2:$F$107,MATCH(H18,코드!$A$2:$A$107,0)),0)))</f>
        <v/>
      </c>
      <c r="I102" s="41">
        <f>IF(I$6="휴일",0,IF(I18="",1,IFERROR(INDEX(코드!$F$2:$F$107,MATCH(I18,코드!$A$2:$A$107,0)),0)))</f>
        <v/>
      </c>
      <c r="J102" s="41">
        <f>IF(J$6="휴일",0,IF(J18="",1,IFERROR(INDEX(코드!$F$2:$F$107,MATCH(J18,코드!$A$2:$A$107,0)),0)))</f>
        <v/>
      </c>
      <c r="K102" s="41">
        <f>IF(K$6="휴일",0,IF(K18="",1,IFERROR(INDEX(코드!$F$2:$F$107,MATCH(K18,코드!$A$2:$A$107,0)),0)))</f>
        <v/>
      </c>
      <c r="L102" s="41">
        <f>IF(L$6="휴일",0,IF(L18="",1,IFERROR(INDEX(코드!$F$2:$F$107,MATCH(L18,코드!$A$2:$A$107,0)),0)))</f>
        <v/>
      </c>
      <c r="M102" s="41">
        <f>IF(M$6="휴일",0,IF(M18="",1,IFERROR(INDEX(코드!$F$2:$F$107,MATCH(M18,코드!$A$2:$A$107,0)),0)))</f>
        <v/>
      </c>
      <c r="N102" s="41">
        <f>IF(N$6="휴일",0,IF(N18="",1,IFERROR(INDEX(코드!$F$2:$F$107,MATCH(N18,코드!$A$2:$A$107,0)),0)))</f>
        <v/>
      </c>
      <c r="O102" s="41">
        <f>IF(O$6="휴일",0,IF(O18="",1,IFERROR(INDEX(코드!$F$2:$F$107,MATCH(O18,코드!$A$2:$A$107,0)),0)))</f>
        <v/>
      </c>
      <c r="P102" s="41">
        <f>IF(P$6="휴일",0,IF(P18="",1,IFERROR(INDEX(코드!$F$2:$F$107,MATCH(P18,코드!$A$2:$A$107,0)),0)))</f>
        <v/>
      </c>
      <c r="Q102" s="41">
        <f>IF(Q$6="휴일",0,IF(Q18="",1,IFERROR(INDEX(코드!$F$2:$F$107,MATCH(Q18,코드!$A$2:$A$107,0)),0)))</f>
        <v/>
      </c>
      <c r="R102" s="41">
        <f>IF(R$6="휴일",0,IF(R18="",1,IFERROR(INDEX(코드!$F$2:$F$107,MATCH(R18,코드!$A$2:$A$107,0)),0)))</f>
        <v/>
      </c>
      <c r="S102" s="41">
        <f>IF(S$6="휴일",0,IF(S18="",1,IFERROR(INDEX(코드!$F$2:$F$107,MATCH(S18,코드!$A$2:$A$107,0)),0)))</f>
        <v/>
      </c>
      <c r="T102" s="41">
        <f>IF(T$6="휴일",0,IF(T18="",1,IFERROR(INDEX(코드!$F$2:$F$107,MATCH(T18,코드!$A$2:$A$107,0)),0)))</f>
        <v/>
      </c>
      <c r="U102" s="41">
        <f>IF(U$6="휴일",0,IF(U18="",1,IFERROR(INDEX(코드!$F$2:$F$107,MATCH(U18,코드!$A$2:$A$107,0)),0)))</f>
        <v/>
      </c>
      <c r="V102" s="41">
        <f>IF(V$6="휴일",0,IF(V18="",1,IFERROR(INDEX(코드!$F$2:$F$107,MATCH(V18,코드!$A$2:$A$107,0)),0)))</f>
        <v/>
      </c>
      <c r="W102" s="41">
        <f>IF(W$6="휴일",0,IF(W18="",1,IFERROR(INDEX(코드!$F$2:$F$107,MATCH(W18,코드!$A$2:$A$107,0)),0)))</f>
        <v/>
      </c>
      <c r="X102" s="41">
        <f>IF(X$6="휴일",0,IF(X18="",1,IFERROR(INDEX(코드!$F$2:$F$107,MATCH(X18,코드!$A$2:$A$107,0)),0)))</f>
        <v/>
      </c>
      <c r="Y102" s="41">
        <f>IF(Y$6="휴일",0,IF(Y18="",1,IFERROR(INDEX(코드!$F$2:$F$107,MATCH(Y18,코드!$A$2:$A$107,0)),0)))</f>
        <v/>
      </c>
      <c r="Z102" s="41">
        <f>IF(Z$6="휴일",0,IF(Z18="",1,IFERROR(INDEX(코드!$F$2:$F$107,MATCH(Z18,코드!$A$2:$A$107,0)),0)))</f>
        <v/>
      </c>
      <c r="AA102" s="41">
        <f>IF(AA$6="휴일",0,IF(AA18="",1,IFERROR(INDEX(코드!$F$2:$F$107,MATCH(AA18,코드!$A$2:$A$107,0)),0)))</f>
        <v/>
      </c>
      <c r="AB102" s="41">
        <f>IF(AB$6="휴일",0,IF(AB18="",1,IFERROR(INDEX(코드!$F$2:$F$107,MATCH(AB18,코드!$A$2:$A$107,0)),0)))</f>
        <v/>
      </c>
      <c r="AC102" s="41">
        <f>IF(AC$6="휴일",0,IF(AC18="",1,IFERROR(INDEX(코드!$F$2:$F$107,MATCH(AC18,코드!$A$2:$A$107,0)),0)))</f>
        <v/>
      </c>
      <c r="AD102" s="41">
        <f>IF(AD$6="휴일",0,IF(AD18="",1,IFERROR(INDEX(코드!$F$2:$F$107,MATCH(AD18,코드!$A$2:$A$107,0)),0)))</f>
        <v/>
      </c>
      <c r="AE102" s="41">
        <f>IF(AE$6="휴일",0,IF(AE18="",1,IFERROR(INDEX(코드!$F$2:$F$107,MATCH(AE18,코드!$A$2:$A$107,0)),0)))</f>
        <v/>
      </c>
      <c r="AF102" s="41">
        <f>IF(AF$6="휴일",0,IF(AF18="",1,IFERROR(INDEX(코드!$F$2:$F$107,MATCH(AF18,코드!$A$2:$A$107,0)),0)))</f>
        <v/>
      </c>
      <c r="AG102" s="41">
        <f>IF(AG$6="휴일",0,IF(AG18="",1,IFERROR(INDEX(코드!$F$2:$F$107,MATCH(AG18,코드!$A$2:$A$107,0)),0)))</f>
        <v/>
      </c>
      <c r="AH102" s="41">
        <f>IF(AH$6="휴일",0,IF(AH18="",1,IFERROR(INDEX(코드!$F$2:$F$107,MATCH(AH18,코드!$A$2:$A$107,0)),0)))</f>
        <v/>
      </c>
    </row>
    <row r="103">
      <c r="A103" s="15">
        <f>IF(명부!A13="","",명부!A13)</f>
        <v/>
      </c>
      <c r="B103" s="16">
        <f>IF(명부!C13="","",명부!C13)</f>
        <v/>
      </c>
      <c r="C103" s="17">
        <f>IF(명부!E13="","",명부!E13)</f>
        <v/>
      </c>
      <c r="D103" s="41">
        <f>IF(D$6="휴일",0,IF(D19="",1,IFERROR(INDEX(코드!$F$2:$F$107,MATCH(D19,코드!$A$2:$A$107,0)),0)))</f>
        <v/>
      </c>
      <c r="E103" s="41">
        <f>IF(E$6="휴일",0,IF(E19="",1,IFERROR(INDEX(코드!$F$2:$F$107,MATCH(E19,코드!$A$2:$A$107,0)),0)))</f>
        <v/>
      </c>
      <c r="F103" s="41">
        <f>IF(F$6="휴일",0,IF(F19="",1,IFERROR(INDEX(코드!$F$2:$F$107,MATCH(F19,코드!$A$2:$A$107,0)),0)))</f>
        <v/>
      </c>
      <c r="G103" s="41">
        <f>IF(G$6="휴일",0,IF(G19="",1,IFERROR(INDEX(코드!$F$2:$F$107,MATCH(G19,코드!$A$2:$A$107,0)),0)))</f>
        <v/>
      </c>
      <c r="H103" s="41">
        <f>IF(H$6="휴일",0,IF(H19="",1,IFERROR(INDEX(코드!$F$2:$F$107,MATCH(H19,코드!$A$2:$A$107,0)),0)))</f>
        <v/>
      </c>
      <c r="I103" s="41">
        <f>IF(I$6="휴일",0,IF(I19="",1,IFERROR(INDEX(코드!$F$2:$F$107,MATCH(I19,코드!$A$2:$A$107,0)),0)))</f>
        <v/>
      </c>
      <c r="J103" s="41">
        <f>IF(J$6="휴일",0,IF(J19="",1,IFERROR(INDEX(코드!$F$2:$F$107,MATCH(J19,코드!$A$2:$A$107,0)),0)))</f>
        <v/>
      </c>
      <c r="K103" s="41">
        <f>IF(K$6="휴일",0,IF(K19="",1,IFERROR(INDEX(코드!$F$2:$F$107,MATCH(K19,코드!$A$2:$A$107,0)),0)))</f>
        <v/>
      </c>
      <c r="L103" s="41">
        <f>IF(L$6="휴일",0,IF(L19="",1,IFERROR(INDEX(코드!$F$2:$F$107,MATCH(L19,코드!$A$2:$A$107,0)),0)))</f>
        <v/>
      </c>
      <c r="M103" s="41">
        <f>IF(M$6="휴일",0,IF(M19="",1,IFERROR(INDEX(코드!$F$2:$F$107,MATCH(M19,코드!$A$2:$A$107,0)),0)))</f>
        <v/>
      </c>
      <c r="N103" s="41">
        <f>IF(N$6="휴일",0,IF(N19="",1,IFERROR(INDEX(코드!$F$2:$F$107,MATCH(N19,코드!$A$2:$A$107,0)),0)))</f>
        <v/>
      </c>
      <c r="O103" s="41">
        <f>IF(O$6="휴일",0,IF(O19="",1,IFERROR(INDEX(코드!$F$2:$F$107,MATCH(O19,코드!$A$2:$A$107,0)),0)))</f>
        <v/>
      </c>
      <c r="P103" s="41">
        <f>IF(P$6="휴일",0,IF(P19="",1,IFERROR(INDEX(코드!$F$2:$F$107,MATCH(P19,코드!$A$2:$A$107,0)),0)))</f>
        <v/>
      </c>
      <c r="Q103" s="41">
        <f>IF(Q$6="휴일",0,IF(Q19="",1,IFERROR(INDEX(코드!$F$2:$F$107,MATCH(Q19,코드!$A$2:$A$107,0)),0)))</f>
        <v/>
      </c>
      <c r="R103" s="41">
        <f>IF(R$6="휴일",0,IF(R19="",1,IFERROR(INDEX(코드!$F$2:$F$107,MATCH(R19,코드!$A$2:$A$107,0)),0)))</f>
        <v/>
      </c>
      <c r="S103" s="41">
        <f>IF(S$6="휴일",0,IF(S19="",1,IFERROR(INDEX(코드!$F$2:$F$107,MATCH(S19,코드!$A$2:$A$107,0)),0)))</f>
        <v/>
      </c>
      <c r="T103" s="41">
        <f>IF(T$6="휴일",0,IF(T19="",1,IFERROR(INDEX(코드!$F$2:$F$107,MATCH(T19,코드!$A$2:$A$107,0)),0)))</f>
        <v/>
      </c>
      <c r="U103" s="41">
        <f>IF(U$6="휴일",0,IF(U19="",1,IFERROR(INDEX(코드!$F$2:$F$107,MATCH(U19,코드!$A$2:$A$107,0)),0)))</f>
        <v/>
      </c>
      <c r="V103" s="41">
        <f>IF(V$6="휴일",0,IF(V19="",1,IFERROR(INDEX(코드!$F$2:$F$107,MATCH(V19,코드!$A$2:$A$107,0)),0)))</f>
        <v/>
      </c>
      <c r="W103" s="41">
        <f>IF(W$6="휴일",0,IF(W19="",1,IFERROR(INDEX(코드!$F$2:$F$107,MATCH(W19,코드!$A$2:$A$107,0)),0)))</f>
        <v/>
      </c>
      <c r="X103" s="41">
        <f>IF(X$6="휴일",0,IF(X19="",1,IFERROR(INDEX(코드!$F$2:$F$107,MATCH(X19,코드!$A$2:$A$107,0)),0)))</f>
        <v/>
      </c>
      <c r="Y103" s="41">
        <f>IF(Y$6="휴일",0,IF(Y19="",1,IFERROR(INDEX(코드!$F$2:$F$107,MATCH(Y19,코드!$A$2:$A$107,0)),0)))</f>
        <v/>
      </c>
      <c r="Z103" s="41">
        <f>IF(Z$6="휴일",0,IF(Z19="",1,IFERROR(INDEX(코드!$F$2:$F$107,MATCH(Z19,코드!$A$2:$A$107,0)),0)))</f>
        <v/>
      </c>
      <c r="AA103" s="41">
        <f>IF(AA$6="휴일",0,IF(AA19="",1,IFERROR(INDEX(코드!$F$2:$F$107,MATCH(AA19,코드!$A$2:$A$107,0)),0)))</f>
        <v/>
      </c>
      <c r="AB103" s="41">
        <f>IF(AB$6="휴일",0,IF(AB19="",1,IFERROR(INDEX(코드!$F$2:$F$107,MATCH(AB19,코드!$A$2:$A$107,0)),0)))</f>
        <v/>
      </c>
      <c r="AC103" s="41">
        <f>IF(AC$6="휴일",0,IF(AC19="",1,IFERROR(INDEX(코드!$F$2:$F$107,MATCH(AC19,코드!$A$2:$A$107,0)),0)))</f>
        <v/>
      </c>
      <c r="AD103" s="41">
        <f>IF(AD$6="휴일",0,IF(AD19="",1,IFERROR(INDEX(코드!$F$2:$F$107,MATCH(AD19,코드!$A$2:$A$107,0)),0)))</f>
        <v/>
      </c>
      <c r="AE103" s="41">
        <f>IF(AE$6="휴일",0,IF(AE19="",1,IFERROR(INDEX(코드!$F$2:$F$107,MATCH(AE19,코드!$A$2:$A$107,0)),0)))</f>
        <v/>
      </c>
      <c r="AF103" s="41">
        <f>IF(AF$6="휴일",0,IF(AF19="",1,IFERROR(INDEX(코드!$F$2:$F$107,MATCH(AF19,코드!$A$2:$A$107,0)),0)))</f>
        <v/>
      </c>
      <c r="AG103" s="41">
        <f>IF(AG$6="휴일",0,IF(AG19="",1,IFERROR(INDEX(코드!$F$2:$F$107,MATCH(AG19,코드!$A$2:$A$107,0)),0)))</f>
        <v/>
      </c>
      <c r="AH103" s="41">
        <f>IF(AH$6="휴일",0,IF(AH19="",1,IFERROR(INDEX(코드!$F$2:$F$107,MATCH(AH19,코드!$A$2:$A$107,0)),0)))</f>
        <v/>
      </c>
    </row>
    <row r="104">
      <c r="A104" s="15">
        <f>IF(명부!A14="","",명부!A14)</f>
        <v/>
      </c>
      <c r="B104" s="16">
        <f>IF(명부!C14="","",명부!C14)</f>
        <v/>
      </c>
      <c r="C104" s="17">
        <f>IF(명부!E14="","",명부!E14)</f>
        <v/>
      </c>
      <c r="D104" s="41">
        <f>IF(D$6="휴일",0,IF(D20="",1,IFERROR(INDEX(코드!$F$2:$F$107,MATCH(D20,코드!$A$2:$A$107,0)),0)))</f>
        <v/>
      </c>
      <c r="E104" s="41">
        <f>IF(E$6="휴일",0,IF(E20="",1,IFERROR(INDEX(코드!$F$2:$F$107,MATCH(E20,코드!$A$2:$A$107,0)),0)))</f>
        <v/>
      </c>
      <c r="F104" s="41">
        <f>IF(F$6="휴일",0,IF(F20="",1,IFERROR(INDEX(코드!$F$2:$F$107,MATCH(F20,코드!$A$2:$A$107,0)),0)))</f>
        <v/>
      </c>
      <c r="G104" s="41">
        <f>IF(G$6="휴일",0,IF(G20="",1,IFERROR(INDEX(코드!$F$2:$F$107,MATCH(G20,코드!$A$2:$A$107,0)),0)))</f>
        <v/>
      </c>
      <c r="H104" s="41">
        <f>IF(H$6="휴일",0,IF(H20="",1,IFERROR(INDEX(코드!$F$2:$F$107,MATCH(H20,코드!$A$2:$A$107,0)),0)))</f>
        <v/>
      </c>
      <c r="I104" s="41">
        <f>IF(I$6="휴일",0,IF(I20="",1,IFERROR(INDEX(코드!$F$2:$F$107,MATCH(I20,코드!$A$2:$A$107,0)),0)))</f>
        <v/>
      </c>
      <c r="J104" s="41">
        <f>IF(J$6="휴일",0,IF(J20="",1,IFERROR(INDEX(코드!$F$2:$F$107,MATCH(J20,코드!$A$2:$A$107,0)),0)))</f>
        <v/>
      </c>
      <c r="K104" s="41">
        <f>IF(K$6="휴일",0,IF(K20="",1,IFERROR(INDEX(코드!$F$2:$F$107,MATCH(K20,코드!$A$2:$A$107,0)),0)))</f>
        <v/>
      </c>
      <c r="L104" s="41">
        <f>IF(L$6="휴일",0,IF(L20="",1,IFERROR(INDEX(코드!$F$2:$F$107,MATCH(L20,코드!$A$2:$A$107,0)),0)))</f>
        <v/>
      </c>
      <c r="M104" s="41">
        <f>IF(M$6="휴일",0,IF(M20="",1,IFERROR(INDEX(코드!$F$2:$F$107,MATCH(M20,코드!$A$2:$A$107,0)),0)))</f>
        <v/>
      </c>
      <c r="N104" s="41">
        <f>IF(N$6="휴일",0,IF(N20="",1,IFERROR(INDEX(코드!$F$2:$F$107,MATCH(N20,코드!$A$2:$A$107,0)),0)))</f>
        <v/>
      </c>
      <c r="O104" s="41">
        <f>IF(O$6="휴일",0,IF(O20="",1,IFERROR(INDEX(코드!$F$2:$F$107,MATCH(O20,코드!$A$2:$A$107,0)),0)))</f>
        <v/>
      </c>
      <c r="P104" s="41">
        <f>IF(P$6="휴일",0,IF(P20="",1,IFERROR(INDEX(코드!$F$2:$F$107,MATCH(P20,코드!$A$2:$A$107,0)),0)))</f>
        <v/>
      </c>
      <c r="Q104" s="41">
        <f>IF(Q$6="휴일",0,IF(Q20="",1,IFERROR(INDEX(코드!$F$2:$F$107,MATCH(Q20,코드!$A$2:$A$107,0)),0)))</f>
        <v/>
      </c>
      <c r="R104" s="41">
        <f>IF(R$6="휴일",0,IF(R20="",1,IFERROR(INDEX(코드!$F$2:$F$107,MATCH(R20,코드!$A$2:$A$107,0)),0)))</f>
        <v/>
      </c>
      <c r="S104" s="41">
        <f>IF(S$6="휴일",0,IF(S20="",1,IFERROR(INDEX(코드!$F$2:$F$107,MATCH(S20,코드!$A$2:$A$107,0)),0)))</f>
        <v/>
      </c>
      <c r="T104" s="41">
        <f>IF(T$6="휴일",0,IF(T20="",1,IFERROR(INDEX(코드!$F$2:$F$107,MATCH(T20,코드!$A$2:$A$107,0)),0)))</f>
        <v/>
      </c>
      <c r="U104" s="41">
        <f>IF(U$6="휴일",0,IF(U20="",1,IFERROR(INDEX(코드!$F$2:$F$107,MATCH(U20,코드!$A$2:$A$107,0)),0)))</f>
        <v/>
      </c>
      <c r="V104" s="41">
        <f>IF(V$6="휴일",0,IF(V20="",1,IFERROR(INDEX(코드!$F$2:$F$107,MATCH(V20,코드!$A$2:$A$107,0)),0)))</f>
        <v/>
      </c>
      <c r="W104" s="41">
        <f>IF(W$6="휴일",0,IF(W20="",1,IFERROR(INDEX(코드!$F$2:$F$107,MATCH(W20,코드!$A$2:$A$107,0)),0)))</f>
        <v/>
      </c>
      <c r="X104" s="41">
        <f>IF(X$6="휴일",0,IF(X20="",1,IFERROR(INDEX(코드!$F$2:$F$107,MATCH(X20,코드!$A$2:$A$107,0)),0)))</f>
        <v/>
      </c>
      <c r="Y104" s="41">
        <f>IF(Y$6="휴일",0,IF(Y20="",1,IFERROR(INDEX(코드!$F$2:$F$107,MATCH(Y20,코드!$A$2:$A$107,0)),0)))</f>
        <v/>
      </c>
      <c r="Z104" s="41">
        <f>IF(Z$6="휴일",0,IF(Z20="",1,IFERROR(INDEX(코드!$F$2:$F$107,MATCH(Z20,코드!$A$2:$A$107,0)),0)))</f>
        <v/>
      </c>
      <c r="AA104" s="41">
        <f>IF(AA$6="휴일",0,IF(AA20="",1,IFERROR(INDEX(코드!$F$2:$F$107,MATCH(AA20,코드!$A$2:$A$107,0)),0)))</f>
        <v/>
      </c>
      <c r="AB104" s="41">
        <f>IF(AB$6="휴일",0,IF(AB20="",1,IFERROR(INDEX(코드!$F$2:$F$107,MATCH(AB20,코드!$A$2:$A$107,0)),0)))</f>
        <v/>
      </c>
      <c r="AC104" s="41">
        <f>IF(AC$6="휴일",0,IF(AC20="",1,IFERROR(INDEX(코드!$F$2:$F$107,MATCH(AC20,코드!$A$2:$A$107,0)),0)))</f>
        <v/>
      </c>
      <c r="AD104" s="41">
        <f>IF(AD$6="휴일",0,IF(AD20="",1,IFERROR(INDEX(코드!$F$2:$F$107,MATCH(AD20,코드!$A$2:$A$107,0)),0)))</f>
        <v/>
      </c>
      <c r="AE104" s="41">
        <f>IF(AE$6="휴일",0,IF(AE20="",1,IFERROR(INDEX(코드!$F$2:$F$107,MATCH(AE20,코드!$A$2:$A$107,0)),0)))</f>
        <v/>
      </c>
      <c r="AF104" s="41">
        <f>IF(AF$6="휴일",0,IF(AF20="",1,IFERROR(INDEX(코드!$F$2:$F$107,MATCH(AF20,코드!$A$2:$A$107,0)),0)))</f>
        <v/>
      </c>
      <c r="AG104" s="41">
        <f>IF(AG$6="휴일",0,IF(AG20="",1,IFERROR(INDEX(코드!$F$2:$F$107,MATCH(AG20,코드!$A$2:$A$107,0)),0)))</f>
        <v/>
      </c>
      <c r="AH104" s="41">
        <f>IF(AH$6="휴일",0,IF(AH20="",1,IFERROR(INDEX(코드!$F$2:$F$107,MATCH(AH20,코드!$A$2:$A$107,0)),0)))</f>
        <v/>
      </c>
    </row>
    <row r="105">
      <c r="A105" s="15">
        <f>IF(명부!A15="","",명부!A15)</f>
        <v/>
      </c>
      <c r="B105" s="16">
        <f>IF(명부!C15="","",명부!C15)</f>
        <v/>
      </c>
      <c r="C105" s="17">
        <f>IF(명부!E15="","",명부!E15)</f>
        <v/>
      </c>
      <c r="D105" s="41">
        <f>IF(D$6="휴일",0,IF(D21="",1,IFERROR(INDEX(코드!$F$2:$F$107,MATCH(D21,코드!$A$2:$A$107,0)),0)))</f>
        <v/>
      </c>
      <c r="E105" s="41">
        <f>IF(E$6="휴일",0,IF(E21="",1,IFERROR(INDEX(코드!$F$2:$F$107,MATCH(E21,코드!$A$2:$A$107,0)),0)))</f>
        <v/>
      </c>
      <c r="F105" s="41">
        <f>IF(F$6="휴일",0,IF(F21="",1,IFERROR(INDEX(코드!$F$2:$F$107,MATCH(F21,코드!$A$2:$A$107,0)),0)))</f>
        <v/>
      </c>
      <c r="G105" s="41">
        <f>IF(G$6="휴일",0,IF(G21="",1,IFERROR(INDEX(코드!$F$2:$F$107,MATCH(G21,코드!$A$2:$A$107,0)),0)))</f>
        <v/>
      </c>
      <c r="H105" s="41">
        <f>IF(H$6="휴일",0,IF(H21="",1,IFERROR(INDEX(코드!$F$2:$F$107,MATCH(H21,코드!$A$2:$A$107,0)),0)))</f>
        <v/>
      </c>
      <c r="I105" s="41">
        <f>IF(I$6="휴일",0,IF(I21="",1,IFERROR(INDEX(코드!$F$2:$F$107,MATCH(I21,코드!$A$2:$A$107,0)),0)))</f>
        <v/>
      </c>
      <c r="J105" s="41">
        <f>IF(J$6="휴일",0,IF(J21="",1,IFERROR(INDEX(코드!$F$2:$F$107,MATCH(J21,코드!$A$2:$A$107,0)),0)))</f>
        <v/>
      </c>
      <c r="K105" s="41">
        <f>IF(K$6="휴일",0,IF(K21="",1,IFERROR(INDEX(코드!$F$2:$F$107,MATCH(K21,코드!$A$2:$A$107,0)),0)))</f>
        <v/>
      </c>
      <c r="L105" s="41">
        <f>IF(L$6="휴일",0,IF(L21="",1,IFERROR(INDEX(코드!$F$2:$F$107,MATCH(L21,코드!$A$2:$A$107,0)),0)))</f>
        <v/>
      </c>
      <c r="M105" s="41">
        <f>IF(M$6="휴일",0,IF(M21="",1,IFERROR(INDEX(코드!$F$2:$F$107,MATCH(M21,코드!$A$2:$A$107,0)),0)))</f>
        <v/>
      </c>
      <c r="N105" s="41">
        <f>IF(N$6="휴일",0,IF(N21="",1,IFERROR(INDEX(코드!$F$2:$F$107,MATCH(N21,코드!$A$2:$A$107,0)),0)))</f>
        <v/>
      </c>
      <c r="O105" s="41">
        <f>IF(O$6="휴일",0,IF(O21="",1,IFERROR(INDEX(코드!$F$2:$F$107,MATCH(O21,코드!$A$2:$A$107,0)),0)))</f>
        <v/>
      </c>
      <c r="P105" s="41">
        <f>IF(P$6="휴일",0,IF(P21="",1,IFERROR(INDEX(코드!$F$2:$F$107,MATCH(P21,코드!$A$2:$A$107,0)),0)))</f>
        <v/>
      </c>
      <c r="Q105" s="41">
        <f>IF(Q$6="휴일",0,IF(Q21="",1,IFERROR(INDEX(코드!$F$2:$F$107,MATCH(Q21,코드!$A$2:$A$107,0)),0)))</f>
        <v/>
      </c>
      <c r="R105" s="41">
        <f>IF(R$6="휴일",0,IF(R21="",1,IFERROR(INDEX(코드!$F$2:$F$107,MATCH(R21,코드!$A$2:$A$107,0)),0)))</f>
        <v/>
      </c>
      <c r="S105" s="41">
        <f>IF(S$6="휴일",0,IF(S21="",1,IFERROR(INDEX(코드!$F$2:$F$107,MATCH(S21,코드!$A$2:$A$107,0)),0)))</f>
        <v/>
      </c>
      <c r="T105" s="41">
        <f>IF(T$6="휴일",0,IF(T21="",1,IFERROR(INDEX(코드!$F$2:$F$107,MATCH(T21,코드!$A$2:$A$107,0)),0)))</f>
        <v/>
      </c>
      <c r="U105" s="41">
        <f>IF(U$6="휴일",0,IF(U21="",1,IFERROR(INDEX(코드!$F$2:$F$107,MATCH(U21,코드!$A$2:$A$107,0)),0)))</f>
        <v/>
      </c>
      <c r="V105" s="41">
        <f>IF(V$6="휴일",0,IF(V21="",1,IFERROR(INDEX(코드!$F$2:$F$107,MATCH(V21,코드!$A$2:$A$107,0)),0)))</f>
        <v/>
      </c>
      <c r="W105" s="41">
        <f>IF(W$6="휴일",0,IF(W21="",1,IFERROR(INDEX(코드!$F$2:$F$107,MATCH(W21,코드!$A$2:$A$107,0)),0)))</f>
        <v/>
      </c>
      <c r="X105" s="41">
        <f>IF(X$6="휴일",0,IF(X21="",1,IFERROR(INDEX(코드!$F$2:$F$107,MATCH(X21,코드!$A$2:$A$107,0)),0)))</f>
        <v/>
      </c>
      <c r="Y105" s="41">
        <f>IF(Y$6="휴일",0,IF(Y21="",1,IFERROR(INDEX(코드!$F$2:$F$107,MATCH(Y21,코드!$A$2:$A$107,0)),0)))</f>
        <v/>
      </c>
      <c r="Z105" s="41">
        <f>IF(Z$6="휴일",0,IF(Z21="",1,IFERROR(INDEX(코드!$F$2:$F$107,MATCH(Z21,코드!$A$2:$A$107,0)),0)))</f>
        <v/>
      </c>
      <c r="AA105" s="41">
        <f>IF(AA$6="휴일",0,IF(AA21="",1,IFERROR(INDEX(코드!$F$2:$F$107,MATCH(AA21,코드!$A$2:$A$107,0)),0)))</f>
        <v/>
      </c>
      <c r="AB105" s="41">
        <f>IF(AB$6="휴일",0,IF(AB21="",1,IFERROR(INDEX(코드!$F$2:$F$107,MATCH(AB21,코드!$A$2:$A$107,0)),0)))</f>
        <v/>
      </c>
      <c r="AC105" s="41">
        <f>IF(AC$6="휴일",0,IF(AC21="",1,IFERROR(INDEX(코드!$F$2:$F$107,MATCH(AC21,코드!$A$2:$A$107,0)),0)))</f>
        <v/>
      </c>
      <c r="AD105" s="41">
        <f>IF(AD$6="휴일",0,IF(AD21="",1,IFERROR(INDEX(코드!$F$2:$F$107,MATCH(AD21,코드!$A$2:$A$107,0)),0)))</f>
        <v/>
      </c>
      <c r="AE105" s="41">
        <f>IF(AE$6="휴일",0,IF(AE21="",1,IFERROR(INDEX(코드!$F$2:$F$107,MATCH(AE21,코드!$A$2:$A$107,0)),0)))</f>
        <v/>
      </c>
      <c r="AF105" s="41">
        <f>IF(AF$6="휴일",0,IF(AF21="",1,IFERROR(INDEX(코드!$F$2:$F$107,MATCH(AF21,코드!$A$2:$A$107,0)),0)))</f>
        <v/>
      </c>
      <c r="AG105" s="41">
        <f>IF(AG$6="휴일",0,IF(AG21="",1,IFERROR(INDEX(코드!$F$2:$F$107,MATCH(AG21,코드!$A$2:$A$107,0)),0)))</f>
        <v/>
      </c>
      <c r="AH105" s="41">
        <f>IF(AH$6="휴일",0,IF(AH21="",1,IFERROR(INDEX(코드!$F$2:$F$107,MATCH(AH21,코드!$A$2:$A$107,0)),0)))</f>
        <v/>
      </c>
    </row>
    <row r="106">
      <c r="A106" s="15">
        <f>IF(명부!A16="","",명부!A16)</f>
        <v/>
      </c>
      <c r="B106" s="16">
        <f>IF(명부!C16="","",명부!C16)</f>
        <v/>
      </c>
      <c r="C106" s="17">
        <f>IF(명부!E16="","",명부!E16)</f>
        <v/>
      </c>
      <c r="D106" s="41">
        <f>IF(D$6="휴일",0,IF(D22="",1,IFERROR(INDEX(코드!$F$2:$F$107,MATCH(D22,코드!$A$2:$A$107,0)),0)))</f>
        <v/>
      </c>
      <c r="E106" s="41">
        <f>IF(E$6="휴일",0,IF(E22="",1,IFERROR(INDEX(코드!$F$2:$F$107,MATCH(E22,코드!$A$2:$A$107,0)),0)))</f>
        <v/>
      </c>
      <c r="F106" s="41">
        <f>IF(F$6="휴일",0,IF(F22="",1,IFERROR(INDEX(코드!$F$2:$F$107,MATCH(F22,코드!$A$2:$A$107,0)),0)))</f>
        <v/>
      </c>
      <c r="G106" s="41">
        <f>IF(G$6="휴일",0,IF(G22="",1,IFERROR(INDEX(코드!$F$2:$F$107,MATCH(G22,코드!$A$2:$A$107,0)),0)))</f>
        <v/>
      </c>
      <c r="H106" s="41">
        <f>IF(H$6="휴일",0,IF(H22="",1,IFERROR(INDEX(코드!$F$2:$F$107,MATCH(H22,코드!$A$2:$A$107,0)),0)))</f>
        <v/>
      </c>
      <c r="I106" s="41">
        <f>IF(I$6="휴일",0,IF(I22="",1,IFERROR(INDEX(코드!$F$2:$F$107,MATCH(I22,코드!$A$2:$A$107,0)),0)))</f>
        <v/>
      </c>
      <c r="J106" s="41">
        <f>IF(J$6="휴일",0,IF(J22="",1,IFERROR(INDEX(코드!$F$2:$F$107,MATCH(J22,코드!$A$2:$A$107,0)),0)))</f>
        <v/>
      </c>
      <c r="K106" s="41">
        <f>IF(K$6="휴일",0,IF(K22="",1,IFERROR(INDEX(코드!$F$2:$F$107,MATCH(K22,코드!$A$2:$A$107,0)),0)))</f>
        <v/>
      </c>
      <c r="L106" s="41">
        <f>IF(L$6="휴일",0,IF(L22="",1,IFERROR(INDEX(코드!$F$2:$F$107,MATCH(L22,코드!$A$2:$A$107,0)),0)))</f>
        <v/>
      </c>
      <c r="M106" s="41">
        <f>IF(M$6="휴일",0,IF(M22="",1,IFERROR(INDEX(코드!$F$2:$F$107,MATCH(M22,코드!$A$2:$A$107,0)),0)))</f>
        <v/>
      </c>
      <c r="N106" s="41">
        <f>IF(N$6="휴일",0,IF(N22="",1,IFERROR(INDEX(코드!$F$2:$F$107,MATCH(N22,코드!$A$2:$A$107,0)),0)))</f>
        <v/>
      </c>
      <c r="O106" s="41">
        <f>IF(O$6="휴일",0,IF(O22="",1,IFERROR(INDEX(코드!$F$2:$F$107,MATCH(O22,코드!$A$2:$A$107,0)),0)))</f>
        <v/>
      </c>
      <c r="P106" s="41">
        <f>IF(P$6="휴일",0,IF(P22="",1,IFERROR(INDEX(코드!$F$2:$F$107,MATCH(P22,코드!$A$2:$A$107,0)),0)))</f>
        <v/>
      </c>
      <c r="Q106" s="41">
        <f>IF(Q$6="휴일",0,IF(Q22="",1,IFERROR(INDEX(코드!$F$2:$F$107,MATCH(Q22,코드!$A$2:$A$107,0)),0)))</f>
        <v/>
      </c>
      <c r="R106" s="41">
        <f>IF(R$6="휴일",0,IF(R22="",1,IFERROR(INDEX(코드!$F$2:$F$107,MATCH(R22,코드!$A$2:$A$107,0)),0)))</f>
        <v/>
      </c>
      <c r="S106" s="41">
        <f>IF(S$6="휴일",0,IF(S22="",1,IFERROR(INDEX(코드!$F$2:$F$107,MATCH(S22,코드!$A$2:$A$107,0)),0)))</f>
        <v/>
      </c>
      <c r="T106" s="41">
        <f>IF(T$6="휴일",0,IF(T22="",1,IFERROR(INDEX(코드!$F$2:$F$107,MATCH(T22,코드!$A$2:$A$107,0)),0)))</f>
        <v/>
      </c>
      <c r="U106" s="41">
        <f>IF(U$6="휴일",0,IF(U22="",1,IFERROR(INDEX(코드!$F$2:$F$107,MATCH(U22,코드!$A$2:$A$107,0)),0)))</f>
        <v/>
      </c>
      <c r="V106" s="41">
        <f>IF(V$6="휴일",0,IF(V22="",1,IFERROR(INDEX(코드!$F$2:$F$107,MATCH(V22,코드!$A$2:$A$107,0)),0)))</f>
        <v/>
      </c>
      <c r="W106" s="41">
        <f>IF(W$6="휴일",0,IF(W22="",1,IFERROR(INDEX(코드!$F$2:$F$107,MATCH(W22,코드!$A$2:$A$107,0)),0)))</f>
        <v/>
      </c>
      <c r="X106" s="41">
        <f>IF(X$6="휴일",0,IF(X22="",1,IFERROR(INDEX(코드!$F$2:$F$107,MATCH(X22,코드!$A$2:$A$107,0)),0)))</f>
        <v/>
      </c>
      <c r="Y106" s="41">
        <f>IF(Y$6="휴일",0,IF(Y22="",1,IFERROR(INDEX(코드!$F$2:$F$107,MATCH(Y22,코드!$A$2:$A$107,0)),0)))</f>
        <v/>
      </c>
      <c r="Z106" s="41">
        <f>IF(Z$6="휴일",0,IF(Z22="",1,IFERROR(INDEX(코드!$F$2:$F$107,MATCH(Z22,코드!$A$2:$A$107,0)),0)))</f>
        <v/>
      </c>
      <c r="AA106" s="41">
        <f>IF(AA$6="휴일",0,IF(AA22="",1,IFERROR(INDEX(코드!$F$2:$F$107,MATCH(AA22,코드!$A$2:$A$107,0)),0)))</f>
        <v/>
      </c>
      <c r="AB106" s="41">
        <f>IF(AB$6="휴일",0,IF(AB22="",1,IFERROR(INDEX(코드!$F$2:$F$107,MATCH(AB22,코드!$A$2:$A$107,0)),0)))</f>
        <v/>
      </c>
      <c r="AC106" s="41">
        <f>IF(AC$6="휴일",0,IF(AC22="",1,IFERROR(INDEX(코드!$F$2:$F$107,MATCH(AC22,코드!$A$2:$A$107,0)),0)))</f>
        <v/>
      </c>
      <c r="AD106" s="41">
        <f>IF(AD$6="휴일",0,IF(AD22="",1,IFERROR(INDEX(코드!$F$2:$F$107,MATCH(AD22,코드!$A$2:$A$107,0)),0)))</f>
        <v/>
      </c>
      <c r="AE106" s="41">
        <f>IF(AE$6="휴일",0,IF(AE22="",1,IFERROR(INDEX(코드!$F$2:$F$107,MATCH(AE22,코드!$A$2:$A$107,0)),0)))</f>
        <v/>
      </c>
      <c r="AF106" s="41">
        <f>IF(AF$6="휴일",0,IF(AF22="",1,IFERROR(INDEX(코드!$F$2:$F$107,MATCH(AF22,코드!$A$2:$A$107,0)),0)))</f>
        <v/>
      </c>
      <c r="AG106" s="41">
        <f>IF(AG$6="휴일",0,IF(AG22="",1,IFERROR(INDEX(코드!$F$2:$F$107,MATCH(AG22,코드!$A$2:$A$107,0)),0)))</f>
        <v/>
      </c>
      <c r="AH106" s="41">
        <f>IF(AH$6="휴일",0,IF(AH22="",1,IFERROR(INDEX(코드!$F$2:$F$107,MATCH(AH22,코드!$A$2:$A$107,0)),0)))</f>
        <v/>
      </c>
    </row>
    <row r="107">
      <c r="A107" s="15">
        <f>IF(명부!A17="","",명부!A17)</f>
        <v/>
      </c>
      <c r="B107" s="16">
        <f>IF(명부!C17="","",명부!C17)</f>
        <v/>
      </c>
      <c r="C107" s="17">
        <f>IF(명부!E17="","",명부!E17)</f>
        <v/>
      </c>
      <c r="D107" s="41">
        <f>IF(D$6="휴일",0,IF(D23="",1,IFERROR(INDEX(코드!$F$2:$F$107,MATCH(D23,코드!$A$2:$A$107,0)),0)))</f>
        <v/>
      </c>
      <c r="E107" s="41">
        <f>IF(E$6="휴일",0,IF(E23="",1,IFERROR(INDEX(코드!$F$2:$F$107,MATCH(E23,코드!$A$2:$A$107,0)),0)))</f>
        <v/>
      </c>
      <c r="F107" s="41">
        <f>IF(F$6="휴일",0,IF(F23="",1,IFERROR(INDEX(코드!$F$2:$F$107,MATCH(F23,코드!$A$2:$A$107,0)),0)))</f>
        <v/>
      </c>
      <c r="G107" s="41">
        <f>IF(G$6="휴일",0,IF(G23="",1,IFERROR(INDEX(코드!$F$2:$F$107,MATCH(G23,코드!$A$2:$A$107,0)),0)))</f>
        <v/>
      </c>
      <c r="H107" s="41">
        <f>IF(H$6="휴일",0,IF(H23="",1,IFERROR(INDEX(코드!$F$2:$F$107,MATCH(H23,코드!$A$2:$A$107,0)),0)))</f>
        <v/>
      </c>
      <c r="I107" s="41">
        <f>IF(I$6="휴일",0,IF(I23="",1,IFERROR(INDEX(코드!$F$2:$F$107,MATCH(I23,코드!$A$2:$A$107,0)),0)))</f>
        <v/>
      </c>
      <c r="J107" s="41">
        <f>IF(J$6="휴일",0,IF(J23="",1,IFERROR(INDEX(코드!$F$2:$F$107,MATCH(J23,코드!$A$2:$A$107,0)),0)))</f>
        <v/>
      </c>
      <c r="K107" s="41">
        <f>IF(K$6="휴일",0,IF(K23="",1,IFERROR(INDEX(코드!$F$2:$F$107,MATCH(K23,코드!$A$2:$A$107,0)),0)))</f>
        <v/>
      </c>
      <c r="L107" s="41">
        <f>IF(L$6="휴일",0,IF(L23="",1,IFERROR(INDEX(코드!$F$2:$F$107,MATCH(L23,코드!$A$2:$A$107,0)),0)))</f>
        <v/>
      </c>
      <c r="M107" s="41">
        <f>IF(M$6="휴일",0,IF(M23="",1,IFERROR(INDEX(코드!$F$2:$F$107,MATCH(M23,코드!$A$2:$A$107,0)),0)))</f>
        <v/>
      </c>
      <c r="N107" s="41">
        <f>IF(N$6="휴일",0,IF(N23="",1,IFERROR(INDEX(코드!$F$2:$F$107,MATCH(N23,코드!$A$2:$A$107,0)),0)))</f>
        <v/>
      </c>
      <c r="O107" s="41">
        <f>IF(O$6="휴일",0,IF(O23="",1,IFERROR(INDEX(코드!$F$2:$F$107,MATCH(O23,코드!$A$2:$A$107,0)),0)))</f>
        <v/>
      </c>
      <c r="P107" s="41">
        <f>IF(P$6="휴일",0,IF(P23="",1,IFERROR(INDEX(코드!$F$2:$F$107,MATCH(P23,코드!$A$2:$A$107,0)),0)))</f>
        <v/>
      </c>
      <c r="Q107" s="41">
        <f>IF(Q$6="휴일",0,IF(Q23="",1,IFERROR(INDEX(코드!$F$2:$F$107,MATCH(Q23,코드!$A$2:$A$107,0)),0)))</f>
        <v/>
      </c>
      <c r="R107" s="41">
        <f>IF(R$6="휴일",0,IF(R23="",1,IFERROR(INDEX(코드!$F$2:$F$107,MATCH(R23,코드!$A$2:$A$107,0)),0)))</f>
        <v/>
      </c>
      <c r="S107" s="41">
        <f>IF(S$6="휴일",0,IF(S23="",1,IFERROR(INDEX(코드!$F$2:$F$107,MATCH(S23,코드!$A$2:$A$107,0)),0)))</f>
        <v/>
      </c>
      <c r="T107" s="41">
        <f>IF(T$6="휴일",0,IF(T23="",1,IFERROR(INDEX(코드!$F$2:$F$107,MATCH(T23,코드!$A$2:$A$107,0)),0)))</f>
        <v/>
      </c>
      <c r="U107" s="41">
        <f>IF(U$6="휴일",0,IF(U23="",1,IFERROR(INDEX(코드!$F$2:$F$107,MATCH(U23,코드!$A$2:$A$107,0)),0)))</f>
        <v/>
      </c>
      <c r="V107" s="41">
        <f>IF(V$6="휴일",0,IF(V23="",1,IFERROR(INDEX(코드!$F$2:$F$107,MATCH(V23,코드!$A$2:$A$107,0)),0)))</f>
        <v/>
      </c>
      <c r="W107" s="41">
        <f>IF(W$6="휴일",0,IF(W23="",1,IFERROR(INDEX(코드!$F$2:$F$107,MATCH(W23,코드!$A$2:$A$107,0)),0)))</f>
        <v/>
      </c>
      <c r="X107" s="41">
        <f>IF(X$6="휴일",0,IF(X23="",1,IFERROR(INDEX(코드!$F$2:$F$107,MATCH(X23,코드!$A$2:$A$107,0)),0)))</f>
        <v/>
      </c>
      <c r="Y107" s="41">
        <f>IF(Y$6="휴일",0,IF(Y23="",1,IFERROR(INDEX(코드!$F$2:$F$107,MATCH(Y23,코드!$A$2:$A$107,0)),0)))</f>
        <v/>
      </c>
      <c r="Z107" s="41">
        <f>IF(Z$6="휴일",0,IF(Z23="",1,IFERROR(INDEX(코드!$F$2:$F$107,MATCH(Z23,코드!$A$2:$A$107,0)),0)))</f>
        <v/>
      </c>
      <c r="AA107" s="41">
        <f>IF(AA$6="휴일",0,IF(AA23="",1,IFERROR(INDEX(코드!$F$2:$F$107,MATCH(AA23,코드!$A$2:$A$107,0)),0)))</f>
        <v/>
      </c>
      <c r="AB107" s="41">
        <f>IF(AB$6="휴일",0,IF(AB23="",1,IFERROR(INDEX(코드!$F$2:$F$107,MATCH(AB23,코드!$A$2:$A$107,0)),0)))</f>
        <v/>
      </c>
      <c r="AC107" s="41">
        <f>IF(AC$6="휴일",0,IF(AC23="",1,IFERROR(INDEX(코드!$F$2:$F$107,MATCH(AC23,코드!$A$2:$A$107,0)),0)))</f>
        <v/>
      </c>
      <c r="AD107" s="41">
        <f>IF(AD$6="휴일",0,IF(AD23="",1,IFERROR(INDEX(코드!$F$2:$F$107,MATCH(AD23,코드!$A$2:$A$107,0)),0)))</f>
        <v/>
      </c>
      <c r="AE107" s="41">
        <f>IF(AE$6="휴일",0,IF(AE23="",1,IFERROR(INDEX(코드!$F$2:$F$107,MATCH(AE23,코드!$A$2:$A$107,0)),0)))</f>
        <v/>
      </c>
      <c r="AF107" s="41">
        <f>IF(AF$6="휴일",0,IF(AF23="",1,IFERROR(INDEX(코드!$F$2:$F$107,MATCH(AF23,코드!$A$2:$A$107,0)),0)))</f>
        <v/>
      </c>
      <c r="AG107" s="41">
        <f>IF(AG$6="휴일",0,IF(AG23="",1,IFERROR(INDEX(코드!$F$2:$F$107,MATCH(AG23,코드!$A$2:$A$107,0)),0)))</f>
        <v/>
      </c>
      <c r="AH107" s="41">
        <f>IF(AH$6="휴일",0,IF(AH23="",1,IFERROR(INDEX(코드!$F$2:$F$107,MATCH(AH23,코드!$A$2:$A$107,0)),0)))</f>
        <v/>
      </c>
    </row>
    <row r="108">
      <c r="A108" s="15">
        <f>IF(명부!A18="","",명부!A18)</f>
        <v/>
      </c>
      <c r="B108" s="16">
        <f>IF(명부!C18="","",명부!C18)</f>
        <v/>
      </c>
      <c r="C108" s="17">
        <f>IF(명부!E18="","",명부!E18)</f>
        <v/>
      </c>
      <c r="D108" s="41">
        <f>IF(D$6="휴일",0,IF(D24="",1,IFERROR(INDEX(코드!$F$2:$F$107,MATCH(D24,코드!$A$2:$A$107,0)),0)))</f>
        <v/>
      </c>
      <c r="E108" s="41">
        <f>IF(E$6="휴일",0,IF(E24="",1,IFERROR(INDEX(코드!$F$2:$F$107,MATCH(E24,코드!$A$2:$A$107,0)),0)))</f>
        <v/>
      </c>
      <c r="F108" s="41">
        <f>IF(F$6="휴일",0,IF(F24="",1,IFERROR(INDEX(코드!$F$2:$F$107,MATCH(F24,코드!$A$2:$A$107,0)),0)))</f>
        <v/>
      </c>
      <c r="G108" s="41">
        <f>IF(G$6="휴일",0,IF(G24="",1,IFERROR(INDEX(코드!$F$2:$F$107,MATCH(G24,코드!$A$2:$A$107,0)),0)))</f>
        <v/>
      </c>
      <c r="H108" s="41">
        <f>IF(H$6="휴일",0,IF(H24="",1,IFERROR(INDEX(코드!$F$2:$F$107,MATCH(H24,코드!$A$2:$A$107,0)),0)))</f>
        <v/>
      </c>
      <c r="I108" s="41">
        <f>IF(I$6="휴일",0,IF(I24="",1,IFERROR(INDEX(코드!$F$2:$F$107,MATCH(I24,코드!$A$2:$A$107,0)),0)))</f>
        <v/>
      </c>
      <c r="J108" s="41">
        <f>IF(J$6="휴일",0,IF(J24="",1,IFERROR(INDEX(코드!$F$2:$F$107,MATCH(J24,코드!$A$2:$A$107,0)),0)))</f>
        <v/>
      </c>
      <c r="K108" s="41">
        <f>IF(K$6="휴일",0,IF(K24="",1,IFERROR(INDEX(코드!$F$2:$F$107,MATCH(K24,코드!$A$2:$A$107,0)),0)))</f>
        <v/>
      </c>
      <c r="L108" s="41">
        <f>IF(L$6="휴일",0,IF(L24="",1,IFERROR(INDEX(코드!$F$2:$F$107,MATCH(L24,코드!$A$2:$A$107,0)),0)))</f>
        <v/>
      </c>
      <c r="M108" s="41">
        <f>IF(M$6="휴일",0,IF(M24="",1,IFERROR(INDEX(코드!$F$2:$F$107,MATCH(M24,코드!$A$2:$A$107,0)),0)))</f>
        <v/>
      </c>
      <c r="N108" s="41">
        <f>IF(N$6="휴일",0,IF(N24="",1,IFERROR(INDEX(코드!$F$2:$F$107,MATCH(N24,코드!$A$2:$A$107,0)),0)))</f>
        <v/>
      </c>
      <c r="O108" s="41">
        <f>IF(O$6="휴일",0,IF(O24="",1,IFERROR(INDEX(코드!$F$2:$F$107,MATCH(O24,코드!$A$2:$A$107,0)),0)))</f>
        <v/>
      </c>
      <c r="P108" s="41">
        <f>IF(P$6="휴일",0,IF(P24="",1,IFERROR(INDEX(코드!$F$2:$F$107,MATCH(P24,코드!$A$2:$A$107,0)),0)))</f>
        <v/>
      </c>
      <c r="Q108" s="41">
        <f>IF(Q$6="휴일",0,IF(Q24="",1,IFERROR(INDEX(코드!$F$2:$F$107,MATCH(Q24,코드!$A$2:$A$107,0)),0)))</f>
        <v/>
      </c>
      <c r="R108" s="41">
        <f>IF(R$6="휴일",0,IF(R24="",1,IFERROR(INDEX(코드!$F$2:$F$107,MATCH(R24,코드!$A$2:$A$107,0)),0)))</f>
        <v/>
      </c>
      <c r="S108" s="41">
        <f>IF(S$6="휴일",0,IF(S24="",1,IFERROR(INDEX(코드!$F$2:$F$107,MATCH(S24,코드!$A$2:$A$107,0)),0)))</f>
        <v/>
      </c>
      <c r="T108" s="41">
        <f>IF(T$6="휴일",0,IF(T24="",1,IFERROR(INDEX(코드!$F$2:$F$107,MATCH(T24,코드!$A$2:$A$107,0)),0)))</f>
        <v/>
      </c>
      <c r="U108" s="41">
        <f>IF(U$6="휴일",0,IF(U24="",1,IFERROR(INDEX(코드!$F$2:$F$107,MATCH(U24,코드!$A$2:$A$107,0)),0)))</f>
        <v/>
      </c>
      <c r="V108" s="41">
        <f>IF(V$6="휴일",0,IF(V24="",1,IFERROR(INDEX(코드!$F$2:$F$107,MATCH(V24,코드!$A$2:$A$107,0)),0)))</f>
        <v/>
      </c>
      <c r="W108" s="41">
        <f>IF(W$6="휴일",0,IF(W24="",1,IFERROR(INDEX(코드!$F$2:$F$107,MATCH(W24,코드!$A$2:$A$107,0)),0)))</f>
        <v/>
      </c>
      <c r="X108" s="41">
        <f>IF(X$6="휴일",0,IF(X24="",1,IFERROR(INDEX(코드!$F$2:$F$107,MATCH(X24,코드!$A$2:$A$107,0)),0)))</f>
        <v/>
      </c>
      <c r="Y108" s="41">
        <f>IF(Y$6="휴일",0,IF(Y24="",1,IFERROR(INDEX(코드!$F$2:$F$107,MATCH(Y24,코드!$A$2:$A$107,0)),0)))</f>
        <v/>
      </c>
      <c r="Z108" s="41">
        <f>IF(Z$6="휴일",0,IF(Z24="",1,IFERROR(INDEX(코드!$F$2:$F$107,MATCH(Z24,코드!$A$2:$A$107,0)),0)))</f>
        <v/>
      </c>
      <c r="AA108" s="41">
        <f>IF(AA$6="휴일",0,IF(AA24="",1,IFERROR(INDEX(코드!$F$2:$F$107,MATCH(AA24,코드!$A$2:$A$107,0)),0)))</f>
        <v/>
      </c>
      <c r="AB108" s="41">
        <f>IF(AB$6="휴일",0,IF(AB24="",1,IFERROR(INDEX(코드!$F$2:$F$107,MATCH(AB24,코드!$A$2:$A$107,0)),0)))</f>
        <v/>
      </c>
      <c r="AC108" s="41">
        <f>IF(AC$6="휴일",0,IF(AC24="",1,IFERROR(INDEX(코드!$F$2:$F$107,MATCH(AC24,코드!$A$2:$A$107,0)),0)))</f>
        <v/>
      </c>
      <c r="AD108" s="41">
        <f>IF(AD$6="휴일",0,IF(AD24="",1,IFERROR(INDEX(코드!$F$2:$F$107,MATCH(AD24,코드!$A$2:$A$107,0)),0)))</f>
        <v/>
      </c>
      <c r="AE108" s="41">
        <f>IF(AE$6="휴일",0,IF(AE24="",1,IFERROR(INDEX(코드!$F$2:$F$107,MATCH(AE24,코드!$A$2:$A$107,0)),0)))</f>
        <v/>
      </c>
      <c r="AF108" s="41">
        <f>IF(AF$6="휴일",0,IF(AF24="",1,IFERROR(INDEX(코드!$F$2:$F$107,MATCH(AF24,코드!$A$2:$A$107,0)),0)))</f>
        <v/>
      </c>
      <c r="AG108" s="41">
        <f>IF(AG$6="휴일",0,IF(AG24="",1,IFERROR(INDEX(코드!$F$2:$F$107,MATCH(AG24,코드!$A$2:$A$107,0)),0)))</f>
        <v/>
      </c>
      <c r="AH108" s="41">
        <f>IF(AH$6="휴일",0,IF(AH24="",1,IFERROR(INDEX(코드!$F$2:$F$107,MATCH(AH24,코드!$A$2:$A$107,0)),0)))</f>
        <v/>
      </c>
    </row>
    <row r="109">
      <c r="A109" s="15">
        <f>IF(명부!A19="","",명부!A19)</f>
        <v/>
      </c>
      <c r="B109" s="16">
        <f>IF(명부!C19="","",명부!C19)</f>
        <v/>
      </c>
      <c r="C109" s="17">
        <f>IF(명부!E19="","",명부!E19)</f>
        <v/>
      </c>
      <c r="D109" s="41">
        <f>IF(D$6="휴일",0,IF(D25="",1,IFERROR(INDEX(코드!$F$2:$F$107,MATCH(D25,코드!$A$2:$A$107,0)),0)))</f>
        <v/>
      </c>
      <c r="E109" s="41">
        <f>IF(E$6="휴일",0,IF(E25="",1,IFERROR(INDEX(코드!$F$2:$F$107,MATCH(E25,코드!$A$2:$A$107,0)),0)))</f>
        <v/>
      </c>
      <c r="F109" s="41">
        <f>IF(F$6="휴일",0,IF(F25="",1,IFERROR(INDEX(코드!$F$2:$F$107,MATCH(F25,코드!$A$2:$A$107,0)),0)))</f>
        <v/>
      </c>
      <c r="G109" s="41">
        <f>IF(G$6="휴일",0,IF(G25="",1,IFERROR(INDEX(코드!$F$2:$F$107,MATCH(G25,코드!$A$2:$A$107,0)),0)))</f>
        <v/>
      </c>
      <c r="H109" s="41">
        <f>IF(H$6="휴일",0,IF(H25="",1,IFERROR(INDEX(코드!$F$2:$F$107,MATCH(H25,코드!$A$2:$A$107,0)),0)))</f>
        <v/>
      </c>
      <c r="I109" s="41">
        <f>IF(I$6="휴일",0,IF(I25="",1,IFERROR(INDEX(코드!$F$2:$F$107,MATCH(I25,코드!$A$2:$A$107,0)),0)))</f>
        <v/>
      </c>
      <c r="J109" s="41">
        <f>IF(J$6="휴일",0,IF(J25="",1,IFERROR(INDEX(코드!$F$2:$F$107,MATCH(J25,코드!$A$2:$A$107,0)),0)))</f>
        <v/>
      </c>
      <c r="K109" s="41">
        <f>IF(K$6="휴일",0,IF(K25="",1,IFERROR(INDEX(코드!$F$2:$F$107,MATCH(K25,코드!$A$2:$A$107,0)),0)))</f>
        <v/>
      </c>
      <c r="L109" s="41">
        <f>IF(L$6="휴일",0,IF(L25="",1,IFERROR(INDEX(코드!$F$2:$F$107,MATCH(L25,코드!$A$2:$A$107,0)),0)))</f>
        <v/>
      </c>
      <c r="M109" s="41">
        <f>IF(M$6="휴일",0,IF(M25="",1,IFERROR(INDEX(코드!$F$2:$F$107,MATCH(M25,코드!$A$2:$A$107,0)),0)))</f>
        <v/>
      </c>
      <c r="N109" s="41">
        <f>IF(N$6="휴일",0,IF(N25="",1,IFERROR(INDEX(코드!$F$2:$F$107,MATCH(N25,코드!$A$2:$A$107,0)),0)))</f>
        <v/>
      </c>
      <c r="O109" s="41">
        <f>IF(O$6="휴일",0,IF(O25="",1,IFERROR(INDEX(코드!$F$2:$F$107,MATCH(O25,코드!$A$2:$A$107,0)),0)))</f>
        <v/>
      </c>
      <c r="P109" s="41">
        <f>IF(P$6="휴일",0,IF(P25="",1,IFERROR(INDEX(코드!$F$2:$F$107,MATCH(P25,코드!$A$2:$A$107,0)),0)))</f>
        <v/>
      </c>
      <c r="Q109" s="41">
        <f>IF(Q$6="휴일",0,IF(Q25="",1,IFERROR(INDEX(코드!$F$2:$F$107,MATCH(Q25,코드!$A$2:$A$107,0)),0)))</f>
        <v/>
      </c>
      <c r="R109" s="41">
        <f>IF(R$6="휴일",0,IF(R25="",1,IFERROR(INDEX(코드!$F$2:$F$107,MATCH(R25,코드!$A$2:$A$107,0)),0)))</f>
        <v/>
      </c>
      <c r="S109" s="41">
        <f>IF(S$6="휴일",0,IF(S25="",1,IFERROR(INDEX(코드!$F$2:$F$107,MATCH(S25,코드!$A$2:$A$107,0)),0)))</f>
        <v/>
      </c>
      <c r="T109" s="41">
        <f>IF(T$6="휴일",0,IF(T25="",1,IFERROR(INDEX(코드!$F$2:$F$107,MATCH(T25,코드!$A$2:$A$107,0)),0)))</f>
        <v/>
      </c>
      <c r="U109" s="41">
        <f>IF(U$6="휴일",0,IF(U25="",1,IFERROR(INDEX(코드!$F$2:$F$107,MATCH(U25,코드!$A$2:$A$107,0)),0)))</f>
        <v/>
      </c>
      <c r="V109" s="41">
        <f>IF(V$6="휴일",0,IF(V25="",1,IFERROR(INDEX(코드!$F$2:$F$107,MATCH(V25,코드!$A$2:$A$107,0)),0)))</f>
        <v/>
      </c>
      <c r="W109" s="41">
        <f>IF(W$6="휴일",0,IF(W25="",1,IFERROR(INDEX(코드!$F$2:$F$107,MATCH(W25,코드!$A$2:$A$107,0)),0)))</f>
        <v/>
      </c>
      <c r="X109" s="41">
        <f>IF(X$6="휴일",0,IF(X25="",1,IFERROR(INDEX(코드!$F$2:$F$107,MATCH(X25,코드!$A$2:$A$107,0)),0)))</f>
        <v/>
      </c>
      <c r="Y109" s="41">
        <f>IF(Y$6="휴일",0,IF(Y25="",1,IFERROR(INDEX(코드!$F$2:$F$107,MATCH(Y25,코드!$A$2:$A$107,0)),0)))</f>
        <v/>
      </c>
      <c r="Z109" s="41">
        <f>IF(Z$6="휴일",0,IF(Z25="",1,IFERROR(INDEX(코드!$F$2:$F$107,MATCH(Z25,코드!$A$2:$A$107,0)),0)))</f>
        <v/>
      </c>
      <c r="AA109" s="41">
        <f>IF(AA$6="휴일",0,IF(AA25="",1,IFERROR(INDEX(코드!$F$2:$F$107,MATCH(AA25,코드!$A$2:$A$107,0)),0)))</f>
        <v/>
      </c>
      <c r="AB109" s="41">
        <f>IF(AB$6="휴일",0,IF(AB25="",1,IFERROR(INDEX(코드!$F$2:$F$107,MATCH(AB25,코드!$A$2:$A$107,0)),0)))</f>
        <v/>
      </c>
      <c r="AC109" s="41">
        <f>IF(AC$6="휴일",0,IF(AC25="",1,IFERROR(INDEX(코드!$F$2:$F$107,MATCH(AC25,코드!$A$2:$A$107,0)),0)))</f>
        <v/>
      </c>
      <c r="AD109" s="41">
        <f>IF(AD$6="휴일",0,IF(AD25="",1,IFERROR(INDEX(코드!$F$2:$F$107,MATCH(AD25,코드!$A$2:$A$107,0)),0)))</f>
        <v/>
      </c>
      <c r="AE109" s="41">
        <f>IF(AE$6="휴일",0,IF(AE25="",1,IFERROR(INDEX(코드!$F$2:$F$107,MATCH(AE25,코드!$A$2:$A$107,0)),0)))</f>
        <v/>
      </c>
      <c r="AF109" s="41">
        <f>IF(AF$6="휴일",0,IF(AF25="",1,IFERROR(INDEX(코드!$F$2:$F$107,MATCH(AF25,코드!$A$2:$A$107,0)),0)))</f>
        <v/>
      </c>
      <c r="AG109" s="41">
        <f>IF(AG$6="휴일",0,IF(AG25="",1,IFERROR(INDEX(코드!$F$2:$F$107,MATCH(AG25,코드!$A$2:$A$107,0)),0)))</f>
        <v/>
      </c>
      <c r="AH109" s="41">
        <f>IF(AH$6="휴일",0,IF(AH25="",1,IFERROR(INDEX(코드!$F$2:$F$107,MATCH(AH25,코드!$A$2:$A$107,0)),0)))</f>
        <v/>
      </c>
    </row>
    <row r="110">
      <c r="A110" s="15">
        <f>IF(명부!A20="","",명부!A20)</f>
        <v/>
      </c>
      <c r="B110" s="16">
        <f>IF(명부!C20="","",명부!C20)</f>
        <v/>
      </c>
      <c r="C110" s="17">
        <f>IF(명부!E20="","",명부!E20)</f>
        <v/>
      </c>
      <c r="D110" s="41">
        <f>IF(D$6="휴일",0,IF(D26="",1,IFERROR(INDEX(코드!$F$2:$F$107,MATCH(D26,코드!$A$2:$A$107,0)),0)))</f>
        <v/>
      </c>
      <c r="E110" s="41">
        <f>IF(E$6="휴일",0,IF(E26="",1,IFERROR(INDEX(코드!$F$2:$F$107,MATCH(E26,코드!$A$2:$A$107,0)),0)))</f>
        <v/>
      </c>
      <c r="F110" s="41">
        <f>IF(F$6="휴일",0,IF(F26="",1,IFERROR(INDEX(코드!$F$2:$F$107,MATCH(F26,코드!$A$2:$A$107,0)),0)))</f>
        <v/>
      </c>
      <c r="G110" s="41">
        <f>IF(G$6="휴일",0,IF(G26="",1,IFERROR(INDEX(코드!$F$2:$F$107,MATCH(G26,코드!$A$2:$A$107,0)),0)))</f>
        <v/>
      </c>
      <c r="H110" s="41">
        <f>IF(H$6="휴일",0,IF(H26="",1,IFERROR(INDEX(코드!$F$2:$F$107,MATCH(H26,코드!$A$2:$A$107,0)),0)))</f>
        <v/>
      </c>
      <c r="I110" s="41">
        <f>IF(I$6="휴일",0,IF(I26="",1,IFERROR(INDEX(코드!$F$2:$F$107,MATCH(I26,코드!$A$2:$A$107,0)),0)))</f>
        <v/>
      </c>
      <c r="J110" s="41">
        <f>IF(J$6="휴일",0,IF(J26="",1,IFERROR(INDEX(코드!$F$2:$F$107,MATCH(J26,코드!$A$2:$A$107,0)),0)))</f>
        <v/>
      </c>
      <c r="K110" s="41">
        <f>IF(K$6="휴일",0,IF(K26="",1,IFERROR(INDEX(코드!$F$2:$F$107,MATCH(K26,코드!$A$2:$A$107,0)),0)))</f>
        <v/>
      </c>
      <c r="L110" s="41">
        <f>IF(L$6="휴일",0,IF(L26="",1,IFERROR(INDEX(코드!$F$2:$F$107,MATCH(L26,코드!$A$2:$A$107,0)),0)))</f>
        <v/>
      </c>
      <c r="M110" s="41">
        <f>IF(M$6="휴일",0,IF(M26="",1,IFERROR(INDEX(코드!$F$2:$F$107,MATCH(M26,코드!$A$2:$A$107,0)),0)))</f>
        <v/>
      </c>
      <c r="N110" s="41">
        <f>IF(N$6="휴일",0,IF(N26="",1,IFERROR(INDEX(코드!$F$2:$F$107,MATCH(N26,코드!$A$2:$A$107,0)),0)))</f>
        <v/>
      </c>
      <c r="O110" s="41">
        <f>IF(O$6="휴일",0,IF(O26="",1,IFERROR(INDEX(코드!$F$2:$F$107,MATCH(O26,코드!$A$2:$A$107,0)),0)))</f>
        <v/>
      </c>
      <c r="P110" s="41">
        <f>IF(P$6="휴일",0,IF(P26="",1,IFERROR(INDEX(코드!$F$2:$F$107,MATCH(P26,코드!$A$2:$A$107,0)),0)))</f>
        <v/>
      </c>
      <c r="Q110" s="41">
        <f>IF(Q$6="휴일",0,IF(Q26="",1,IFERROR(INDEX(코드!$F$2:$F$107,MATCH(Q26,코드!$A$2:$A$107,0)),0)))</f>
        <v/>
      </c>
      <c r="R110" s="41">
        <f>IF(R$6="휴일",0,IF(R26="",1,IFERROR(INDEX(코드!$F$2:$F$107,MATCH(R26,코드!$A$2:$A$107,0)),0)))</f>
        <v/>
      </c>
      <c r="S110" s="41">
        <f>IF(S$6="휴일",0,IF(S26="",1,IFERROR(INDEX(코드!$F$2:$F$107,MATCH(S26,코드!$A$2:$A$107,0)),0)))</f>
        <v/>
      </c>
      <c r="T110" s="41">
        <f>IF(T$6="휴일",0,IF(T26="",1,IFERROR(INDEX(코드!$F$2:$F$107,MATCH(T26,코드!$A$2:$A$107,0)),0)))</f>
        <v/>
      </c>
      <c r="U110" s="41">
        <f>IF(U$6="휴일",0,IF(U26="",1,IFERROR(INDEX(코드!$F$2:$F$107,MATCH(U26,코드!$A$2:$A$107,0)),0)))</f>
        <v/>
      </c>
      <c r="V110" s="41">
        <f>IF(V$6="휴일",0,IF(V26="",1,IFERROR(INDEX(코드!$F$2:$F$107,MATCH(V26,코드!$A$2:$A$107,0)),0)))</f>
        <v/>
      </c>
      <c r="W110" s="41">
        <f>IF(W$6="휴일",0,IF(W26="",1,IFERROR(INDEX(코드!$F$2:$F$107,MATCH(W26,코드!$A$2:$A$107,0)),0)))</f>
        <v/>
      </c>
      <c r="X110" s="41">
        <f>IF(X$6="휴일",0,IF(X26="",1,IFERROR(INDEX(코드!$F$2:$F$107,MATCH(X26,코드!$A$2:$A$107,0)),0)))</f>
        <v/>
      </c>
      <c r="Y110" s="41">
        <f>IF(Y$6="휴일",0,IF(Y26="",1,IFERROR(INDEX(코드!$F$2:$F$107,MATCH(Y26,코드!$A$2:$A$107,0)),0)))</f>
        <v/>
      </c>
      <c r="Z110" s="41">
        <f>IF(Z$6="휴일",0,IF(Z26="",1,IFERROR(INDEX(코드!$F$2:$F$107,MATCH(Z26,코드!$A$2:$A$107,0)),0)))</f>
        <v/>
      </c>
      <c r="AA110" s="41">
        <f>IF(AA$6="휴일",0,IF(AA26="",1,IFERROR(INDEX(코드!$F$2:$F$107,MATCH(AA26,코드!$A$2:$A$107,0)),0)))</f>
        <v/>
      </c>
      <c r="AB110" s="41">
        <f>IF(AB$6="휴일",0,IF(AB26="",1,IFERROR(INDEX(코드!$F$2:$F$107,MATCH(AB26,코드!$A$2:$A$107,0)),0)))</f>
        <v/>
      </c>
      <c r="AC110" s="41">
        <f>IF(AC$6="휴일",0,IF(AC26="",1,IFERROR(INDEX(코드!$F$2:$F$107,MATCH(AC26,코드!$A$2:$A$107,0)),0)))</f>
        <v/>
      </c>
      <c r="AD110" s="41">
        <f>IF(AD$6="휴일",0,IF(AD26="",1,IFERROR(INDEX(코드!$F$2:$F$107,MATCH(AD26,코드!$A$2:$A$107,0)),0)))</f>
        <v/>
      </c>
      <c r="AE110" s="41">
        <f>IF(AE$6="휴일",0,IF(AE26="",1,IFERROR(INDEX(코드!$F$2:$F$107,MATCH(AE26,코드!$A$2:$A$107,0)),0)))</f>
        <v/>
      </c>
      <c r="AF110" s="41">
        <f>IF(AF$6="휴일",0,IF(AF26="",1,IFERROR(INDEX(코드!$F$2:$F$107,MATCH(AF26,코드!$A$2:$A$107,0)),0)))</f>
        <v/>
      </c>
      <c r="AG110" s="41">
        <f>IF(AG$6="휴일",0,IF(AG26="",1,IFERROR(INDEX(코드!$F$2:$F$107,MATCH(AG26,코드!$A$2:$A$107,0)),0)))</f>
        <v/>
      </c>
      <c r="AH110" s="41">
        <f>IF(AH$6="휴일",0,IF(AH26="",1,IFERROR(INDEX(코드!$F$2:$F$107,MATCH(AH26,코드!$A$2:$A$107,0)),0)))</f>
        <v/>
      </c>
    </row>
    <row r="111">
      <c r="A111" s="15">
        <f>IF(명부!A21="","",명부!A21)</f>
        <v/>
      </c>
      <c r="B111" s="16">
        <f>IF(명부!C21="","",명부!C21)</f>
        <v/>
      </c>
      <c r="C111" s="17">
        <f>IF(명부!E21="","",명부!E21)</f>
        <v/>
      </c>
      <c r="D111" s="41">
        <f>IF(D$6="휴일",0,IF(D27="",1,IFERROR(INDEX(코드!$F$2:$F$107,MATCH(D27,코드!$A$2:$A$107,0)),0)))</f>
        <v/>
      </c>
      <c r="E111" s="41">
        <f>IF(E$6="휴일",0,IF(E27="",1,IFERROR(INDEX(코드!$F$2:$F$107,MATCH(E27,코드!$A$2:$A$107,0)),0)))</f>
        <v/>
      </c>
      <c r="F111" s="41">
        <f>IF(F$6="휴일",0,IF(F27="",1,IFERROR(INDEX(코드!$F$2:$F$107,MATCH(F27,코드!$A$2:$A$107,0)),0)))</f>
        <v/>
      </c>
      <c r="G111" s="41">
        <f>IF(G$6="휴일",0,IF(G27="",1,IFERROR(INDEX(코드!$F$2:$F$107,MATCH(G27,코드!$A$2:$A$107,0)),0)))</f>
        <v/>
      </c>
      <c r="H111" s="41">
        <f>IF(H$6="휴일",0,IF(H27="",1,IFERROR(INDEX(코드!$F$2:$F$107,MATCH(H27,코드!$A$2:$A$107,0)),0)))</f>
        <v/>
      </c>
      <c r="I111" s="41">
        <f>IF(I$6="휴일",0,IF(I27="",1,IFERROR(INDEX(코드!$F$2:$F$107,MATCH(I27,코드!$A$2:$A$107,0)),0)))</f>
        <v/>
      </c>
      <c r="J111" s="41">
        <f>IF(J$6="휴일",0,IF(J27="",1,IFERROR(INDEX(코드!$F$2:$F$107,MATCH(J27,코드!$A$2:$A$107,0)),0)))</f>
        <v/>
      </c>
      <c r="K111" s="41">
        <f>IF(K$6="휴일",0,IF(K27="",1,IFERROR(INDEX(코드!$F$2:$F$107,MATCH(K27,코드!$A$2:$A$107,0)),0)))</f>
        <v/>
      </c>
      <c r="L111" s="41">
        <f>IF(L$6="휴일",0,IF(L27="",1,IFERROR(INDEX(코드!$F$2:$F$107,MATCH(L27,코드!$A$2:$A$107,0)),0)))</f>
        <v/>
      </c>
      <c r="M111" s="41">
        <f>IF(M$6="휴일",0,IF(M27="",1,IFERROR(INDEX(코드!$F$2:$F$107,MATCH(M27,코드!$A$2:$A$107,0)),0)))</f>
        <v/>
      </c>
      <c r="N111" s="41">
        <f>IF(N$6="휴일",0,IF(N27="",1,IFERROR(INDEX(코드!$F$2:$F$107,MATCH(N27,코드!$A$2:$A$107,0)),0)))</f>
        <v/>
      </c>
      <c r="O111" s="41">
        <f>IF(O$6="휴일",0,IF(O27="",1,IFERROR(INDEX(코드!$F$2:$F$107,MATCH(O27,코드!$A$2:$A$107,0)),0)))</f>
        <v/>
      </c>
      <c r="P111" s="41">
        <f>IF(P$6="휴일",0,IF(P27="",1,IFERROR(INDEX(코드!$F$2:$F$107,MATCH(P27,코드!$A$2:$A$107,0)),0)))</f>
        <v/>
      </c>
      <c r="Q111" s="41">
        <f>IF(Q$6="휴일",0,IF(Q27="",1,IFERROR(INDEX(코드!$F$2:$F$107,MATCH(Q27,코드!$A$2:$A$107,0)),0)))</f>
        <v/>
      </c>
      <c r="R111" s="41">
        <f>IF(R$6="휴일",0,IF(R27="",1,IFERROR(INDEX(코드!$F$2:$F$107,MATCH(R27,코드!$A$2:$A$107,0)),0)))</f>
        <v/>
      </c>
      <c r="S111" s="41">
        <f>IF(S$6="휴일",0,IF(S27="",1,IFERROR(INDEX(코드!$F$2:$F$107,MATCH(S27,코드!$A$2:$A$107,0)),0)))</f>
        <v/>
      </c>
      <c r="T111" s="41">
        <f>IF(T$6="휴일",0,IF(T27="",1,IFERROR(INDEX(코드!$F$2:$F$107,MATCH(T27,코드!$A$2:$A$107,0)),0)))</f>
        <v/>
      </c>
      <c r="U111" s="41">
        <f>IF(U$6="휴일",0,IF(U27="",1,IFERROR(INDEX(코드!$F$2:$F$107,MATCH(U27,코드!$A$2:$A$107,0)),0)))</f>
        <v/>
      </c>
      <c r="V111" s="41">
        <f>IF(V$6="휴일",0,IF(V27="",1,IFERROR(INDEX(코드!$F$2:$F$107,MATCH(V27,코드!$A$2:$A$107,0)),0)))</f>
        <v/>
      </c>
      <c r="W111" s="41">
        <f>IF(W$6="휴일",0,IF(W27="",1,IFERROR(INDEX(코드!$F$2:$F$107,MATCH(W27,코드!$A$2:$A$107,0)),0)))</f>
        <v/>
      </c>
      <c r="X111" s="41">
        <f>IF(X$6="휴일",0,IF(X27="",1,IFERROR(INDEX(코드!$F$2:$F$107,MATCH(X27,코드!$A$2:$A$107,0)),0)))</f>
        <v/>
      </c>
      <c r="Y111" s="41">
        <f>IF(Y$6="휴일",0,IF(Y27="",1,IFERROR(INDEX(코드!$F$2:$F$107,MATCH(Y27,코드!$A$2:$A$107,0)),0)))</f>
        <v/>
      </c>
      <c r="Z111" s="41">
        <f>IF(Z$6="휴일",0,IF(Z27="",1,IFERROR(INDEX(코드!$F$2:$F$107,MATCH(Z27,코드!$A$2:$A$107,0)),0)))</f>
        <v/>
      </c>
      <c r="AA111" s="41">
        <f>IF(AA$6="휴일",0,IF(AA27="",1,IFERROR(INDEX(코드!$F$2:$F$107,MATCH(AA27,코드!$A$2:$A$107,0)),0)))</f>
        <v/>
      </c>
      <c r="AB111" s="41">
        <f>IF(AB$6="휴일",0,IF(AB27="",1,IFERROR(INDEX(코드!$F$2:$F$107,MATCH(AB27,코드!$A$2:$A$107,0)),0)))</f>
        <v/>
      </c>
      <c r="AC111" s="41">
        <f>IF(AC$6="휴일",0,IF(AC27="",1,IFERROR(INDEX(코드!$F$2:$F$107,MATCH(AC27,코드!$A$2:$A$107,0)),0)))</f>
        <v/>
      </c>
      <c r="AD111" s="41">
        <f>IF(AD$6="휴일",0,IF(AD27="",1,IFERROR(INDEX(코드!$F$2:$F$107,MATCH(AD27,코드!$A$2:$A$107,0)),0)))</f>
        <v/>
      </c>
      <c r="AE111" s="41">
        <f>IF(AE$6="휴일",0,IF(AE27="",1,IFERROR(INDEX(코드!$F$2:$F$107,MATCH(AE27,코드!$A$2:$A$107,0)),0)))</f>
        <v/>
      </c>
      <c r="AF111" s="41">
        <f>IF(AF$6="휴일",0,IF(AF27="",1,IFERROR(INDEX(코드!$F$2:$F$107,MATCH(AF27,코드!$A$2:$A$107,0)),0)))</f>
        <v/>
      </c>
      <c r="AG111" s="41">
        <f>IF(AG$6="휴일",0,IF(AG27="",1,IFERROR(INDEX(코드!$F$2:$F$107,MATCH(AG27,코드!$A$2:$A$107,0)),0)))</f>
        <v/>
      </c>
      <c r="AH111" s="41">
        <f>IF(AH$6="휴일",0,IF(AH27="",1,IFERROR(INDEX(코드!$F$2:$F$107,MATCH(AH27,코드!$A$2:$A$107,0)),0)))</f>
        <v/>
      </c>
    </row>
    <row r="112">
      <c r="A112" s="15">
        <f>IF(명부!A22="","",명부!A22)</f>
        <v/>
      </c>
      <c r="B112" s="16">
        <f>IF(명부!C22="","",명부!C22)</f>
        <v/>
      </c>
      <c r="C112" s="17">
        <f>IF(명부!E22="","",명부!E22)</f>
        <v/>
      </c>
      <c r="D112" s="41">
        <f>IF(D$6="휴일",0,IF(D28="",1,IFERROR(INDEX(코드!$F$2:$F$107,MATCH(D28,코드!$A$2:$A$107,0)),0)))</f>
        <v/>
      </c>
      <c r="E112" s="41">
        <f>IF(E$6="휴일",0,IF(E28="",1,IFERROR(INDEX(코드!$F$2:$F$107,MATCH(E28,코드!$A$2:$A$107,0)),0)))</f>
        <v/>
      </c>
      <c r="F112" s="41">
        <f>IF(F$6="휴일",0,IF(F28="",1,IFERROR(INDEX(코드!$F$2:$F$107,MATCH(F28,코드!$A$2:$A$107,0)),0)))</f>
        <v/>
      </c>
      <c r="G112" s="41">
        <f>IF(G$6="휴일",0,IF(G28="",1,IFERROR(INDEX(코드!$F$2:$F$107,MATCH(G28,코드!$A$2:$A$107,0)),0)))</f>
        <v/>
      </c>
      <c r="H112" s="41">
        <f>IF(H$6="휴일",0,IF(H28="",1,IFERROR(INDEX(코드!$F$2:$F$107,MATCH(H28,코드!$A$2:$A$107,0)),0)))</f>
        <v/>
      </c>
      <c r="I112" s="41">
        <f>IF(I$6="휴일",0,IF(I28="",1,IFERROR(INDEX(코드!$F$2:$F$107,MATCH(I28,코드!$A$2:$A$107,0)),0)))</f>
        <v/>
      </c>
      <c r="J112" s="41">
        <f>IF(J$6="휴일",0,IF(J28="",1,IFERROR(INDEX(코드!$F$2:$F$107,MATCH(J28,코드!$A$2:$A$107,0)),0)))</f>
        <v/>
      </c>
      <c r="K112" s="41">
        <f>IF(K$6="휴일",0,IF(K28="",1,IFERROR(INDEX(코드!$F$2:$F$107,MATCH(K28,코드!$A$2:$A$107,0)),0)))</f>
        <v/>
      </c>
      <c r="L112" s="41">
        <f>IF(L$6="휴일",0,IF(L28="",1,IFERROR(INDEX(코드!$F$2:$F$107,MATCH(L28,코드!$A$2:$A$107,0)),0)))</f>
        <v/>
      </c>
      <c r="M112" s="41">
        <f>IF(M$6="휴일",0,IF(M28="",1,IFERROR(INDEX(코드!$F$2:$F$107,MATCH(M28,코드!$A$2:$A$107,0)),0)))</f>
        <v/>
      </c>
      <c r="N112" s="41">
        <f>IF(N$6="휴일",0,IF(N28="",1,IFERROR(INDEX(코드!$F$2:$F$107,MATCH(N28,코드!$A$2:$A$107,0)),0)))</f>
        <v/>
      </c>
      <c r="O112" s="41">
        <f>IF(O$6="휴일",0,IF(O28="",1,IFERROR(INDEX(코드!$F$2:$F$107,MATCH(O28,코드!$A$2:$A$107,0)),0)))</f>
        <v/>
      </c>
      <c r="P112" s="41">
        <f>IF(P$6="휴일",0,IF(P28="",1,IFERROR(INDEX(코드!$F$2:$F$107,MATCH(P28,코드!$A$2:$A$107,0)),0)))</f>
        <v/>
      </c>
      <c r="Q112" s="41">
        <f>IF(Q$6="휴일",0,IF(Q28="",1,IFERROR(INDEX(코드!$F$2:$F$107,MATCH(Q28,코드!$A$2:$A$107,0)),0)))</f>
        <v/>
      </c>
      <c r="R112" s="41">
        <f>IF(R$6="휴일",0,IF(R28="",1,IFERROR(INDEX(코드!$F$2:$F$107,MATCH(R28,코드!$A$2:$A$107,0)),0)))</f>
        <v/>
      </c>
      <c r="S112" s="41">
        <f>IF(S$6="휴일",0,IF(S28="",1,IFERROR(INDEX(코드!$F$2:$F$107,MATCH(S28,코드!$A$2:$A$107,0)),0)))</f>
        <v/>
      </c>
      <c r="T112" s="41">
        <f>IF(T$6="휴일",0,IF(T28="",1,IFERROR(INDEX(코드!$F$2:$F$107,MATCH(T28,코드!$A$2:$A$107,0)),0)))</f>
        <v/>
      </c>
      <c r="U112" s="41">
        <f>IF(U$6="휴일",0,IF(U28="",1,IFERROR(INDEX(코드!$F$2:$F$107,MATCH(U28,코드!$A$2:$A$107,0)),0)))</f>
        <v/>
      </c>
      <c r="V112" s="41">
        <f>IF(V$6="휴일",0,IF(V28="",1,IFERROR(INDEX(코드!$F$2:$F$107,MATCH(V28,코드!$A$2:$A$107,0)),0)))</f>
        <v/>
      </c>
      <c r="W112" s="41">
        <f>IF(W$6="휴일",0,IF(W28="",1,IFERROR(INDEX(코드!$F$2:$F$107,MATCH(W28,코드!$A$2:$A$107,0)),0)))</f>
        <v/>
      </c>
      <c r="X112" s="41">
        <f>IF(X$6="휴일",0,IF(X28="",1,IFERROR(INDEX(코드!$F$2:$F$107,MATCH(X28,코드!$A$2:$A$107,0)),0)))</f>
        <v/>
      </c>
      <c r="Y112" s="41">
        <f>IF(Y$6="휴일",0,IF(Y28="",1,IFERROR(INDEX(코드!$F$2:$F$107,MATCH(Y28,코드!$A$2:$A$107,0)),0)))</f>
        <v/>
      </c>
      <c r="Z112" s="41">
        <f>IF(Z$6="휴일",0,IF(Z28="",1,IFERROR(INDEX(코드!$F$2:$F$107,MATCH(Z28,코드!$A$2:$A$107,0)),0)))</f>
        <v/>
      </c>
      <c r="AA112" s="41">
        <f>IF(AA$6="휴일",0,IF(AA28="",1,IFERROR(INDEX(코드!$F$2:$F$107,MATCH(AA28,코드!$A$2:$A$107,0)),0)))</f>
        <v/>
      </c>
      <c r="AB112" s="41">
        <f>IF(AB$6="휴일",0,IF(AB28="",1,IFERROR(INDEX(코드!$F$2:$F$107,MATCH(AB28,코드!$A$2:$A$107,0)),0)))</f>
        <v/>
      </c>
      <c r="AC112" s="41">
        <f>IF(AC$6="휴일",0,IF(AC28="",1,IFERROR(INDEX(코드!$F$2:$F$107,MATCH(AC28,코드!$A$2:$A$107,0)),0)))</f>
        <v/>
      </c>
      <c r="AD112" s="41">
        <f>IF(AD$6="휴일",0,IF(AD28="",1,IFERROR(INDEX(코드!$F$2:$F$107,MATCH(AD28,코드!$A$2:$A$107,0)),0)))</f>
        <v/>
      </c>
      <c r="AE112" s="41">
        <f>IF(AE$6="휴일",0,IF(AE28="",1,IFERROR(INDEX(코드!$F$2:$F$107,MATCH(AE28,코드!$A$2:$A$107,0)),0)))</f>
        <v/>
      </c>
      <c r="AF112" s="41">
        <f>IF(AF$6="휴일",0,IF(AF28="",1,IFERROR(INDEX(코드!$F$2:$F$107,MATCH(AF28,코드!$A$2:$A$107,0)),0)))</f>
        <v/>
      </c>
      <c r="AG112" s="41">
        <f>IF(AG$6="휴일",0,IF(AG28="",1,IFERROR(INDEX(코드!$F$2:$F$107,MATCH(AG28,코드!$A$2:$A$107,0)),0)))</f>
        <v/>
      </c>
      <c r="AH112" s="41">
        <f>IF(AH$6="휴일",0,IF(AH28="",1,IFERROR(INDEX(코드!$F$2:$F$107,MATCH(AH28,코드!$A$2:$A$107,0)),0)))</f>
        <v/>
      </c>
    </row>
    <row r="113">
      <c r="A113" s="15">
        <f>IF(명부!A23="","",명부!A23)</f>
        <v/>
      </c>
      <c r="B113" s="16">
        <f>IF(명부!C23="","",명부!C23)</f>
        <v/>
      </c>
      <c r="C113" s="17">
        <f>IF(명부!E23="","",명부!E23)</f>
        <v/>
      </c>
      <c r="D113" s="41">
        <f>IF(D$6="휴일",0,IF(D29="",1,IFERROR(INDEX(코드!$F$2:$F$107,MATCH(D29,코드!$A$2:$A$107,0)),0)))</f>
        <v/>
      </c>
      <c r="E113" s="41">
        <f>IF(E$6="휴일",0,IF(E29="",1,IFERROR(INDEX(코드!$F$2:$F$107,MATCH(E29,코드!$A$2:$A$107,0)),0)))</f>
        <v/>
      </c>
      <c r="F113" s="41">
        <f>IF(F$6="휴일",0,IF(F29="",1,IFERROR(INDEX(코드!$F$2:$F$107,MATCH(F29,코드!$A$2:$A$107,0)),0)))</f>
        <v/>
      </c>
      <c r="G113" s="41">
        <f>IF(G$6="휴일",0,IF(G29="",1,IFERROR(INDEX(코드!$F$2:$F$107,MATCH(G29,코드!$A$2:$A$107,0)),0)))</f>
        <v/>
      </c>
      <c r="H113" s="41">
        <f>IF(H$6="휴일",0,IF(H29="",1,IFERROR(INDEX(코드!$F$2:$F$107,MATCH(H29,코드!$A$2:$A$107,0)),0)))</f>
        <v/>
      </c>
      <c r="I113" s="41">
        <f>IF(I$6="휴일",0,IF(I29="",1,IFERROR(INDEX(코드!$F$2:$F$107,MATCH(I29,코드!$A$2:$A$107,0)),0)))</f>
        <v/>
      </c>
      <c r="J113" s="41">
        <f>IF(J$6="휴일",0,IF(J29="",1,IFERROR(INDEX(코드!$F$2:$F$107,MATCH(J29,코드!$A$2:$A$107,0)),0)))</f>
        <v/>
      </c>
      <c r="K113" s="41">
        <f>IF(K$6="휴일",0,IF(K29="",1,IFERROR(INDEX(코드!$F$2:$F$107,MATCH(K29,코드!$A$2:$A$107,0)),0)))</f>
        <v/>
      </c>
      <c r="L113" s="41">
        <f>IF(L$6="휴일",0,IF(L29="",1,IFERROR(INDEX(코드!$F$2:$F$107,MATCH(L29,코드!$A$2:$A$107,0)),0)))</f>
        <v/>
      </c>
      <c r="M113" s="41">
        <f>IF(M$6="휴일",0,IF(M29="",1,IFERROR(INDEX(코드!$F$2:$F$107,MATCH(M29,코드!$A$2:$A$107,0)),0)))</f>
        <v/>
      </c>
      <c r="N113" s="41">
        <f>IF(N$6="휴일",0,IF(N29="",1,IFERROR(INDEX(코드!$F$2:$F$107,MATCH(N29,코드!$A$2:$A$107,0)),0)))</f>
        <v/>
      </c>
      <c r="O113" s="41">
        <f>IF(O$6="휴일",0,IF(O29="",1,IFERROR(INDEX(코드!$F$2:$F$107,MATCH(O29,코드!$A$2:$A$107,0)),0)))</f>
        <v/>
      </c>
      <c r="P113" s="41">
        <f>IF(P$6="휴일",0,IF(P29="",1,IFERROR(INDEX(코드!$F$2:$F$107,MATCH(P29,코드!$A$2:$A$107,0)),0)))</f>
        <v/>
      </c>
      <c r="Q113" s="41">
        <f>IF(Q$6="휴일",0,IF(Q29="",1,IFERROR(INDEX(코드!$F$2:$F$107,MATCH(Q29,코드!$A$2:$A$107,0)),0)))</f>
        <v/>
      </c>
      <c r="R113" s="41">
        <f>IF(R$6="휴일",0,IF(R29="",1,IFERROR(INDEX(코드!$F$2:$F$107,MATCH(R29,코드!$A$2:$A$107,0)),0)))</f>
        <v/>
      </c>
      <c r="S113" s="41">
        <f>IF(S$6="휴일",0,IF(S29="",1,IFERROR(INDEX(코드!$F$2:$F$107,MATCH(S29,코드!$A$2:$A$107,0)),0)))</f>
        <v/>
      </c>
      <c r="T113" s="41">
        <f>IF(T$6="휴일",0,IF(T29="",1,IFERROR(INDEX(코드!$F$2:$F$107,MATCH(T29,코드!$A$2:$A$107,0)),0)))</f>
        <v/>
      </c>
      <c r="U113" s="41">
        <f>IF(U$6="휴일",0,IF(U29="",1,IFERROR(INDEX(코드!$F$2:$F$107,MATCH(U29,코드!$A$2:$A$107,0)),0)))</f>
        <v/>
      </c>
      <c r="V113" s="41">
        <f>IF(V$6="휴일",0,IF(V29="",1,IFERROR(INDEX(코드!$F$2:$F$107,MATCH(V29,코드!$A$2:$A$107,0)),0)))</f>
        <v/>
      </c>
      <c r="W113" s="41">
        <f>IF(W$6="휴일",0,IF(W29="",1,IFERROR(INDEX(코드!$F$2:$F$107,MATCH(W29,코드!$A$2:$A$107,0)),0)))</f>
        <v/>
      </c>
      <c r="X113" s="41">
        <f>IF(X$6="휴일",0,IF(X29="",1,IFERROR(INDEX(코드!$F$2:$F$107,MATCH(X29,코드!$A$2:$A$107,0)),0)))</f>
        <v/>
      </c>
      <c r="Y113" s="41">
        <f>IF(Y$6="휴일",0,IF(Y29="",1,IFERROR(INDEX(코드!$F$2:$F$107,MATCH(Y29,코드!$A$2:$A$107,0)),0)))</f>
        <v/>
      </c>
      <c r="Z113" s="41">
        <f>IF(Z$6="휴일",0,IF(Z29="",1,IFERROR(INDEX(코드!$F$2:$F$107,MATCH(Z29,코드!$A$2:$A$107,0)),0)))</f>
        <v/>
      </c>
      <c r="AA113" s="41">
        <f>IF(AA$6="휴일",0,IF(AA29="",1,IFERROR(INDEX(코드!$F$2:$F$107,MATCH(AA29,코드!$A$2:$A$107,0)),0)))</f>
        <v/>
      </c>
      <c r="AB113" s="41">
        <f>IF(AB$6="휴일",0,IF(AB29="",1,IFERROR(INDEX(코드!$F$2:$F$107,MATCH(AB29,코드!$A$2:$A$107,0)),0)))</f>
        <v/>
      </c>
      <c r="AC113" s="41">
        <f>IF(AC$6="휴일",0,IF(AC29="",1,IFERROR(INDEX(코드!$F$2:$F$107,MATCH(AC29,코드!$A$2:$A$107,0)),0)))</f>
        <v/>
      </c>
      <c r="AD113" s="41">
        <f>IF(AD$6="휴일",0,IF(AD29="",1,IFERROR(INDEX(코드!$F$2:$F$107,MATCH(AD29,코드!$A$2:$A$107,0)),0)))</f>
        <v/>
      </c>
      <c r="AE113" s="41">
        <f>IF(AE$6="휴일",0,IF(AE29="",1,IFERROR(INDEX(코드!$F$2:$F$107,MATCH(AE29,코드!$A$2:$A$107,0)),0)))</f>
        <v/>
      </c>
      <c r="AF113" s="41">
        <f>IF(AF$6="휴일",0,IF(AF29="",1,IFERROR(INDEX(코드!$F$2:$F$107,MATCH(AF29,코드!$A$2:$A$107,0)),0)))</f>
        <v/>
      </c>
      <c r="AG113" s="41">
        <f>IF(AG$6="휴일",0,IF(AG29="",1,IFERROR(INDEX(코드!$F$2:$F$107,MATCH(AG29,코드!$A$2:$A$107,0)),0)))</f>
        <v/>
      </c>
      <c r="AH113" s="41">
        <f>IF(AH$6="휴일",0,IF(AH29="",1,IFERROR(INDEX(코드!$F$2:$F$107,MATCH(AH29,코드!$A$2:$A$107,0)),0)))</f>
        <v/>
      </c>
    </row>
    <row r="114">
      <c r="A114" s="15">
        <f>IF(명부!A24="","",명부!A24)</f>
        <v/>
      </c>
      <c r="B114" s="16">
        <f>IF(명부!C24="","",명부!C24)</f>
        <v/>
      </c>
      <c r="C114" s="17">
        <f>IF(명부!E24="","",명부!E24)</f>
        <v/>
      </c>
      <c r="D114" s="41">
        <f>IF(D$6="휴일",0,IF(D30="",1,IFERROR(INDEX(코드!$F$2:$F$107,MATCH(D30,코드!$A$2:$A$107,0)),0)))</f>
        <v/>
      </c>
      <c r="E114" s="41">
        <f>IF(E$6="휴일",0,IF(E30="",1,IFERROR(INDEX(코드!$F$2:$F$107,MATCH(E30,코드!$A$2:$A$107,0)),0)))</f>
        <v/>
      </c>
      <c r="F114" s="41">
        <f>IF(F$6="휴일",0,IF(F30="",1,IFERROR(INDEX(코드!$F$2:$F$107,MATCH(F30,코드!$A$2:$A$107,0)),0)))</f>
        <v/>
      </c>
      <c r="G114" s="41">
        <f>IF(G$6="휴일",0,IF(G30="",1,IFERROR(INDEX(코드!$F$2:$F$107,MATCH(G30,코드!$A$2:$A$107,0)),0)))</f>
        <v/>
      </c>
      <c r="H114" s="41">
        <f>IF(H$6="휴일",0,IF(H30="",1,IFERROR(INDEX(코드!$F$2:$F$107,MATCH(H30,코드!$A$2:$A$107,0)),0)))</f>
        <v/>
      </c>
      <c r="I114" s="41">
        <f>IF(I$6="휴일",0,IF(I30="",1,IFERROR(INDEX(코드!$F$2:$F$107,MATCH(I30,코드!$A$2:$A$107,0)),0)))</f>
        <v/>
      </c>
      <c r="J114" s="41">
        <f>IF(J$6="휴일",0,IF(J30="",1,IFERROR(INDEX(코드!$F$2:$F$107,MATCH(J30,코드!$A$2:$A$107,0)),0)))</f>
        <v/>
      </c>
      <c r="K114" s="41">
        <f>IF(K$6="휴일",0,IF(K30="",1,IFERROR(INDEX(코드!$F$2:$F$107,MATCH(K30,코드!$A$2:$A$107,0)),0)))</f>
        <v/>
      </c>
      <c r="L114" s="41">
        <f>IF(L$6="휴일",0,IF(L30="",1,IFERROR(INDEX(코드!$F$2:$F$107,MATCH(L30,코드!$A$2:$A$107,0)),0)))</f>
        <v/>
      </c>
      <c r="M114" s="41">
        <f>IF(M$6="휴일",0,IF(M30="",1,IFERROR(INDEX(코드!$F$2:$F$107,MATCH(M30,코드!$A$2:$A$107,0)),0)))</f>
        <v/>
      </c>
      <c r="N114" s="41">
        <f>IF(N$6="휴일",0,IF(N30="",1,IFERROR(INDEX(코드!$F$2:$F$107,MATCH(N30,코드!$A$2:$A$107,0)),0)))</f>
        <v/>
      </c>
      <c r="O114" s="41">
        <f>IF(O$6="휴일",0,IF(O30="",1,IFERROR(INDEX(코드!$F$2:$F$107,MATCH(O30,코드!$A$2:$A$107,0)),0)))</f>
        <v/>
      </c>
      <c r="P114" s="41">
        <f>IF(P$6="휴일",0,IF(P30="",1,IFERROR(INDEX(코드!$F$2:$F$107,MATCH(P30,코드!$A$2:$A$107,0)),0)))</f>
        <v/>
      </c>
      <c r="Q114" s="41">
        <f>IF(Q$6="휴일",0,IF(Q30="",1,IFERROR(INDEX(코드!$F$2:$F$107,MATCH(Q30,코드!$A$2:$A$107,0)),0)))</f>
        <v/>
      </c>
      <c r="R114" s="41">
        <f>IF(R$6="휴일",0,IF(R30="",1,IFERROR(INDEX(코드!$F$2:$F$107,MATCH(R30,코드!$A$2:$A$107,0)),0)))</f>
        <v/>
      </c>
      <c r="S114" s="41">
        <f>IF(S$6="휴일",0,IF(S30="",1,IFERROR(INDEX(코드!$F$2:$F$107,MATCH(S30,코드!$A$2:$A$107,0)),0)))</f>
        <v/>
      </c>
      <c r="T114" s="41">
        <f>IF(T$6="휴일",0,IF(T30="",1,IFERROR(INDEX(코드!$F$2:$F$107,MATCH(T30,코드!$A$2:$A$107,0)),0)))</f>
        <v/>
      </c>
      <c r="U114" s="41">
        <f>IF(U$6="휴일",0,IF(U30="",1,IFERROR(INDEX(코드!$F$2:$F$107,MATCH(U30,코드!$A$2:$A$107,0)),0)))</f>
        <v/>
      </c>
      <c r="V114" s="41">
        <f>IF(V$6="휴일",0,IF(V30="",1,IFERROR(INDEX(코드!$F$2:$F$107,MATCH(V30,코드!$A$2:$A$107,0)),0)))</f>
        <v/>
      </c>
      <c r="W114" s="41">
        <f>IF(W$6="휴일",0,IF(W30="",1,IFERROR(INDEX(코드!$F$2:$F$107,MATCH(W30,코드!$A$2:$A$107,0)),0)))</f>
        <v/>
      </c>
      <c r="X114" s="41">
        <f>IF(X$6="휴일",0,IF(X30="",1,IFERROR(INDEX(코드!$F$2:$F$107,MATCH(X30,코드!$A$2:$A$107,0)),0)))</f>
        <v/>
      </c>
      <c r="Y114" s="41">
        <f>IF(Y$6="휴일",0,IF(Y30="",1,IFERROR(INDEX(코드!$F$2:$F$107,MATCH(Y30,코드!$A$2:$A$107,0)),0)))</f>
        <v/>
      </c>
      <c r="Z114" s="41">
        <f>IF(Z$6="휴일",0,IF(Z30="",1,IFERROR(INDEX(코드!$F$2:$F$107,MATCH(Z30,코드!$A$2:$A$107,0)),0)))</f>
        <v/>
      </c>
      <c r="AA114" s="41">
        <f>IF(AA$6="휴일",0,IF(AA30="",1,IFERROR(INDEX(코드!$F$2:$F$107,MATCH(AA30,코드!$A$2:$A$107,0)),0)))</f>
        <v/>
      </c>
      <c r="AB114" s="41">
        <f>IF(AB$6="휴일",0,IF(AB30="",1,IFERROR(INDEX(코드!$F$2:$F$107,MATCH(AB30,코드!$A$2:$A$107,0)),0)))</f>
        <v/>
      </c>
      <c r="AC114" s="41">
        <f>IF(AC$6="휴일",0,IF(AC30="",1,IFERROR(INDEX(코드!$F$2:$F$107,MATCH(AC30,코드!$A$2:$A$107,0)),0)))</f>
        <v/>
      </c>
      <c r="AD114" s="41">
        <f>IF(AD$6="휴일",0,IF(AD30="",1,IFERROR(INDEX(코드!$F$2:$F$107,MATCH(AD30,코드!$A$2:$A$107,0)),0)))</f>
        <v/>
      </c>
      <c r="AE114" s="41">
        <f>IF(AE$6="휴일",0,IF(AE30="",1,IFERROR(INDEX(코드!$F$2:$F$107,MATCH(AE30,코드!$A$2:$A$107,0)),0)))</f>
        <v/>
      </c>
      <c r="AF114" s="41">
        <f>IF(AF$6="휴일",0,IF(AF30="",1,IFERROR(INDEX(코드!$F$2:$F$107,MATCH(AF30,코드!$A$2:$A$107,0)),0)))</f>
        <v/>
      </c>
      <c r="AG114" s="41">
        <f>IF(AG$6="휴일",0,IF(AG30="",1,IFERROR(INDEX(코드!$F$2:$F$107,MATCH(AG30,코드!$A$2:$A$107,0)),0)))</f>
        <v/>
      </c>
      <c r="AH114" s="41">
        <f>IF(AH$6="휴일",0,IF(AH30="",1,IFERROR(INDEX(코드!$F$2:$F$107,MATCH(AH30,코드!$A$2:$A$107,0)),0)))</f>
        <v/>
      </c>
    </row>
    <row r="115">
      <c r="A115" s="15">
        <f>IF(명부!A25="","",명부!A25)</f>
        <v/>
      </c>
      <c r="B115" s="16">
        <f>IF(명부!C25="","",명부!C25)</f>
        <v/>
      </c>
      <c r="C115" s="17">
        <f>IF(명부!E25="","",명부!E25)</f>
        <v/>
      </c>
      <c r="D115" s="41">
        <f>IF(D$6="휴일",0,IF(D31="",1,IFERROR(INDEX(코드!$F$2:$F$107,MATCH(D31,코드!$A$2:$A$107,0)),0)))</f>
        <v/>
      </c>
      <c r="E115" s="41">
        <f>IF(E$6="휴일",0,IF(E31="",1,IFERROR(INDEX(코드!$F$2:$F$107,MATCH(E31,코드!$A$2:$A$107,0)),0)))</f>
        <v/>
      </c>
      <c r="F115" s="41">
        <f>IF(F$6="휴일",0,IF(F31="",1,IFERROR(INDEX(코드!$F$2:$F$107,MATCH(F31,코드!$A$2:$A$107,0)),0)))</f>
        <v/>
      </c>
      <c r="G115" s="41">
        <f>IF(G$6="휴일",0,IF(G31="",1,IFERROR(INDEX(코드!$F$2:$F$107,MATCH(G31,코드!$A$2:$A$107,0)),0)))</f>
        <v/>
      </c>
      <c r="H115" s="41">
        <f>IF(H$6="휴일",0,IF(H31="",1,IFERROR(INDEX(코드!$F$2:$F$107,MATCH(H31,코드!$A$2:$A$107,0)),0)))</f>
        <v/>
      </c>
      <c r="I115" s="41">
        <f>IF(I$6="휴일",0,IF(I31="",1,IFERROR(INDEX(코드!$F$2:$F$107,MATCH(I31,코드!$A$2:$A$107,0)),0)))</f>
        <v/>
      </c>
      <c r="J115" s="41">
        <f>IF(J$6="휴일",0,IF(J31="",1,IFERROR(INDEX(코드!$F$2:$F$107,MATCH(J31,코드!$A$2:$A$107,0)),0)))</f>
        <v/>
      </c>
      <c r="K115" s="41">
        <f>IF(K$6="휴일",0,IF(K31="",1,IFERROR(INDEX(코드!$F$2:$F$107,MATCH(K31,코드!$A$2:$A$107,0)),0)))</f>
        <v/>
      </c>
      <c r="L115" s="41">
        <f>IF(L$6="휴일",0,IF(L31="",1,IFERROR(INDEX(코드!$F$2:$F$107,MATCH(L31,코드!$A$2:$A$107,0)),0)))</f>
        <v/>
      </c>
      <c r="M115" s="41">
        <f>IF(M$6="휴일",0,IF(M31="",1,IFERROR(INDEX(코드!$F$2:$F$107,MATCH(M31,코드!$A$2:$A$107,0)),0)))</f>
        <v/>
      </c>
      <c r="N115" s="41">
        <f>IF(N$6="휴일",0,IF(N31="",1,IFERROR(INDEX(코드!$F$2:$F$107,MATCH(N31,코드!$A$2:$A$107,0)),0)))</f>
        <v/>
      </c>
      <c r="O115" s="41">
        <f>IF(O$6="휴일",0,IF(O31="",1,IFERROR(INDEX(코드!$F$2:$F$107,MATCH(O31,코드!$A$2:$A$107,0)),0)))</f>
        <v/>
      </c>
      <c r="P115" s="41">
        <f>IF(P$6="휴일",0,IF(P31="",1,IFERROR(INDEX(코드!$F$2:$F$107,MATCH(P31,코드!$A$2:$A$107,0)),0)))</f>
        <v/>
      </c>
      <c r="Q115" s="41">
        <f>IF(Q$6="휴일",0,IF(Q31="",1,IFERROR(INDEX(코드!$F$2:$F$107,MATCH(Q31,코드!$A$2:$A$107,0)),0)))</f>
        <v/>
      </c>
      <c r="R115" s="41">
        <f>IF(R$6="휴일",0,IF(R31="",1,IFERROR(INDEX(코드!$F$2:$F$107,MATCH(R31,코드!$A$2:$A$107,0)),0)))</f>
        <v/>
      </c>
      <c r="S115" s="41">
        <f>IF(S$6="휴일",0,IF(S31="",1,IFERROR(INDEX(코드!$F$2:$F$107,MATCH(S31,코드!$A$2:$A$107,0)),0)))</f>
        <v/>
      </c>
      <c r="T115" s="41">
        <f>IF(T$6="휴일",0,IF(T31="",1,IFERROR(INDEX(코드!$F$2:$F$107,MATCH(T31,코드!$A$2:$A$107,0)),0)))</f>
        <v/>
      </c>
      <c r="U115" s="41">
        <f>IF(U$6="휴일",0,IF(U31="",1,IFERROR(INDEX(코드!$F$2:$F$107,MATCH(U31,코드!$A$2:$A$107,0)),0)))</f>
        <v/>
      </c>
      <c r="V115" s="41">
        <f>IF(V$6="휴일",0,IF(V31="",1,IFERROR(INDEX(코드!$F$2:$F$107,MATCH(V31,코드!$A$2:$A$107,0)),0)))</f>
        <v/>
      </c>
      <c r="W115" s="41">
        <f>IF(W$6="휴일",0,IF(W31="",1,IFERROR(INDEX(코드!$F$2:$F$107,MATCH(W31,코드!$A$2:$A$107,0)),0)))</f>
        <v/>
      </c>
      <c r="X115" s="41">
        <f>IF(X$6="휴일",0,IF(X31="",1,IFERROR(INDEX(코드!$F$2:$F$107,MATCH(X31,코드!$A$2:$A$107,0)),0)))</f>
        <v/>
      </c>
      <c r="Y115" s="41">
        <f>IF(Y$6="휴일",0,IF(Y31="",1,IFERROR(INDEX(코드!$F$2:$F$107,MATCH(Y31,코드!$A$2:$A$107,0)),0)))</f>
        <v/>
      </c>
      <c r="Z115" s="41">
        <f>IF(Z$6="휴일",0,IF(Z31="",1,IFERROR(INDEX(코드!$F$2:$F$107,MATCH(Z31,코드!$A$2:$A$107,0)),0)))</f>
        <v/>
      </c>
      <c r="AA115" s="41">
        <f>IF(AA$6="휴일",0,IF(AA31="",1,IFERROR(INDEX(코드!$F$2:$F$107,MATCH(AA31,코드!$A$2:$A$107,0)),0)))</f>
        <v/>
      </c>
      <c r="AB115" s="41">
        <f>IF(AB$6="휴일",0,IF(AB31="",1,IFERROR(INDEX(코드!$F$2:$F$107,MATCH(AB31,코드!$A$2:$A$107,0)),0)))</f>
        <v/>
      </c>
      <c r="AC115" s="41">
        <f>IF(AC$6="휴일",0,IF(AC31="",1,IFERROR(INDEX(코드!$F$2:$F$107,MATCH(AC31,코드!$A$2:$A$107,0)),0)))</f>
        <v/>
      </c>
      <c r="AD115" s="41">
        <f>IF(AD$6="휴일",0,IF(AD31="",1,IFERROR(INDEX(코드!$F$2:$F$107,MATCH(AD31,코드!$A$2:$A$107,0)),0)))</f>
        <v/>
      </c>
      <c r="AE115" s="41">
        <f>IF(AE$6="휴일",0,IF(AE31="",1,IFERROR(INDEX(코드!$F$2:$F$107,MATCH(AE31,코드!$A$2:$A$107,0)),0)))</f>
        <v/>
      </c>
      <c r="AF115" s="41">
        <f>IF(AF$6="휴일",0,IF(AF31="",1,IFERROR(INDEX(코드!$F$2:$F$107,MATCH(AF31,코드!$A$2:$A$107,0)),0)))</f>
        <v/>
      </c>
      <c r="AG115" s="41">
        <f>IF(AG$6="휴일",0,IF(AG31="",1,IFERROR(INDEX(코드!$F$2:$F$107,MATCH(AG31,코드!$A$2:$A$107,0)),0)))</f>
        <v/>
      </c>
      <c r="AH115" s="41">
        <f>IF(AH$6="휴일",0,IF(AH31="",1,IFERROR(INDEX(코드!$F$2:$F$107,MATCH(AH31,코드!$A$2:$A$107,0)),0)))</f>
        <v/>
      </c>
    </row>
    <row r="119">
      <c r="A119" s="20" t="inlineStr">
        <is>
          <t>후보</t>
        </is>
      </c>
    </row>
    <row r="120">
      <c r="A120" s="15">
        <f>IF(명부!A2="","",명부!A2)</f>
        <v/>
      </c>
      <c r="B120" s="16">
        <f>IF(명부!C2="","",명부!C2)</f>
        <v/>
      </c>
      <c r="C120" s="17">
        <f>IF(명부!E2="","",명부!E2)</f>
        <v/>
      </c>
      <c r="D120" s="41">
        <f>IF(D8="",0,IF(COUNTIF(코드!$K$2:$K$60,D8)&gt;0,1,0))</f>
        <v/>
      </c>
      <c r="E120" s="41">
        <f>IF(E8="",0,IF(COUNTIF(코드!$K$2:$K$60,E8)&gt;0,1,0))</f>
        <v/>
      </c>
      <c r="F120" s="41">
        <f>IF(F8="",0,IF(COUNTIF(코드!$K$2:$K$60,F8)&gt;0,1,0))</f>
        <v/>
      </c>
      <c r="G120" s="41">
        <f>IF(G8="",0,IF(COUNTIF(코드!$K$2:$K$60,G8)&gt;0,1,0))</f>
        <v/>
      </c>
      <c r="H120" s="41">
        <f>IF(H8="",0,IF(COUNTIF(코드!$K$2:$K$60,H8)&gt;0,1,0))</f>
        <v/>
      </c>
      <c r="I120" s="41">
        <f>IF(I8="",0,IF(COUNTIF(코드!$K$2:$K$60,I8)&gt;0,1,0))</f>
        <v/>
      </c>
      <c r="J120" s="41">
        <f>IF(J8="",0,IF(COUNTIF(코드!$K$2:$K$60,J8)&gt;0,1,0))</f>
        <v/>
      </c>
      <c r="K120" s="41">
        <f>IF(K8="",0,IF(COUNTIF(코드!$K$2:$K$60,K8)&gt;0,1,0))</f>
        <v/>
      </c>
      <c r="L120" s="41">
        <f>IF(L8="",0,IF(COUNTIF(코드!$K$2:$K$60,L8)&gt;0,1,0))</f>
        <v/>
      </c>
      <c r="M120" s="41">
        <f>IF(M8="",0,IF(COUNTIF(코드!$K$2:$K$60,M8)&gt;0,1,0))</f>
        <v/>
      </c>
      <c r="N120" s="41">
        <f>IF(N8="",0,IF(COUNTIF(코드!$K$2:$K$60,N8)&gt;0,1,0))</f>
        <v/>
      </c>
      <c r="O120" s="41">
        <f>IF(O8="",0,IF(COUNTIF(코드!$K$2:$K$60,O8)&gt;0,1,0))</f>
        <v/>
      </c>
      <c r="P120" s="41">
        <f>IF(P8="",0,IF(COUNTIF(코드!$K$2:$K$60,P8)&gt;0,1,0))</f>
        <v/>
      </c>
      <c r="Q120" s="41">
        <f>IF(Q8="",0,IF(COUNTIF(코드!$K$2:$K$60,Q8)&gt;0,1,0))</f>
        <v/>
      </c>
      <c r="R120" s="41">
        <f>IF(R8="",0,IF(COUNTIF(코드!$K$2:$K$60,R8)&gt;0,1,0))</f>
        <v/>
      </c>
      <c r="S120" s="41">
        <f>IF(S8="",0,IF(COUNTIF(코드!$K$2:$K$60,S8)&gt;0,1,0))</f>
        <v/>
      </c>
      <c r="T120" s="41">
        <f>IF(T8="",0,IF(COUNTIF(코드!$K$2:$K$60,T8)&gt;0,1,0))</f>
        <v/>
      </c>
      <c r="U120" s="41">
        <f>IF(U8="",0,IF(COUNTIF(코드!$K$2:$K$60,U8)&gt;0,1,0))</f>
        <v/>
      </c>
      <c r="V120" s="41">
        <f>IF(V8="",0,IF(COUNTIF(코드!$K$2:$K$60,V8)&gt;0,1,0))</f>
        <v/>
      </c>
      <c r="W120" s="41">
        <f>IF(W8="",0,IF(COUNTIF(코드!$K$2:$K$60,W8)&gt;0,1,0))</f>
        <v/>
      </c>
      <c r="X120" s="41">
        <f>IF(X8="",0,IF(COUNTIF(코드!$K$2:$K$60,X8)&gt;0,1,0))</f>
        <v/>
      </c>
      <c r="Y120" s="41">
        <f>IF(Y8="",0,IF(COUNTIF(코드!$K$2:$K$60,Y8)&gt;0,1,0))</f>
        <v/>
      </c>
      <c r="Z120" s="41">
        <f>IF(Z8="",0,IF(COUNTIF(코드!$K$2:$K$60,Z8)&gt;0,1,0))</f>
        <v/>
      </c>
      <c r="AA120" s="41">
        <f>IF(AA8="",0,IF(COUNTIF(코드!$K$2:$K$60,AA8)&gt;0,1,0))</f>
        <v/>
      </c>
      <c r="AB120" s="41">
        <f>IF(AB8="",0,IF(COUNTIF(코드!$K$2:$K$60,AB8)&gt;0,1,0))</f>
        <v/>
      </c>
      <c r="AC120" s="41">
        <f>IF(AC8="",0,IF(COUNTIF(코드!$K$2:$K$60,AC8)&gt;0,1,0))</f>
        <v/>
      </c>
      <c r="AD120" s="41">
        <f>IF(AD8="",0,IF(COUNTIF(코드!$K$2:$K$60,AD8)&gt;0,1,0))</f>
        <v/>
      </c>
      <c r="AE120" s="41">
        <f>IF(AE8="",0,IF(COUNTIF(코드!$K$2:$K$60,AE8)&gt;0,1,0))</f>
        <v/>
      </c>
      <c r="AF120" s="41">
        <f>IF(AF8="",0,IF(COUNTIF(코드!$K$2:$K$60,AF8)&gt;0,1,0))</f>
        <v/>
      </c>
      <c r="AG120" s="41">
        <f>IF(AG8="",0,IF(COUNTIF(코드!$K$2:$K$60,AG8)&gt;0,1,0))</f>
        <v/>
      </c>
      <c r="AH120" s="41">
        <f>IF(AH8="",0,IF(COUNTIF(코드!$K$2:$K$60,AH8)&gt;0,1,0))</f>
        <v/>
      </c>
    </row>
    <row r="121">
      <c r="A121" s="15">
        <f>IF(명부!A3="","",명부!A3)</f>
        <v/>
      </c>
      <c r="B121" s="16">
        <f>IF(명부!C3="","",명부!C3)</f>
        <v/>
      </c>
      <c r="C121" s="17">
        <f>IF(명부!E3="","",명부!E3)</f>
        <v/>
      </c>
      <c r="D121" s="41">
        <f>IF(D9="",0,IF(COUNTIF(코드!$K$2:$K$60,D9)&gt;0,1,0))</f>
        <v/>
      </c>
      <c r="E121" s="41">
        <f>IF(E9="",0,IF(COUNTIF(코드!$K$2:$K$60,E9)&gt;0,1,0))</f>
        <v/>
      </c>
      <c r="F121" s="41">
        <f>IF(F9="",0,IF(COUNTIF(코드!$K$2:$K$60,F9)&gt;0,1,0))</f>
        <v/>
      </c>
      <c r="G121" s="41">
        <f>IF(G9="",0,IF(COUNTIF(코드!$K$2:$K$60,G9)&gt;0,1,0))</f>
        <v/>
      </c>
      <c r="H121" s="41">
        <f>IF(H9="",0,IF(COUNTIF(코드!$K$2:$K$60,H9)&gt;0,1,0))</f>
        <v/>
      </c>
      <c r="I121" s="41">
        <f>IF(I9="",0,IF(COUNTIF(코드!$K$2:$K$60,I9)&gt;0,1,0))</f>
        <v/>
      </c>
      <c r="J121" s="41">
        <f>IF(J9="",0,IF(COUNTIF(코드!$K$2:$K$60,J9)&gt;0,1,0))</f>
        <v/>
      </c>
      <c r="K121" s="41">
        <f>IF(K9="",0,IF(COUNTIF(코드!$K$2:$K$60,K9)&gt;0,1,0))</f>
        <v/>
      </c>
      <c r="L121" s="41">
        <f>IF(L9="",0,IF(COUNTIF(코드!$K$2:$K$60,L9)&gt;0,1,0))</f>
        <v/>
      </c>
      <c r="M121" s="41">
        <f>IF(M9="",0,IF(COUNTIF(코드!$K$2:$K$60,M9)&gt;0,1,0))</f>
        <v/>
      </c>
      <c r="N121" s="41">
        <f>IF(N9="",0,IF(COUNTIF(코드!$K$2:$K$60,N9)&gt;0,1,0))</f>
        <v/>
      </c>
      <c r="O121" s="41">
        <f>IF(O9="",0,IF(COUNTIF(코드!$K$2:$K$60,O9)&gt;0,1,0))</f>
        <v/>
      </c>
      <c r="P121" s="41">
        <f>IF(P9="",0,IF(COUNTIF(코드!$K$2:$K$60,P9)&gt;0,1,0))</f>
        <v/>
      </c>
      <c r="Q121" s="41">
        <f>IF(Q9="",0,IF(COUNTIF(코드!$K$2:$K$60,Q9)&gt;0,1,0))</f>
        <v/>
      </c>
      <c r="R121" s="41">
        <f>IF(R9="",0,IF(COUNTIF(코드!$K$2:$K$60,R9)&gt;0,1,0))</f>
        <v/>
      </c>
      <c r="S121" s="41">
        <f>IF(S9="",0,IF(COUNTIF(코드!$K$2:$K$60,S9)&gt;0,1,0))</f>
        <v/>
      </c>
      <c r="T121" s="41">
        <f>IF(T9="",0,IF(COUNTIF(코드!$K$2:$K$60,T9)&gt;0,1,0))</f>
        <v/>
      </c>
      <c r="U121" s="41">
        <f>IF(U9="",0,IF(COUNTIF(코드!$K$2:$K$60,U9)&gt;0,1,0))</f>
        <v/>
      </c>
      <c r="V121" s="41">
        <f>IF(V9="",0,IF(COUNTIF(코드!$K$2:$K$60,V9)&gt;0,1,0))</f>
        <v/>
      </c>
      <c r="W121" s="41">
        <f>IF(W9="",0,IF(COUNTIF(코드!$K$2:$K$60,W9)&gt;0,1,0))</f>
        <v/>
      </c>
      <c r="X121" s="41">
        <f>IF(X9="",0,IF(COUNTIF(코드!$K$2:$K$60,X9)&gt;0,1,0))</f>
        <v/>
      </c>
      <c r="Y121" s="41">
        <f>IF(Y9="",0,IF(COUNTIF(코드!$K$2:$K$60,Y9)&gt;0,1,0))</f>
        <v/>
      </c>
      <c r="Z121" s="41">
        <f>IF(Z9="",0,IF(COUNTIF(코드!$K$2:$K$60,Z9)&gt;0,1,0))</f>
        <v/>
      </c>
      <c r="AA121" s="41">
        <f>IF(AA9="",0,IF(COUNTIF(코드!$K$2:$K$60,AA9)&gt;0,1,0))</f>
        <v/>
      </c>
      <c r="AB121" s="41">
        <f>IF(AB9="",0,IF(COUNTIF(코드!$K$2:$K$60,AB9)&gt;0,1,0))</f>
        <v/>
      </c>
      <c r="AC121" s="41">
        <f>IF(AC9="",0,IF(COUNTIF(코드!$K$2:$K$60,AC9)&gt;0,1,0))</f>
        <v/>
      </c>
      <c r="AD121" s="41">
        <f>IF(AD9="",0,IF(COUNTIF(코드!$K$2:$K$60,AD9)&gt;0,1,0))</f>
        <v/>
      </c>
      <c r="AE121" s="41">
        <f>IF(AE9="",0,IF(COUNTIF(코드!$K$2:$K$60,AE9)&gt;0,1,0))</f>
        <v/>
      </c>
      <c r="AF121" s="41">
        <f>IF(AF9="",0,IF(COUNTIF(코드!$K$2:$K$60,AF9)&gt;0,1,0))</f>
        <v/>
      </c>
      <c r="AG121" s="41">
        <f>IF(AG9="",0,IF(COUNTIF(코드!$K$2:$K$60,AG9)&gt;0,1,0))</f>
        <v/>
      </c>
      <c r="AH121" s="41">
        <f>IF(AH9="",0,IF(COUNTIF(코드!$K$2:$K$60,AH9)&gt;0,1,0))</f>
        <v/>
      </c>
    </row>
    <row r="122">
      <c r="A122" s="15">
        <f>IF(명부!A4="","",명부!A4)</f>
        <v/>
      </c>
      <c r="B122" s="16">
        <f>IF(명부!C4="","",명부!C4)</f>
        <v/>
      </c>
      <c r="C122" s="17">
        <f>IF(명부!E4="","",명부!E4)</f>
        <v/>
      </c>
      <c r="D122" s="41">
        <f>IF(D10="",0,IF(COUNTIF(코드!$K$2:$K$60,D10)&gt;0,1,0))</f>
        <v/>
      </c>
      <c r="E122" s="41">
        <f>IF(E10="",0,IF(COUNTIF(코드!$K$2:$K$60,E10)&gt;0,1,0))</f>
        <v/>
      </c>
      <c r="F122" s="41">
        <f>IF(F10="",0,IF(COUNTIF(코드!$K$2:$K$60,F10)&gt;0,1,0))</f>
        <v/>
      </c>
      <c r="G122" s="41">
        <f>IF(G10="",0,IF(COUNTIF(코드!$K$2:$K$60,G10)&gt;0,1,0))</f>
        <v/>
      </c>
      <c r="H122" s="41">
        <f>IF(H10="",0,IF(COUNTIF(코드!$K$2:$K$60,H10)&gt;0,1,0))</f>
        <v/>
      </c>
      <c r="I122" s="41">
        <f>IF(I10="",0,IF(COUNTIF(코드!$K$2:$K$60,I10)&gt;0,1,0))</f>
        <v/>
      </c>
      <c r="J122" s="41">
        <f>IF(J10="",0,IF(COUNTIF(코드!$K$2:$K$60,J10)&gt;0,1,0))</f>
        <v/>
      </c>
      <c r="K122" s="41">
        <f>IF(K10="",0,IF(COUNTIF(코드!$K$2:$K$60,K10)&gt;0,1,0))</f>
        <v/>
      </c>
      <c r="L122" s="41">
        <f>IF(L10="",0,IF(COUNTIF(코드!$K$2:$K$60,L10)&gt;0,1,0))</f>
        <v/>
      </c>
      <c r="M122" s="41">
        <f>IF(M10="",0,IF(COUNTIF(코드!$K$2:$K$60,M10)&gt;0,1,0))</f>
        <v/>
      </c>
      <c r="N122" s="41">
        <f>IF(N10="",0,IF(COUNTIF(코드!$K$2:$K$60,N10)&gt;0,1,0))</f>
        <v/>
      </c>
      <c r="O122" s="41">
        <f>IF(O10="",0,IF(COUNTIF(코드!$K$2:$K$60,O10)&gt;0,1,0))</f>
        <v/>
      </c>
      <c r="P122" s="41">
        <f>IF(P10="",0,IF(COUNTIF(코드!$K$2:$K$60,P10)&gt;0,1,0))</f>
        <v/>
      </c>
      <c r="Q122" s="41">
        <f>IF(Q10="",0,IF(COUNTIF(코드!$K$2:$K$60,Q10)&gt;0,1,0))</f>
        <v/>
      </c>
      <c r="R122" s="41">
        <f>IF(R10="",0,IF(COUNTIF(코드!$K$2:$K$60,R10)&gt;0,1,0))</f>
        <v/>
      </c>
      <c r="S122" s="41">
        <f>IF(S10="",0,IF(COUNTIF(코드!$K$2:$K$60,S10)&gt;0,1,0))</f>
        <v/>
      </c>
      <c r="T122" s="41">
        <f>IF(T10="",0,IF(COUNTIF(코드!$K$2:$K$60,T10)&gt;0,1,0))</f>
        <v/>
      </c>
      <c r="U122" s="41">
        <f>IF(U10="",0,IF(COUNTIF(코드!$K$2:$K$60,U10)&gt;0,1,0))</f>
        <v/>
      </c>
      <c r="V122" s="41">
        <f>IF(V10="",0,IF(COUNTIF(코드!$K$2:$K$60,V10)&gt;0,1,0))</f>
        <v/>
      </c>
      <c r="W122" s="41">
        <f>IF(W10="",0,IF(COUNTIF(코드!$K$2:$K$60,W10)&gt;0,1,0))</f>
        <v/>
      </c>
      <c r="X122" s="41">
        <f>IF(X10="",0,IF(COUNTIF(코드!$K$2:$K$60,X10)&gt;0,1,0))</f>
        <v/>
      </c>
      <c r="Y122" s="41">
        <f>IF(Y10="",0,IF(COUNTIF(코드!$K$2:$K$60,Y10)&gt;0,1,0))</f>
        <v/>
      </c>
      <c r="Z122" s="41">
        <f>IF(Z10="",0,IF(COUNTIF(코드!$K$2:$K$60,Z10)&gt;0,1,0))</f>
        <v/>
      </c>
      <c r="AA122" s="41">
        <f>IF(AA10="",0,IF(COUNTIF(코드!$K$2:$K$60,AA10)&gt;0,1,0))</f>
        <v/>
      </c>
      <c r="AB122" s="41">
        <f>IF(AB10="",0,IF(COUNTIF(코드!$K$2:$K$60,AB10)&gt;0,1,0))</f>
        <v/>
      </c>
      <c r="AC122" s="41">
        <f>IF(AC10="",0,IF(COUNTIF(코드!$K$2:$K$60,AC10)&gt;0,1,0))</f>
        <v/>
      </c>
      <c r="AD122" s="41">
        <f>IF(AD10="",0,IF(COUNTIF(코드!$K$2:$K$60,AD10)&gt;0,1,0))</f>
        <v/>
      </c>
      <c r="AE122" s="41">
        <f>IF(AE10="",0,IF(COUNTIF(코드!$K$2:$K$60,AE10)&gt;0,1,0))</f>
        <v/>
      </c>
      <c r="AF122" s="41">
        <f>IF(AF10="",0,IF(COUNTIF(코드!$K$2:$K$60,AF10)&gt;0,1,0))</f>
        <v/>
      </c>
      <c r="AG122" s="41">
        <f>IF(AG10="",0,IF(COUNTIF(코드!$K$2:$K$60,AG10)&gt;0,1,0))</f>
        <v/>
      </c>
      <c r="AH122" s="41">
        <f>IF(AH10="",0,IF(COUNTIF(코드!$K$2:$K$60,AH10)&gt;0,1,0))</f>
        <v/>
      </c>
    </row>
    <row r="123">
      <c r="A123" s="15">
        <f>IF(명부!A5="","",명부!A5)</f>
        <v/>
      </c>
      <c r="B123" s="16">
        <f>IF(명부!C5="","",명부!C5)</f>
        <v/>
      </c>
      <c r="C123" s="17">
        <f>IF(명부!E5="","",명부!E5)</f>
        <v/>
      </c>
      <c r="D123" s="41">
        <f>IF(D11="",0,IF(COUNTIF(코드!$K$2:$K$60,D11)&gt;0,1,0))</f>
        <v/>
      </c>
      <c r="E123" s="41">
        <f>IF(E11="",0,IF(COUNTIF(코드!$K$2:$K$60,E11)&gt;0,1,0))</f>
        <v/>
      </c>
      <c r="F123" s="41">
        <f>IF(F11="",0,IF(COUNTIF(코드!$K$2:$K$60,F11)&gt;0,1,0))</f>
        <v/>
      </c>
      <c r="G123" s="41">
        <f>IF(G11="",0,IF(COUNTIF(코드!$K$2:$K$60,G11)&gt;0,1,0))</f>
        <v/>
      </c>
      <c r="H123" s="41">
        <f>IF(H11="",0,IF(COUNTIF(코드!$K$2:$K$60,H11)&gt;0,1,0))</f>
        <v/>
      </c>
      <c r="I123" s="41">
        <f>IF(I11="",0,IF(COUNTIF(코드!$K$2:$K$60,I11)&gt;0,1,0))</f>
        <v/>
      </c>
      <c r="J123" s="41">
        <f>IF(J11="",0,IF(COUNTIF(코드!$K$2:$K$60,J11)&gt;0,1,0))</f>
        <v/>
      </c>
      <c r="K123" s="41">
        <f>IF(K11="",0,IF(COUNTIF(코드!$K$2:$K$60,K11)&gt;0,1,0))</f>
        <v/>
      </c>
      <c r="L123" s="41">
        <f>IF(L11="",0,IF(COUNTIF(코드!$K$2:$K$60,L11)&gt;0,1,0))</f>
        <v/>
      </c>
      <c r="M123" s="41">
        <f>IF(M11="",0,IF(COUNTIF(코드!$K$2:$K$60,M11)&gt;0,1,0))</f>
        <v/>
      </c>
      <c r="N123" s="41">
        <f>IF(N11="",0,IF(COUNTIF(코드!$K$2:$K$60,N11)&gt;0,1,0))</f>
        <v/>
      </c>
      <c r="O123" s="41">
        <f>IF(O11="",0,IF(COUNTIF(코드!$K$2:$K$60,O11)&gt;0,1,0))</f>
        <v/>
      </c>
      <c r="P123" s="41">
        <f>IF(P11="",0,IF(COUNTIF(코드!$K$2:$K$60,P11)&gt;0,1,0))</f>
        <v/>
      </c>
      <c r="Q123" s="41">
        <f>IF(Q11="",0,IF(COUNTIF(코드!$K$2:$K$60,Q11)&gt;0,1,0))</f>
        <v/>
      </c>
      <c r="R123" s="41">
        <f>IF(R11="",0,IF(COUNTIF(코드!$K$2:$K$60,R11)&gt;0,1,0))</f>
        <v/>
      </c>
      <c r="S123" s="41">
        <f>IF(S11="",0,IF(COUNTIF(코드!$K$2:$K$60,S11)&gt;0,1,0))</f>
        <v/>
      </c>
      <c r="T123" s="41">
        <f>IF(T11="",0,IF(COUNTIF(코드!$K$2:$K$60,T11)&gt;0,1,0))</f>
        <v/>
      </c>
      <c r="U123" s="41">
        <f>IF(U11="",0,IF(COUNTIF(코드!$K$2:$K$60,U11)&gt;0,1,0))</f>
        <v/>
      </c>
      <c r="V123" s="41">
        <f>IF(V11="",0,IF(COUNTIF(코드!$K$2:$K$60,V11)&gt;0,1,0))</f>
        <v/>
      </c>
      <c r="W123" s="41">
        <f>IF(W11="",0,IF(COUNTIF(코드!$K$2:$K$60,W11)&gt;0,1,0))</f>
        <v/>
      </c>
      <c r="X123" s="41">
        <f>IF(X11="",0,IF(COUNTIF(코드!$K$2:$K$60,X11)&gt;0,1,0))</f>
        <v/>
      </c>
      <c r="Y123" s="41">
        <f>IF(Y11="",0,IF(COUNTIF(코드!$K$2:$K$60,Y11)&gt;0,1,0))</f>
        <v/>
      </c>
      <c r="Z123" s="41">
        <f>IF(Z11="",0,IF(COUNTIF(코드!$K$2:$K$60,Z11)&gt;0,1,0))</f>
        <v/>
      </c>
      <c r="AA123" s="41">
        <f>IF(AA11="",0,IF(COUNTIF(코드!$K$2:$K$60,AA11)&gt;0,1,0))</f>
        <v/>
      </c>
      <c r="AB123" s="41">
        <f>IF(AB11="",0,IF(COUNTIF(코드!$K$2:$K$60,AB11)&gt;0,1,0))</f>
        <v/>
      </c>
      <c r="AC123" s="41">
        <f>IF(AC11="",0,IF(COUNTIF(코드!$K$2:$K$60,AC11)&gt;0,1,0))</f>
        <v/>
      </c>
      <c r="AD123" s="41">
        <f>IF(AD11="",0,IF(COUNTIF(코드!$K$2:$K$60,AD11)&gt;0,1,0))</f>
        <v/>
      </c>
      <c r="AE123" s="41">
        <f>IF(AE11="",0,IF(COUNTIF(코드!$K$2:$K$60,AE11)&gt;0,1,0))</f>
        <v/>
      </c>
      <c r="AF123" s="41">
        <f>IF(AF11="",0,IF(COUNTIF(코드!$K$2:$K$60,AF11)&gt;0,1,0))</f>
        <v/>
      </c>
      <c r="AG123" s="41">
        <f>IF(AG11="",0,IF(COUNTIF(코드!$K$2:$K$60,AG11)&gt;0,1,0))</f>
        <v/>
      </c>
      <c r="AH123" s="41">
        <f>IF(AH11="",0,IF(COUNTIF(코드!$K$2:$K$60,AH11)&gt;0,1,0))</f>
        <v/>
      </c>
    </row>
    <row r="124">
      <c r="A124" s="15">
        <f>IF(명부!A6="","",명부!A6)</f>
        <v/>
      </c>
      <c r="B124" s="16">
        <f>IF(명부!C6="","",명부!C6)</f>
        <v/>
      </c>
      <c r="C124" s="17">
        <f>IF(명부!E6="","",명부!E6)</f>
        <v/>
      </c>
      <c r="D124" s="41">
        <f>IF(D12="",0,IF(COUNTIF(코드!$K$2:$K$60,D12)&gt;0,1,0))</f>
        <v/>
      </c>
      <c r="E124" s="41">
        <f>IF(E12="",0,IF(COUNTIF(코드!$K$2:$K$60,E12)&gt;0,1,0))</f>
        <v/>
      </c>
      <c r="F124" s="41">
        <f>IF(F12="",0,IF(COUNTIF(코드!$K$2:$K$60,F12)&gt;0,1,0))</f>
        <v/>
      </c>
      <c r="G124" s="41">
        <f>IF(G12="",0,IF(COUNTIF(코드!$K$2:$K$60,G12)&gt;0,1,0))</f>
        <v/>
      </c>
      <c r="H124" s="41">
        <f>IF(H12="",0,IF(COUNTIF(코드!$K$2:$K$60,H12)&gt;0,1,0))</f>
        <v/>
      </c>
      <c r="I124" s="41">
        <f>IF(I12="",0,IF(COUNTIF(코드!$K$2:$K$60,I12)&gt;0,1,0))</f>
        <v/>
      </c>
      <c r="J124" s="41">
        <f>IF(J12="",0,IF(COUNTIF(코드!$K$2:$K$60,J12)&gt;0,1,0))</f>
        <v/>
      </c>
      <c r="K124" s="41">
        <f>IF(K12="",0,IF(COUNTIF(코드!$K$2:$K$60,K12)&gt;0,1,0))</f>
        <v/>
      </c>
      <c r="L124" s="41">
        <f>IF(L12="",0,IF(COUNTIF(코드!$K$2:$K$60,L12)&gt;0,1,0))</f>
        <v/>
      </c>
      <c r="M124" s="41">
        <f>IF(M12="",0,IF(COUNTIF(코드!$K$2:$K$60,M12)&gt;0,1,0))</f>
        <v/>
      </c>
      <c r="N124" s="41">
        <f>IF(N12="",0,IF(COUNTIF(코드!$K$2:$K$60,N12)&gt;0,1,0))</f>
        <v/>
      </c>
      <c r="O124" s="41">
        <f>IF(O12="",0,IF(COUNTIF(코드!$K$2:$K$60,O12)&gt;0,1,0))</f>
        <v/>
      </c>
      <c r="P124" s="41">
        <f>IF(P12="",0,IF(COUNTIF(코드!$K$2:$K$60,P12)&gt;0,1,0))</f>
        <v/>
      </c>
      <c r="Q124" s="41">
        <f>IF(Q12="",0,IF(COUNTIF(코드!$K$2:$K$60,Q12)&gt;0,1,0))</f>
        <v/>
      </c>
      <c r="R124" s="41">
        <f>IF(R12="",0,IF(COUNTIF(코드!$K$2:$K$60,R12)&gt;0,1,0))</f>
        <v/>
      </c>
      <c r="S124" s="41">
        <f>IF(S12="",0,IF(COUNTIF(코드!$K$2:$K$60,S12)&gt;0,1,0))</f>
        <v/>
      </c>
      <c r="T124" s="41">
        <f>IF(T12="",0,IF(COUNTIF(코드!$K$2:$K$60,T12)&gt;0,1,0))</f>
        <v/>
      </c>
      <c r="U124" s="41">
        <f>IF(U12="",0,IF(COUNTIF(코드!$K$2:$K$60,U12)&gt;0,1,0))</f>
        <v/>
      </c>
      <c r="V124" s="41">
        <f>IF(V12="",0,IF(COUNTIF(코드!$K$2:$K$60,V12)&gt;0,1,0))</f>
        <v/>
      </c>
      <c r="W124" s="41">
        <f>IF(W12="",0,IF(COUNTIF(코드!$K$2:$K$60,W12)&gt;0,1,0))</f>
        <v/>
      </c>
      <c r="X124" s="41">
        <f>IF(X12="",0,IF(COUNTIF(코드!$K$2:$K$60,X12)&gt;0,1,0))</f>
        <v/>
      </c>
      <c r="Y124" s="41">
        <f>IF(Y12="",0,IF(COUNTIF(코드!$K$2:$K$60,Y12)&gt;0,1,0))</f>
        <v/>
      </c>
      <c r="Z124" s="41">
        <f>IF(Z12="",0,IF(COUNTIF(코드!$K$2:$K$60,Z12)&gt;0,1,0))</f>
        <v/>
      </c>
      <c r="AA124" s="41">
        <f>IF(AA12="",0,IF(COUNTIF(코드!$K$2:$K$60,AA12)&gt;0,1,0))</f>
        <v/>
      </c>
      <c r="AB124" s="41">
        <f>IF(AB12="",0,IF(COUNTIF(코드!$K$2:$K$60,AB12)&gt;0,1,0))</f>
        <v/>
      </c>
      <c r="AC124" s="41">
        <f>IF(AC12="",0,IF(COUNTIF(코드!$K$2:$K$60,AC12)&gt;0,1,0))</f>
        <v/>
      </c>
      <c r="AD124" s="41">
        <f>IF(AD12="",0,IF(COUNTIF(코드!$K$2:$K$60,AD12)&gt;0,1,0))</f>
        <v/>
      </c>
      <c r="AE124" s="41">
        <f>IF(AE12="",0,IF(COUNTIF(코드!$K$2:$K$60,AE12)&gt;0,1,0))</f>
        <v/>
      </c>
      <c r="AF124" s="41">
        <f>IF(AF12="",0,IF(COUNTIF(코드!$K$2:$K$60,AF12)&gt;0,1,0))</f>
        <v/>
      </c>
      <c r="AG124" s="41">
        <f>IF(AG12="",0,IF(COUNTIF(코드!$K$2:$K$60,AG12)&gt;0,1,0))</f>
        <v/>
      </c>
      <c r="AH124" s="41">
        <f>IF(AH12="",0,IF(COUNTIF(코드!$K$2:$K$60,AH12)&gt;0,1,0))</f>
        <v/>
      </c>
    </row>
    <row r="125">
      <c r="A125" s="15">
        <f>IF(명부!A7="","",명부!A7)</f>
        <v/>
      </c>
      <c r="B125" s="16">
        <f>IF(명부!C7="","",명부!C7)</f>
        <v/>
      </c>
      <c r="C125" s="17">
        <f>IF(명부!E7="","",명부!E7)</f>
        <v/>
      </c>
      <c r="D125" s="41">
        <f>IF(D13="",0,IF(COUNTIF(코드!$K$2:$K$60,D13)&gt;0,1,0))</f>
        <v/>
      </c>
      <c r="E125" s="41">
        <f>IF(E13="",0,IF(COUNTIF(코드!$K$2:$K$60,E13)&gt;0,1,0))</f>
        <v/>
      </c>
      <c r="F125" s="41">
        <f>IF(F13="",0,IF(COUNTIF(코드!$K$2:$K$60,F13)&gt;0,1,0))</f>
        <v/>
      </c>
      <c r="G125" s="41">
        <f>IF(G13="",0,IF(COUNTIF(코드!$K$2:$K$60,G13)&gt;0,1,0))</f>
        <v/>
      </c>
      <c r="H125" s="41">
        <f>IF(H13="",0,IF(COUNTIF(코드!$K$2:$K$60,H13)&gt;0,1,0))</f>
        <v/>
      </c>
      <c r="I125" s="41">
        <f>IF(I13="",0,IF(COUNTIF(코드!$K$2:$K$60,I13)&gt;0,1,0))</f>
        <v/>
      </c>
      <c r="J125" s="41">
        <f>IF(J13="",0,IF(COUNTIF(코드!$K$2:$K$60,J13)&gt;0,1,0))</f>
        <v/>
      </c>
      <c r="K125" s="41">
        <f>IF(K13="",0,IF(COUNTIF(코드!$K$2:$K$60,K13)&gt;0,1,0))</f>
        <v/>
      </c>
      <c r="L125" s="41">
        <f>IF(L13="",0,IF(COUNTIF(코드!$K$2:$K$60,L13)&gt;0,1,0))</f>
        <v/>
      </c>
      <c r="M125" s="41">
        <f>IF(M13="",0,IF(COUNTIF(코드!$K$2:$K$60,M13)&gt;0,1,0))</f>
        <v/>
      </c>
      <c r="N125" s="41">
        <f>IF(N13="",0,IF(COUNTIF(코드!$K$2:$K$60,N13)&gt;0,1,0))</f>
        <v/>
      </c>
      <c r="O125" s="41">
        <f>IF(O13="",0,IF(COUNTIF(코드!$K$2:$K$60,O13)&gt;0,1,0))</f>
        <v/>
      </c>
      <c r="P125" s="41">
        <f>IF(P13="",0,IF(COUNTIF(코드!$K$2:$K$60,P13)&gt;0,1,0))</f>
        <v/>
      </c>
      <c r="Q125" s="41">
        <f>IF(Q13="",0,IF(COUNTIF(코드!$K$2:$K$60,Q13)&gt;0,1,0))</f>
        <v/>
      </c>
      <c r="R125" s="41">
        <f>IF(R13="",0,IF(COUNTIF(코드!$K$2:$K$60,R13)&gt;0,1,0))</f>
        <v/>
      </c>
      <c r="S125" s="41">
        <f>IF(S13="",0,IF(COUNTIF(코드!$K$2:$K$60,S13)&gt;0,1,0))</f>
        <v/>
      </c>
      <c r="T125" s="41">
        <f>IF(T13="",0,IF(COUNTIF(코드!$K$2:$K$60,T13)&gt;0,1,0))</f>
        <v/>
      </c>
      <c r="U125" s="41">
        <f>IF(U13="",0,IF(COUNTIF(코드!$K$2:$K$60,U13)&gt;0,1,0))</f>
        <v/>
      </c>
      <c r="V125" s="41">
        <f>IF(V13="",0,IF(COUNTIF(코드!$K$2:$K$60,V13)&gt;0,1,0))</f>
        <v/>
      </c>
      <c r="W125" s="41">
        <f>IF(W13="",0,IF(COUNTIF(코드!$K$2:$K$60,W13)&gt;0,1,0))</f>
        <v/>
      </c>
      <c r="X125" s="41">
        <f>IF(X13="",0,IF(COUNTIF(코드!$K$2:$K$60,X13)&gt;0,1,0))</f>
        <v/>
      </c>
      <c r="Y125" s="41">
        <f>IF(Y13="",0,IF(COUNTIF(코드!$K$2:$K$60,Y13)&gt;0,1,0))</f>
        <v/>
      </c>
      <c r="Z125" s="41">
        <f>IF(Z13="",0,IF(COUNTIF(코드!$K$2:$K$60,Z13)&gt;0,1,0))</f>
        <v/>
      </c>
      <c r="AA125" s="41">
        <f>IF(AA13="",0,IF(COUNTIF(코드!$K$2:$K$60,AA13)&gt;0,1,0))</f>
        <v/>
      </c>
      <c r="AB125" s="41">
        <f>IF(AB13="",0,IF(COUNTIF(코드!$K$2:$K$60,AB13)&gt;0,1,0))</f>
        <v/>
      </c>
      <c r="AC125" s="41">
        <f>IF(AC13="",0,IF(COUNTIF(코드!$K$2:$K$60,AC13)&gt;0,1,0))</f>
        <v/>
      </c>
      <c r="AD125" s="41">
        <f>IF(AD13="",0,IF(COUNTIF(코드!$K$2:$K$60,AD13)&gt;0,1,0))</f>
        <v/>
      </c>
      <c r="AE125" s="41">
        <f>IF(AE13="",0,IF(COUNTIF(코드!$K$2:$K$60,AE13)&gt;0,1,0))</f>
        <v/>
      </c>
      <c r="AF125" s="41">
        <f>IF(AF13="",0,IF(COUNTIF(코드!$K$2:$K$60,AF13)&gt;0,1,0))</f>
        <v/>
      </c>
      <c r="AG125" s="41">
        <f>IF(AG13="",0,IF(COUNTIF(코드!$K$2:$K$60,AG13)&gt;0,1,0))</f>
        <v/>
      </c>
      <c r="AH125" s="41">
        <f>IF(AH13="",0,IF(COUNTIF(코드!$K$2:$K$60,AH13)&gt;0,1,0))</f>
        <v/>
      </c>
    </row>
    <row r="126">
      <c r="A126" s="15">
        <f>IF(명부!A8="","",명부!A8)</f>
        <v/>
      </c>
      <c r="B126" s="16">
        <f>IF(명부!C8="","",명부!C8)</f>
        <v/>
      </c>
      <c r="C126" s="17">
        <f>IF(명부!E8="","",명부!E8)</f>
        <v/>
      </c>
      <c r="D126" s="41">
        <f>IF(D14="",0,IF(COUNTIF(코드!$K$2:$K$60,D14)&gt;0,1,0))</f>
        <v/>
      </c>
      <c r="E126" s="41">
        <f>IF(E14="",0,IF(COUNTIF(코드!$K$2:$K$60,E14)&gt;0,1,0))</f>
        <v/>
      </c>
      <c r="F126" s="41">
        <f>IF(F14="",0,IF(COUNTIF(코드!$K$2:$K$60,F14)&gt;0,1,0))</f>
        <v/>
      </c>
      <c r="G126" s="41">
        <f>IF(G14="",0,IF(COUNTIF(코드!$K$2:$K$60,G14)&gt;0,1,0))</f>
        <v/>
      </c>
      <c r="H126" s="41">
        <f>IF(H14="",0,IF(COUNTIF(코드!$K$2:$K$60,H14)&gt;0,1,0))</f>
        <v/>
      </c>
      <c r="I126" s="41">
        <f>IF(I14="",0,IF(COUNTIF(코드!$K$2:$K$60,I14)&gt;0,1,0))</f>
        <v/>
      </c>
      <c r="J126" s="41">
        <f>IF(J14="",0,IF(COUNTIF(코드!$K$2:$K$60,J14)&gt;0,1,0))</f>
        <v/>
      </c>
      <c r="K126" s="41">
        <f>IF(K14="",0,IF(COUNTIF(코드!$K$2:$K$60,K14)&gt;0,1,0))</f>
        <v/>
      </c>
      <c r="L126" s="41">
        <f>IF(L14="",0,IF(COUNTIF(코드!$K$2:$K$60,L14)&gt;0,1,0))</f>
        <v/>
      </c>
      <c r="M126" s="41">
        <f>IF(M14="",0,IF(COUNTIF(코드!$K$2:$K$60,M14)&gt;0,1,0))</f>
        <v/>
      </c>
      <c r="N126" s="41">
        <f>IF(N14="",0,IF(COUNTIF(코드!$K$2:$K$60,N14)&gt;0,1,0))</f>
        <v/>
      </c>
      <c r="O126" s="41">
        <f>IF(O14="",0,IF(COUNTIF(코드!$K$2:$K$60,O14)&gt;0,1,0))</f>
        <v/>
      </c>
      <c r="P126" s="41">
        <f>IF(P14="",0,IF(COUNTIF(코드!$K$2:$K$60,P14)&gt;0,1,0))</f>
        <v/>
      </c>
      <c r="Q126" s="41">
        <f>IF(Q14="",0,IF(COUNTIF(코드!$K$2:$K$60,Q14)&gt;0,1,0))</f>
        <v/>
      </c>
      <c r="R126" s="41">
        <f>IF(R14="",0,IF(COUNTIF(코드!$K$2:$K$60,R14)&gt;0,1,0))</f>
        <v/>
      </c>
      <c r="S126" s="41">
        <f>IF(S14="",0,IF(COUNTIF(코드!$K$2:$K$60,S14)&gt;0,1,0))</f>
        <v/>
      </c>
      <c r="T126" s="41">
        <f>IF(T14="",0,IF(COUNTIF(코드!$K$2:$K$60,T14)&gt;0,1,0))</f>
        <v/>
      </c>
      <c r="U126" s="41">
        <f>IF(U14="",0,IF(COUNTIF(코드!$K$2:$K$60,U14)&gt;0,1,0))</f>
        <v/>
      </c>
      <c r="V126" s="41">
        <f>IF(V14="",0,IF(COUNTIF(코드!$K$2:$K$60,V14)&gt;0,1,0))</f>
        <v/>
      </c>
      <c r="W126" s="41">
        <f>IF(W14="",0,IF(COUNTIF(코드!$K$2:$K$60,W14)&gt;0,1,0))</f>
        <v/>
      </c>
      <c r="X126" s="41">
        <f>IF(X14="",0,IF(COUNTIF(코드!$K$2:$K$60,X14)&gt;0,1,0))</f>
        <v/>
      </c>
      <c r="Y126" s="41">
        <f>IF(Y14="",0,IF(COUNTIF(코드!$K$2:$K$60,Y14)&gt;0,1,0))</f>
        <v/>
      </c>
      <c r="Z126" s="41">
        <f>IF(Z14="",0,IF(COUNTIF(코드!$K$2:$K$60,Z14)&gt;0,1,0))</f>
        <v/>
      </c>
      <c r="AA126" s="41">
        <f>IF(AA14="",0,IF(COUNTIF(코드!$K$2:$K$60,AA14)&gt;0,1,0))</f>
        <v/>
      </c>
      <c r="AB126" s="41">
        <f>IF(AB14="",0,IF(COUNTIF(코드!$K$2:$K$60,AB14)&gt;0,1,0))</f>
        <v/>
      </c>
      <c r="AC126" s="41">
        <f>IF(AC14="",0,IF(COUNTIF(코드!$K$2:$K$60,AC14)&gt;0,1,0))</f>
        <v/>
      </c>
      <c r="AD126" s="41">
        <f>IF(AD14="",0,IF(COUNTIF(코드!$K$2:$K$60,AD14)&gt;0,1,0))</f>
        <v/>
      </c>
      <c r="AE126" s="41">
        <f>IF(AE14="",0,IF(COUNTIF(코드!$K$2:$K$60,AE14)&gt;0,1,0))</f>
        <v/>
      </c>
      <c r="AF126" s="41">
        <f>IF(AF14="",0,IF(COUNTIF(코드!$K$2:$K$60,AF14)&gt;0,1,0))</f>
        <v/>
      </c>
      <c r="AG126" s="41">
        <f>IF(AG14="",0,IF(COUNTIF(코드!$K$2:$K$60,AG14)&gt;0,1,0))</f>
        <v/>
      </c>
      <c r="AH126" s="41">
        <f>IF(AH14="",0,IF(COUNTIF(코드!$K$2:$K$60,AH14)&gt;0,1,0))</f>
        <v/>
      </c>
    </row>
    <row r="127">
      <c r="A127" s="15">
        <f>IF(명부!A9="","",명부!A9)</f>
        <v/>
      </c>
      <c r="B127" s="16">
        <f>IF(명부!C9="","",명부!C9)</f>
        <v/>
      </c>
      <c r="C127" s="17">
        <f>IF(명부!E9="","",명부!E9)</f>
        <v/>
      </c>
      <c r="D127" s="41">
        <f>IF(D15="",0,IF(COUNTIF(코드!$K$2:$K$60,D15)&gt;0,1,0))</f>
        <v/>
      </c>
      <c r="E127" s="41">
        <f>IF(E15="",0,IF(COUNTIF(코드!$K$2:$K$60,E15)&gt;0,1,0))</f>
        <v/>
      </c>
      <c r="F127" s="41">
        <f>IF(F15="",0,IF(COUNTIF(코드!$K$2:$K$60,F15)&gt;0,1,0))</f>
        <v/>
      </c>
      <c r="G127" s="41">
        <f>IF(G15="",0,IF(COUNTIF(코드!$K$2:$K$60,G15)&gt;0,1,0))</f>
        <v/>
      </c>
      <c r="H127" s="41">
        <f>IF(H15="",0,IF(COUNTIF(코드!$K$2:$K$60,H15)&gt;0,1,0))</f>
        <v/>
      </c>
      <c r="I127" s="41">
        <f>IF(I15="",0,IF(COUNTIF(코드!$K$2:$K$60,I15)&gt;0,1,0))</f>
        <v/>
      </c>
      <c r="J127" s="41">
        <f>IF(J15="",0,IF(COUNTIF(코드!$K$2:$K$60,J15)&gt;0,1,0))</f>
        <v/>
      </c>
      <c r="K127" s="41">
        <f>IF(K15="",0,IF(COUNTIF(코드!$K$2:$K$60,K15)&gt;0,1,0))</f>
        <v/>
      </c>
      <c r="L127" s="41">
        <f>IF(L15="",0,IF(COUNTIF(코드!$K$2:$K$60,L15)&gt;0,1,0))</f>
        <v/>
      </c>
      <c r="M127" s="41">
        <f>IF(M15="",0,IF(COUNTIF(코드!$K$2:$K$60,M15)&gt;0,1,0))</f>
        <v/>
      </c>
      <c r="N127" s="41">
        <f>IF(N15="",0,IF(COUNTIF(코드!$K$2:$K$60,N15)&gt;0,1,0))</f>
        <v/>
      </c>
      <c r="O127" s="41">
        <f>IF(O15="",0,IF(COUNTIF(코드!$K$2:$K$60,O15)&gt;0,1,0))</f>
        <v/>
      </c>
      <c r="P127" s="41">
        <f>IF(P15="",0,IF(COUNTIF(코드!$K$2:$K$60,P15)&gt;0,1,0))</f>
        <v/>
      </c>
      <c r="Q127" s="41">
        <f>IF(Q15="",0,IF(COUNTIF(코드!$K$2:$K$60,Q15)&gt;0,1,0))</f>
        <v/>
      </c>
      <c r="R127" s="41">
        <f>IF(R15="",0,IF(COUNTIF(코드!$K$2:$K$60,R15)&gt;0,1,0))</f>
        <v/>
      </c>
      <c r="S127" s="41">
        <f>IF(S15="",0,IF(COUNTIF(코드!$K$2:$K$60,S15)&gt;0,1,0))</f>
        <v/>
      </c>
      <c r="T127" s="41">
        <f>IF(T15="",0,IF(COUNTIF(코드!$K$2:$K$60,T15)&gt;0,1,0))</f>
        <v/>
      </c>
      <c r="U127" s="41">
        <f>IF(U15="",0,IF(COUNTIF(코드!$K$2:$K$60,U15)&gt;0,1,0))</f>
        <v/>
      </c>
      <c r="V127" s="41">
        <f>IF(V15="",0,IF(COUNTIF(코드!$K$2:$K$60,V15)&gt;0,1,0))</f>
        <v/>
      </c>
      <c r="W127" s="41">
        <f>IF(W15="",0,IF(COUNTIF(코드!$K$2:$K$60,W15)&gt;0,1,0))</f>
        <v/>
      </c>
      <c r="X127" s="41">
        <f>IF(X15="",0,IF(COUNTIF(코드!$K$2:$K$60,X15)&gt;0,1,0))</f>
        <v/>
      </c>
      <c r="Y127" s="41">
        <f>IF(Y15="",0,IF(COUNTIF(코드!$K$2:$K$60,Y15)&gt;0,1,0))</f>
        <v/>
      </c>
      <c r="Z127" s="41">
        <f>IF(Z15="",0,IF(COUNTIF(코드!$K$2:$K$60,Z15)&gt;0,1,0))</f>
        <v/>
      </c>
      <c r="AA127" s="41">
        <f>IF(AA15="",0,IF(COUNTIF(코드!$K$2:$K$60,AA15)&gt;0,1,0))</f>
        <v/>
      </c>
      <c r="AB127" s="41">
        <f>IF(AB15="",0,IF(COUNTIF(코드!$K$2:$K$60,AB15)&gt;0,1,0))</f>
        <v/>
      </c>
      <c r="AC127" s="41">
        <f>IF(AC15="",0,IF(COUNTIF(코드!$K$2:$K$60,AC15)&gt;0,1,0))</f>
        <v/>
      </c>
      <c r="AD127" s="41">
        <f>IF(AD15="",0,IF(COUNTIF(코드!$K$2:$K$60,AD15)&gt;0,1,0))</f>
        <v/>
      </c>
      <c r="AE127" s="41">
        <f>IF(AE15="",0,IF(COUNTIF(코드!$K$2:$K$60,AE15)&gt;0,1,0))</f>
        <v/>
      </c>
      <c r="AF127" s="41">
        <f>IF(AF15="",0,IF(COUNTIF(코드!$K$2:$K$60,AF15)&gt;0,1,0))</f>
        <v/>
      </c>
      <c r="AG127" s="41">
        <f>IF(AG15="",0,IF(COUNTIF(코드!$K$2:$K$60,AG15)&gt;0,1,0))</f>
        <v/>
      </c>
      <c r="AH127" s="41">
        <f>IF(AH15="",0,IF(COUNTIF(코드!$K$2:$K$60,AH15)&gt;0,1,0))</f>
        <v/>
      </c>
    </row>
    <row r="128">
      <c r="A128" s="15">
        <f>IF(명부!A10="","",명부!A10)</f>
        <v/>
      </c>
      <c r="B128" s="16">
        <f>IF(명부!C10="","",명부!C10)</f>
        <v/>
      </c>
      <c r="C128" s="17">
        <f>IF(명부!E10="","",명부!E10)</f>
        <v/>
      </c>
      <c r="D128" s="41">
        <f>IF(D16="",0,IF(COUNTIF(코드!$K$2:$K$60,D16)&gt;0,1,0))</f>
        <v/>
      </c>
      <c r="E128" s="41">
        <f>IF(E16="",0,IF(COUNTIF(코드!$K$2:$K$60,E16)&gt;0,1,0))</f>
        <v/>
      </c>
      <c r="F128" s="41">
        <f>IF(F16="",0,IF(COUNTIF(코드!$K$2:$K$60,F16)&gt;0,1,0))</f>
        <v/>
      </c>
      <c r="G128" s="41">
        <f>IF(G16="",0,IF(COUNTIF(코드!$K$2:$K$60,G16)&gt;0,1,0))</f>
        <v/>
      </c>
      <c r="H128" s="41">
        <f>IF(H16="",0,IF(COUNTIF(코드!$K$2:$K$60,H16)&gt;0,1,0))</f>
        <v/>
      </c>
      <c r="I128" s="41">
        <f>IF(I16="",0,IF(COUNTIF(코드!$K$2:$K$60,I16)&gt;0,1,0))</f>
        <v/>
      </c>
      <c r="J128" s="41">
        <f>IF(J16="",0,IF(COUNTIF(코드!$K$2:$K$60,J16)&gt;0,1,0))</f>
        <v/>
      </c>
      <c r="K128" s="41">
        <f>IF(K16="",0,IF(COUNTIF(코드!$K$2:$K$60,K16)&gt;0,1,0))</f>
        <v/>
      </c>
      <c r="L128" s="41">
        <f>IF(L16="",0,IF(COUNTIF(코드!$K$2:$K$60,L16)&gt;0,1,0))</f>
        <v/>
      </c>
      <c r="M128" s="41">
        <f>IF(M16="",0,IF(COUNTIF(코드!$K$2:$K$60,M16)&gt;0,1,0))</f>
        <v/>
      </c>
      <c r="N128" s="41">
        <f>IF(N16="",0,IF(COUNTIF(코드!$K$2:$K$60,N16)&gt;0,1,0))</f>
        <v/>
      </c>
      <c r="O128" s="41">
        <f>IF(O16="",0,IF(COUNTIF(코드!$K$2:$K$60,O16)&gt;0,1,0))</f>
        <v/>
      </c>
      <c r="P128" s="41">
        <f>IF(P16="",0,IF(COUNTIF(코드!$K$2:$K$60,P16)&gt;0,1,0))</f>
        <v/>
      </c>
      <c r="Q128" s="41">
        <f>IF(Q16="",0,IF(COUNTIF(코드!$K$2:$K$60,Q16)&gt;0,1,0))</f>
        <v/>
      </c>
      <c r="R128" s="41">
        <f>IF(R16="",0,IF(COUNTIF(코드!$K$2:$K$60,R16)&gt;0,1,0))</f>
        <v/>
      </c>
      <c r="S128" s="41">
        <f>IF(S16="",0,IF(COUNTIF(코드!$K$2:$K$60,S16)&gt;0,1,0))</f>
        <v/>
      </c>
      <c r="T128" s="41">
        <f>IF(T16="",0,IF(COUNTIF(코드!$K$2:$K$60,T16)&gt;0,1,0))</f>
        <v/>
      </c>
      <c r="U128" s="41">
        <f>IF(U16="",0,IF(COUNTIF(코드!$K$2:$K$60,U16)&gt;0,1,0))</f>
        <v/>
      </c>
      <c r="V128" s="41">
        <f>IF(V16="",0,IF(COUNTIF(코드!$K$2:$K$60,V16)&gt;0,1,0))</f>
        <v/>
      </c>
      <c r="W128" s="41">
        <f>IF(W16="",0,IF(COUNTIF(코드!$K$2:$K$60,W16)&gt;0,1,0))</f>
        <v/>
      </c>
      <c r="X128" s="41">
        <f>IF(X16="",0,IF(COUNTIF(코드!$K$2:$K$60,X16)&gt;0,1,0))</f>
        <v/>
      </c>
      <c r="Y128" s="41">
        <f>IF(Y16="",0,IF(COUNTIF(코드!$K$2:$K$60,Y16)&gt;0,1,0))</f>
        <v/>
      </c>
      <c r="Z128" s="41">
        <f>IF(Z16="",0,IF(COUNTIF(코드!$K$2:$K$60,Z16)&gt;0,1,0))</f>
        <v/>
      </c>
      <c r="AA128" s="41">
        <f>IF(AA16="",0,IF(COUNTIF(코드!$K$2:$K$60,AA16)&gt;0,1,0))</f>
        <v/>
      </c>
      <c r="AB128" s="41">
        <f>IF(AB16="",0,IF(COUNTIF(코드!$K$2:$K$60,AB16)&gt;0,1,0))</f>
        <v/>
      </c>
      <c r="AC128" s="41">
        <f>IF(AC16="",0,IF(COUNTIF(코드!$K$2:$K$60,AC16)&gt;0,1,0))</f>
        <v/>
      </c>
      <c r="AD128" s="41">
        <f>IF(AD16="",0,IF(COUNTIF(코드!$K$2:$K$60,AD16)&gt;0,1,0))</f>
        <v/>
      </c>
      <c r="AE128" s="41">
        <f>IF(AE16="",0,IF(COUNTIF(코드!$K$2:$K$60,AE16)&gt;0,1,0))</f>
        <v/>
      </c>
      <c r="AF128" s="41">
        <f>IF(AF16="",0,IF(COUNTIF(코드!$K$2:$K$60,AF16)&gt;0,1,0))</f>
        <v/>
      </c>
      <c r="AG128" s="41">
        <f>IF(AG16="",0,IF(COUNTIF(코드!$K$2:$K$60,AG16)&gt;0,1,0))</f>
        <v/>
      </c>
      <c r="AH128" s="41">
        <f>IF(AH16="",0,IF(COUNTIF(코드!$K$2:$K$60,AH16)&gt;0,1,0))</f>
        <v/>
      </c>
    </row>
    <row r="129">
      <c r="A129" s="15">
        <f>IF(명부!A11="","",명부!A11)</f>
        <v/>
      </c>
      <c r="B129" s="16">
        <f>IF(명부!C11="","",명부!C11)</f>
        <v/>
      </c>
      <c r="C129" s="17">
        <f>IF(명부!E11="","",명부!E11)</f>
        <v/>
      </c>
      <c r="D129" s="41">
        <f>IF(D17="",0,IF(COUNTIF(코드!$K$2:$K$60,D17)&gt;0,1,0))</f>
        <v/>
      </c>
      <c r="E129" s="41">
        <f>IF(E17="",0,IF(COUNTIF(코드!$K$2:$K$60,E17)&gt;0,1,0))</f>
        <v/>
      </c>
      <c r="F129" s="41">
        <f>IF(F17="",0,IF(COUNTIF(코드!$K$2:$K$60,F17)&gt;0,1,0))</f>
        <v/>
      </c>
      <c r="G129" s="41">
        <f>IF(G17="",0,IF(COUNTIF(코드!$K$2:$K$60,G17)&gt;0,1,0))</f>
        <v/>
      </c>
      <c r="H129" s="41">
        <f>IF(H17="",0,IF(COUNTIF(코드!$K$2:$K$60,H17)&gt;0,1,0))</f>
        <v/>
      </c>
      <c r="I129" s="41">
        <f>IF(I17="",0,IF(COUNTIF(코드!$K$2:$K$60,I17)&gt;0,1,0))</f>
        <v/>
      </c>
      <c r="J129" s="41">
        <f>IF(J17="",0,IF(COUNTIF(코드!$K$2:$K$60,J17)&gt;0,1,0))</f>
        <v/>
      </c>
      <c r="K129" s="41">
        <f>IF(K17="",0,IF(COUNTIF(코드!$K$2:$K$60,K17)&gt;0,1,0))</f>
        <v/>
      </c>
      <c r="L129" s="41">
        <f>IF(L17="",0,IF(COUNTIF(코드!$K$2:$K$60,L17)&gt;0,1,0))</f>
        <v/>
      </c>
      <c r="M129" s="41">
        <f>IF(M17="",0,IF(COUNTIF(코드!$K$2:$K$60,M17)&gt;0,1,0))</f>
        <v/>
      </c>
      <c r="N129" s="41">
        <f>IF(N17="",0,IF(COUNTIF(코드!$K$2:$K$60,N17)&gt;0,1,0))</f>
        <v/>
      </c>
      <c r="O129" s="41">
        <f>IF(O17="",0,IF(COUNTIF(코드!$K$2:$K$60,O17)&gt;0,1,0))</f>
        <v/>
      </c>
      <c r="P129" s="41">
        <f>IF(P17="",0,IF(COUNTIF(코드!$K$2:$K$60,P17)&gt;0,1,0))</f>
        <v/>
      </c>
      <c r="Q129" s="41">
        <f>IF(Q17="",0,IF(COUNTIF(코드!$K$2:$K$60,Q17)&gt;0,1,0))</f>
        <v/>
      </c>
      <c r="R129" s="41">
        <f>IF(R17="",0,IF(COUNTIF(코드!$K$2:$K$60,R17)&gt;0,1,0))</f>
        <v/>
      </c>
      <c r="S129" s="41">
        <f>IF(S17="",0,IF(COUNTIF(코드!$K$2:$K$60,S17)&gt;0,1,0))</f>
        <v/>
      </c>
      <c r="T129" s="41">
        <f>IF(T17="",0,IF(COUNTIF(코드!$K$2:$K$60,T17)&gt;0,1,0))</f>
        <v/>
      </c>
      <c r="U129" s="41">
        <f>IF(U17="",0,IF(COUNTIF(코드!$K$2:$K$60,U17)&gt;0,1,0))</f>
        <v/>
      </c>
      <c r="V129" s="41">
        <f>IF(V17="",0,IF(COUNTIF(코드!$K$2:$K$60,V17)&gt;0,1,0))</f>
        <v/>
      </c>
      <c r="W129" s="41">
        <f>IF(W17="",0,IF(COUNTIF(코드!$K$2:$K$60,W17)&gt;0,1,0))</f>
        <v/>
      </c>
      <c r="X129" s="41">
        <f>IF(X17="",0,IF(COUNTIF(코드!$K$2:$K$60,X17)&gt;0,1,0))</f>
        <v/>
      </c>
      <c r="Y129" s="41">
        <f>IF(Y17="",0,IF(COUNTIF(코드!$K$2:$K$60,Y17)&gt;0,1,0))</f>
        <v/>
      </c>
      <c r="Z129" s="41">
        <f>IF(Z17="",0,IF(COUNTIF(코드!$K$2:$K$60,Z17)&gt;0,1,0))</f>
        <v/>
      </c>
      <c r="AA129" s="41">
        <f>IF(AA17="",0,IF(COUNTIF(코드!$K$2:$K$60,AA17)&gt;0,1,0))</f>
        <v/>
      </c>
      <c r="AB129" s="41">
        <f>IF(AB17="",0,IF(COUNTIF(코드!$K$2:$K$60,AB17)&gt;0,1,0))</f>
        <v/>
      </c>
      <c r="AC129" s="41">
        <f>IF(AC17="",0,IF(COUNTIF(코드!$K$2:$K$60,AC17)&gt;0,1,0))</f>
        <v/>
      </c>
      <c r="AD129" s="41">
        <f>IF(AD17="",0,IF(COUNTIF(코드!$K$2:$K$60,AD17)&gt;0,1,0))</f>
        <v/>
      </c>
      <c r="AE129" s="41">
        <f>IF(AE17="",0,IF(COUNTIF(코드!$K$2:$K$60,AE17)&gt;0,1,0))</f>
        <v/>
      </c>
      <c r="AF129" s="41">
        <f>IF(AF17="",0,IF(COUNTIF(코드!$K$2:$K$60,AF17)&gt;0,1,0))</f>
        <v/>
      </c>
      <c r="AG129" s="41">
        <f>IF(AG17="",0,IF(COUNTIF(코드!$K$2:$K$60,AG17)&gt;0,1,0))</f>
        <v/>
      </c>
      <c r="AH129" s="41">
        <f>IF(AH17="",0,IF(COUNTIF(코드!$K$2:$K$60,AH17)&gt;0,1,0))</f>
        <v/>
      </c>
    </row>
    <row r="130">
      <c r="A130" s="15">
        <f>IF(명부!A12="","",명부!A12)</f>
        <v/>
      </c>
      <c r="B130" s="16">
        <f>IF(명부!C12="","",명부!C12)</f>
        <v/>
      </c>
      <c r="C130" s="17">
        <f>IF(명부!E12="","",명부!E12)</f>
        <v/>
      </c>
      <c r="D130" s="41">
        <f>IF(D18="",0,IF(COUNTIF(코드!$K$2:$K$60,D18)&gt;0,1,0))</f>
        <v/>
      </c>
      <c r="E130" s="41">
        <f>IF(E18="",0,IF(COUNTIF(코드!$K$2:$K$60,E18)&gt;0,1,0))</f>
        <v/>
      </c>
      <c r="F130" s="41">
        <f>IF(F18="",0,IF(COUNTIF(코드!$K$2:$K$60,F18)&gt;0,1,0))</f>
        <v/>
      </c>
      <c r="G130" s="41">
        <f>IF(G18="",0,IF(COUNTIF(코드!$K$2:$K$60,G18)&gt;0,1,0))</f>
        <v/>
      </c>
      <c r="H130" s="41">
        <f>IF(H18="",0,IF(COUNTIF(코드!$K$2:$K$60,H18)&gt;0,1,0))</f>
        <v/>
      </c>
      <c r="I130" s="41">
        <f>IF(I18="",0,IF(COUNTIF(코드!$K$2:$K$60,I18)&gt;0,1,0))</f>
        <v/>
      </c>
      <c r="J130" s="41">
        <f>IF(J18="",0,IF(COUNTIF(코드!$K$2:$K$60,J18)&gt;0,1,0))</f>
        <v/>
      </c>
      <c r="K130" s="41">
        <f>IF(K18="",0,IF(COUNTIF(코드!$K$2:$K$60,K18)&gt;0,1,0))</f>
        <v/>
      </c>
      <c r="L130" s="41">
        <f>IF(L18="",0,IF(COUNTIF(코드!$K$2:$K$60,L18)&gt;0,1,0))</f>
        <v/>
      </c>
      <c r="M130" s="41">
        <f>IF(M18="",0,IF(COUNTIF(코드!$K$2:$K$60,M18)&gt;0,1,0))</f>
        <v/>
      </c>
      <c r="N130" s="41">
        <f>IF(N18="",0,IF(COUNTIF(코드!$K$2:$K$60,N18)&gt;0,1,0))</f>
        <v/>
      </c>
      <c r="O130" s="41">
        <f>IF(O18="",0,IF(COUNTIF(코드!$K$2:$K$60,O18)&gt;0,1,0))</f>
        <v/>
      </c>
      <c r="P130" s="41">
        <f>IF(P18="",0,IF(COUNTIF(코드!$K$2:$K$60,P18)&gt;0,1,0))</f>
        <v/>
      </c>
      <c r="Q130" s="41">
        <f>IF(Q18="",0,IF(COUNTIF(코드!$K$2:$K$60,Q18)&gt;0,1,0))</f>
        <v/>
      </c>
      <c r="R130" s="41">
        <f>IF(R18="",0,IF(COUNTIF(코드!$K$2:$K$60,R18)&gt;0,1,0))</f>
        <v/>
      </c>
      <c r="S130" s="41">
        <f>IF(S18="",0,IF(COUNTIF(코드!$K$2:$K$60,S18)&gt;0,1,0))</f>
        <v/>
      </c>
      <c r="T130" s="41">
        <f>IF(T18="",0,IF(COUNTIF(코드!$K$2:$K$60,T18)&gt;0,1,0))</f>
        <v/>
      </c>
      <c r="U130" s="41">
        <f>IF(U18="",0,IF(COUNTIF(코드!$K$2:$K$60,U18)&gt;0,1,0))</f>
        <v/>
      </c>
      <c r="V130" s="41">
        <f>IF(V18="",0,IF(COUNTIF(코드!$K$2:$K$60,V18)&gt;0,1,0))</f>
        <v/>
      </c>
      <c r="W130" s="41">
        <f>IF(W18="",0,IF(COUNTIF(코드!$K$2:$K$60,W18)&gt;0,1,0))</f>
        <v/>
      </c>
      <c r="X130" s="41">
        <f>IF(X18="",0,IF(COUNTIF(코드!$K$2:$K$60,X18)&gt;0,1,0))</f>
        <v/>
      </c>
      <c r="Y130" s="41">
        <f>IF(Y18="",0,IF(COUNTIF(코드!$K$2:$K$60,Y18)&gt;0,1,0))</f>
        <v/>
      </c>
      <c r="Z130" s="41">
        <f>IF(Z18="",0,IF(COUNTIF(코드!$K$2:$K$60,Z18)&gt;0,1,0))</f>
        <v/>
      </c>
      <c r="AA130" s="41">
        <f>IF(AA18="",0,IF(COUNTIF(코드!$K$2:$K$60,AA18)&gt;0,1,0))</f>
        <v/>
      </c>
      <c r="AB130" s="41">
        <f>IF(AB18="",0,IF(COUNTIF(코드!$K$2:$K$60,AB18)&gt;0,1,0))</f>
        <v/>
      </c>
      <c r="AC130" s="41">
        <f>IF(AC18="",0,IF(COUNTIF(코드!$K$2:$K$60,AC18)&gt;0,1,0))</f>
        <v/>
      </c>
      <c r="AD130" s="41">
        <f>IF(AD18="",0,IF(COUNTIF(코드!$K$2:$K$60,AD18)&gt;0,1,0))</f>
        <v/>
      </c>
      <c r="AE130" s="41">
        <f>IF(AE18="",0,IF(COUNTIF(코드!$K$2:$K$60,AE18)&gt;0,1,0))</f>
        <v/>
      </c>
      <c r="AF130" s="41">
        <f>IF(AF18="",0,IF(COUNTIF(코드!$K$2:$K$60,AF18)&gt;0,1,0))</f>
        <v/>
      </c>
      <c r="AG130" s="41">
        <f>IF(AG18="",0,IF(COUNTIF(코드!$K$2:$K$60,AG18)&gt;0,1,0))</f>
        <v/>
      </c>
      <c r="AH130" s="41">
        <f>IF(AH18="",0,IF(COUNTIF(코드!$K$2:$K$60,AH18)&gt;0,1,0))</f>
        <v/>
      </c>
    </row>
    <row r="131">
      <c r="A131" s="15">
        <f>IF(명부!A13="","",명부!A13)</f>
        <v/>
      </c>
      <c r="B131" s="16">
        <f>IF(명부!C13="","",명부!C13)</f>
        <v/>
      </c>
      <c r="C131" s="17">
        <f>IF(명부!E13="","",명부!E13)</f>
        <v/>
      </c>
      <c r="D131" s="41">
        <f>IF(D19="",0,IF(COUNTIF(코드!$K$2:$K$60,D19)&gt;0,1,0))</f>
        <v/>
      </c>
      <c r="E131" s="41">
        <f>IF(E19="",0,IF(COUNTIF(코드!$K$2:$K$60,E19)&gt;0,1,0))</f>
        <v/>
      </c>
      <c r="F131" s="41">
        <f>IF(F19="",0,IF(COUNTIF(코드!$K$2:$K$60,F19)&gt;0,1,0))</f>
        <v/>
      </c>
      <c r="G131" s="41">
        <f>IF(G19="",0,IF(COUNTIF(코드!$K$2:$K$60,G19)&gt;0,1,0))</f>
        <v/>
      </c>
      <c r="H131" s="41">
        <f>IF(H19="",0,IF(COUNTIF(코드!$K$2:$K$60,H19)&gt;0,1,0))</f>
        <v/>
      </c>
      <c r="I131" s="41">
        <f>IF(I19="",0,IF(COUNTIF(코드!$K$2:$K$60,I19)&gt;0,1,0))</f>
        <v/>
      </c>
      <c r="J131" s="41">
        <f>IF(J19="",0,IF(COUNTIF(코드!$K$2:$K$60,J19)&gt;0,1,0))</f>
        <v/>
      </c>
      <c r="K131" s="41">
        <f>IF(K19="",0,IF(COUNTIF(코드!$K$2:$K$60,K19)&gt;0,1,0))</f>
        <v/>
      </c>
      <c r="L131" s="41">
        <f>IF(L19="",0,IF(COUNTIF(코드!$K$2:$K$60,L19)&gt;0,1,0))</f>
        <v/>
      </c>
      <c r="M131" s="41">
        <f>IF(M19="",0,IF(COUNTIF(코드!$K$2:$K$60,M19)&gt;0,1,0))</f>
        <v/>
      </c>
      <c r="N131" s="41">
        <f>IF(N19="",0,IF(COUNTIF(코드!$K$2:$K$60,N19)&gt;0,1,0))</f>
        <v/>
      </c>
      <c r="O131" s="41">
        <f>IF(O19="",0,IF(COUNTIF(코드!$K$2:$K$60,O19)&gt;0,1,0))</f>
        <v/>
      </c>
      <c r="P131" s="41">
        <f>IF(P19="",0,IF(COUNTIF(코드!$K$2:$K$60,P19)&gt;0,1,0))</f>
        <v/>
      </c>
      <c r="Q131" s="41">
        <f>IF(Q19="",0,IF(COUNTIF(코드!$K$2:$K$60,Q19)&gt;0,1,0))</f>
        <v/>
      </c>
      <c r="R131" s="41">
        <f>IF(R19="",0,IF(COUNTIF(코드!$K$2:$K$60,R19)&gt;0,1,0))</f>
        <v/>
      </c>
      <c r="S131" s="41">
        <f>IF(S19="",0,IF(COUNTIF(코드!$K$2:$K$60,S19)&gt;0,1,0))</f>
        <v/>
      </c>
      <c r="T131" s="41">
        <f>IF(T19="",0,IF(COUNTIF(코드!$K$2:$K$60,T19)&gt;0,1,0))</f>
        <v/>
      </c>
      <c r="U131" s="41">
        <f>IF(U19="",0,IF(COUNTIF(코드!$K$2:$K$60,U19)&gt;0,1,0))</f>
        <v/>
      </c>
      <c r="V131" s="41">
        <f>IF(V19="",0,IF(COUNTIF(코드!$K$2:$K$60,V19)&gt;0,1,0))</f>
        <v/>
      </c>
      <c r="W131" s="41">
        <f>IF(W19="",0,IF(COUNTIF(코드!$K$2:$K$60,W19)&gt;0,1,0))</f>
        <v/>
      </c>
      <c r="X131" s="41">
        <f>IF(X19="",0,IF(COUNTIF(코드!$K$2:$K$60,X19)&gt;0,1,0))</f>
        <v/>
      </c>
      <c r="Y131" s="41">
        <f>IF(Y19="",0,IF(COUNTIF(코드!$K$2:$K$60,Y19)&gt;0,1,0))</f>
        <v/>
      </c>
      <c r="Z131" s="41">
        <f>IF(Z19="",0,IF(COUNTIF(코드!$K$2:$K$60,Z19)&gt;0,1,0))</f>
        <v/>
      </c>
      <c r="AA131" s="41">
        <f>IF(AA19="",0,IF(COUNTIF(코드!$K$2:$K$60,AA19)&gt;0,1,0))</f>
        <v/>
      </c>
      <c r="AB131" s="41">
        <f>IF(AB19="",0,IF(COUNTIF(코드!$K$2:$K$60,AB19)&gt;0,1,0))</f>
        <v/>
      </c>
      <c r="AC131" s="41">
        <f>IF(AC19="",0,IF(COUNTIF(코드!$K$2:$K$60,AC19)&gt;0,1,0))</f>
        <v/>
      </c>
      <c r="AD131" s="41">
        <f>IF(AD19="",0,IF(COUNTIF(코드!$K$2:$K$60,AD19)&gt;0,1,0))</f>
        <v/>
      </c>
      <c r="AE131" s="41">
        <f>IF(AE19="",0,IF(COUNTIF(코드!$K$2:$K$60,AE19)&gt;0,1,0))</f>
        <v/>
      </c>
      <c r="AF131" s="41">
        <f>IF(AF19="",0,IF(COUNTIF(코드!$K$2:$K$60,AF19)&gt;0,1,0))</f>
        <v/>
      </c>
      <c r="AG131" s="41">
        <f>IF(AG19="",0,IF(COUNTIF(코드!$K$2:$K$60,AG19)&gt;0,1,0))</f>
        <v/>
      </c>
      <c r="AH131" s="41">
        <f>IF(AH19="",0,IF(COUNTIF(코드!$K$2:$K$60,AH19)&gt;0,1,0))</f>
        <v/>
      </c>
    </row>
    <row r="132">
      <c r="A132" s="15">
        <f>IF(명부!A14="","",명부!A14)</f>
        <v/>
      </c>
      <c r="B132" s="16">
        <f>IF(명부!C14="","",명부!C14)</f>
        <v/>
      </c>
      <c r="C132" s="17">
        <f>IF(명부!E14="","",명부!E14)</f>
        <v/>
      </c>
      <c r="D132" s="41">
        <f>IF(D20="",0,IF(COUNTIF(코드!$K$2:$K$60,D20)&gt;0,1,0))</f>
        <v/>
      </c>
      <c r="E132" s="41">
        <f>IF(E20="",0,IF(COUNTIF(코드!$K$2:$K$60,E20)&gt;0,1,0))</f>
        <v/>
      </c>
      <c r="F132" s="41">
        <f>IF(F20="",0,IF(COUNTIF(코드!$K$2:$K$60,F20)&gt;0,1,0))</f>
        <v/>
      </c>
      <c r="G132" s="41">
        <f>IF(G20="",0,IF(COUNTIF(코드!$K$2:$K$60,G20)&gt;0,1,0))</f>
        <v/>
      </c>
      <c r="H132" s="41">
        <f>IF(H20="",0,IF(COUNTIF(코드!$K$2:$K$60,H20)&gt;0,1,0))</f>
        <v/>
      </c>
      <c r="I132" s="41">
        <f>IF(I20="",0,IF(COUNTIF(코드!$K$2:$K$60,I20)&gt;0,1,0))</f>
        <v/>
      </c>
      <c r="J132" s="41">
        <f>IF(J20="",0,IF(COUNTIF(코드!$K$2:$K$60,J20)&gt;0,1,0))</f>
        <v/>
      </c>
      <c r="K132" s="41">
        <f>IF(K20="",0,IF(COUNTIF(코드!$K$2:$K$60,K20)&gt;0,1,0))</f>
        <v/>
      </c>
      <c r="L132" s="41">
        <f>IF(L20="",0,IF(COUNTIF(코드!$K$2:$K$60,L20)&gt;0,1,0))</f>
        <v/>
      </c>
      <c r="M132" s="41">
        <f>IF(M20="",0,IF(COUNTIF(코드!$K$2:$K$60,M20)&gt;0,1,0))</f>
        <v/>
      </c>
      <c r="N132" s="41">
        <f>IF(N20="",0,IF(COUNTIF(코드!$K$2:$K$60,N20)&gt;0,1,0))</f>
        <v/>
      </c>
      <c r="O132" s="41">
        <f>IF(O20="",0,IF(COUNTIF(코드!$K$2:$K$60,O20)&gt;0,1,0))</f>
        <v/>
      </c>
      <c r="P132" s="41">
        <f>IF(P20="",0,IF(COUNTIF(코드!$K$2:$K$60,P20)&gt;0,1,0))</f>
        <v/>
      </c>
      <c r="Q132" s="41">
        <f>IF(Q20="",0,IF(COUNTIF(코드!$K$2:$K$60,Q20)&gt;0,1,0))</f>
        <v/>
      </c>
      <c r="R132" s="41">
        <f>IF(R20="",0,IF(COUNTIF(코드!$K$2:$K$60,R20)&gt;0,1,0))</f>
        <v/>
      </c>
      <c r="S132" s="41">
        <f>IF(S20="",0,IF(COUNTIF(코드!$K$2:$K$60,S20)&gt;0,1,0))</f>
        <v/>
      </c>
      <c r="T132" s="41">
        <f>IF(T20="",0,IF(COUNTIF(코드!$K$2:$K$60,T20)&gt;0,1,0))</f>
        <v/>
      </c>
      <c r="U132" s="41">
        <f>IF(U20="",0,IF(COUNTIF(코드!$K$2:$K$60,U20)&gt;0,1,0))</f>
        <v/>
      </c>
      <c r="V132" s="41">
        <f>IF(V20="",0,IF(COUNTIF(코드!$K$2:$K$60,V20)&gt;0,1,0))</f>
        <v/>
      </c>
      <c r="W132" s="41">
        <f>IF(W20="",0,IF(COUNTIF(코드!$K$2:$K$60,W20)&gt;0,1,0))</f>
        <v/>
      </c>
      <c r="X132" s="41">
        <f>IF(X20="",0,IF(COUNTIF(코드!$K$2:$K$60,X20)&gt;0,1,0))</f>
        <v/>
      </c>
      <c r="Y132" s="41">
        <f>IF(Y20="",0,IF(COUNTIF(코드!$K$2:$K$60,Y20)&gt;0,1,0))</f>
        <v/>
      </c>
      <c r="Z132" s="41">
        <f>IF(Z20="",0,IF(COUNTIF(코드!$K$2:$K$60,Z20)&gt;0,1,0))</f>
        <v/>
      </c>
      <c r="AA132" s="41">
        <f>IF(AA20="",0,IF(COUNTIF(코드!$K$2:$K$60,AA20)&gt;0,1,0))</f>
        <v/>
      </c>
      <c r="AB132" s="41">
        <f>IF(AB20="",0,IF(COUNTIF(코드!$K$2:$K$60,AB20)&gt;0,1,0))</f>
        <v/>
      </c>
      <c r="AC132" s="41">
        <f>IF(AC20="",0,IF(COUNTIF(코드!$K$2:$K$60,AC20)&gt;0,1,0))</f>
        <v/>
      </c>
      <c r="AD132" s="41">
        <f>IF(AD20="",0,IF(COUNTIF(코드!$K$2:$K$60,AD20)&gt;0,1,0))</f>
        <v/>
      </c>
      <c r="AE132" s="41">
        <f>IF(AE20="",0,IF(COUNTIF(코드!$K$2:$K$60,AE20)&gt;0,1,0))</f>
        <v/>
      </c>
      <c r="AF132" s="41">
        <f>IF(AF20="",0,IF(COUNTIF(코드!$K$2:$K$60,AF20)&gt;0,1,0))</f>
        <v/>
      </c>
      <c r="AG132" s="41">
        <f>IF(AG20="",0,IF(COUNTIF(코드!$K$2:$K$60,AG20)&gt;0,1,0))</f>
        <v/>
      </c>
      <c r="AH132" s="41">
        <f>IF(AH20="",0,IF(COUNTIF(코드!$K$2:$K$60,AH20)&gt;0,1,0))</f>
        <v/>
      </c>
    </row>
    <row r="133">
      <c r="A133" s="15">
        <f>IF(명부!A15="","",명부!A15)</f>
        <v/>
      </c>
      <c r="B133" s="16">
        <f>IF(명부!C15="","",명부!C15)</f>
        <v/>
      </c>
      <c r="C133" s="17">
        <f>IF(명부!E15="","",명부!E15)</f>
        <v/>
      </c>
      <c r="D133" s="41">
        <f>IF(D21="",0,IF(COUNTIF(코드!$K$2:$K$60,D21)&gt;0,1,0))</f>
        <v/>
      </c>
      <c r="E133" s="41">
        <f>IF(E21="",0,IF(COUNTIF(코드!$K$2:$K$60,E21)&gt;0,1,0))</f>
        <v/>
      </c>
      <c r="F133" s="41">
        <f>IF(F21="",0,IF(COUNTIF(코드!$K$2:$K$60,F21)&gt;0,1,0))</f>
        <v/>
      </c>
      <c r="G133" s="41">
        <f>IF(G21="",0,IF(COUNTIF(코드!$K$2:$K$60,G21)&gt;0,1,0))</f>
        <v/>
      </c>
      <c r="H133" s="41">
        <f>IF(H21="",0,IF(COUNTIF(코드!$K$2:$K$60,H21)&gt;0,1,0))</f>
        <v/>
      </c>
      <c r="I133" s="41">
        <f>IF(I21="",0,IF(COUNTIF(코드!$K$2:$K$60,I21)&gt;0,1,0))</f>
        <v/>
      </c>
      <c r="J133" s="41">
        <f>IF(J21="",0,IF(COUNTIF(코드!$K$2:$K$60,J21)&gt;0,1,0))</f>
        <v/>
      </c>
      <c r="K133" s="41">
        <f>IF(K21="",0,IF(COUNTIF(코드!$K$2:$K$60,K21)&gt;0,1,0))</f>
        <v/>
      </c>
      <c r="L133" s="41">
        <f>IF(L21="",0,IF(COUNTIF(코드!$K$2:$K$60,L21)&gt;0,1,0))</f>
        <v/>
      </c>
      <c r="M133" s="41">
        <f>IF(M21="",0,IF(COUNTIF(코드!$K$2:$K$60,M21)&gt;0,1,0))</f>
        <v/>
      </c>
      <c r="N133" s="41">
        <f>IF(N21="",0,IF(COUNTIF(코드!$K$2:$K$60,N21)&gt;0,1,0))</f>
        <v/>
      </c>
      <c r="O133" s="41">
        <f>IF(O21="",0,IF(COUNTIF(코드!$K$2:$K$60,O21)&gt;0,1,0))</f>
        <v/>
      </c>
      <c r="P133" s="41">
        <f>IF(P21="",0,IF(COUNTIF(코드!$K$2:$K$60,P21)&gt;0,1,0))</f>
        <v/>
      </c>
      <c r="Q133" s="41">
        <f>IF(Q21="",0,IF(COUNTIF(코드!$K$2:$K$60,Q21)&gt;0,1,0))</f>
        <v/>
      </c>
      <c r="R133" s="41">
        <f>IF(R21="",0,IF(COUNTIF(코드!$K$2:$K$60,R21)&gt;0,1,0))</f>
        <v/>
      </c>
      <c r="S133" s="41">
        <f>IF(S21="",0,IF(COUNTIF(코드!$K$2:$K$60,S21)&gt;0,1,0))</f>
        <v/>
      </c>
      <c r="T133" s="41">
        <f>IF(T21="",0,IF(COUNTIF(코드!$K$2:$K$60,T21)&gt;0,1,0))</f>
        <v/>
      </c>
      <c r="U133" s="41">
        <f>IF(U21="",0,IF(COUNTIF(코드!$K$2:$K$60,U21)&gt;0,1,0))</f>
        <v/>
      </c>
      <c r="V133" s="41">
        <f>IF(V21="",0,IF(COUNTIF(코드!$K$2:$K$60,V21)&gt;0,1,0))</f>
        <v/>
      </c>
      <c r="W133" s="41">
        <f>IF(W21="",0,IF(COUNTIF(코드!$K$2:$K$60,W21)&gt;0,1,0))</f>
        <v/>
      </c>
      <c r="X133" s="41">
        <f>IF(X21="",0,IF(COUNTIF(코드!$K$2:$K$60,X21)&gt;0,1,0))</f>
        <v/>
      </c>
      <c r="Y133" s="41">
        <f>IF(Y21="",0,IF(COUNTIF(코드!$K$2:$K$60,Y21)&gt;0,1,0))</f>
        <v/>
      </c>
      <c r="Z133" s="41">
        <f>IF(Z21="",0,IF(COUNTIF(코드!$K$2:$K$60,Z21)&gt;0,1,0))</f>
        <v/>
      </c>
      <c r="AA133" s="41">
        <f>IF(AA21="",0,IF(COUNTIF(코드!$K$2:$K$60,AA21)&gt;0,1,0))</f>
        <v/>
      </c>
      <c r="AB133" s="41">
        <f>IF(AB21="",0,IF(COUNTIF(코드!$K$2:$K$60,AB21)&gt;0,1,0))</f>
        <v/>
      </c>
      <c r="AC133" s="41">
        <f>IF(AC21="",0,IF(COUNTIF(코드!$K$2:$K$60,AC21)&gt;0,1,0))</f>
        <v/>
      </c>
      <c r="AD133" s="41">
        <f>IF(AD21="",0,IF(COUNTIF(코드!$K$2:$K$60,AD21)&gt;0,1,0))</f>
        <v/>
      </c>
      <c r="AE133" s="41">
        <f>IF(AE21="",0,IF(COUNTIF(코드!$K$2:$K$60,AE21)&gt;0,1,0))</f>
        <v/>
      </c>
      <c r="AF133" s="41">
        <f>IF(AF21="",0,IF(COUNTIF(코드!$K$2:$K$60,AF21)&gt;0,1,0))</f>
        <v/>
      </c>
      <c r="AG133" s="41">
        <f>IF(AG21="",0,IF(COUNTIF(코드!$K$2:$K$60,AG21)&gt;0,1,0))</f>
        <v/>
      </c>
      <c r="AH133" s="41">
        <f>IF(AH21="",0,IF(COUNTIF(코드!$K$2:$K$60,AH21)&gt;0,1,0))</f>
        <v/>
      </c>
    </row>
    <row r="134">
      <c r="A134" s="15">
        <f>IF(명부!A16="","",명부!A16)</f>
        <v/>
      </c>
      <c r="B134" s="16">
        <f>IF(명부!C16="","",명부!C16)</f>
        <v/>
      </c>
      <c r="C134" s="17">
        <f>IF(명부!E16="","",명부!E16)</f>
        <v/>
      </c>
      <c r="D134" s="41">
        <f>IF(D22="",0,IF(COUNTIF(코드!$K$2:$K$60,D22)&gt;0,1,0))</f>
        <v/>
      </c>
      <c r="E134" s="41">
        <f>IF(E22="",0,IF(COUNTIF(코드!$K$2:$K$60,E22)&gt;0,1,0))</f>
        <v/>
      </c>
      <c r="F134" s="41">
        <f>IF(F22="",0,IF(COUNTIF(코드!$K$2:$K$60,F22)&gt;0,1,0))</f>
        <v/>
      </c>
      <c r="G134" s="41">
        <f>IF(G22="",0,IF(COUNTIF(코드!$K$2:$K$60,G22)&gt;0,1,0))</f>
        <v/>
      </c>
      <c r="H134" s="41">
        <f>IF(H22="",0,IF(COUNTIF(코드!$K$2:$K$60,H22)&gt;0,1,0))</f>
        <v/>
      </c>
      <c r="I134" s="41">
        <f>IF(I22="",0,IF(COUNTIF(코드!$K$2:$K$60,I22)&gt;0,1,0))</f>
        <v/>
      </c>
      <c r="J134" s="41">
        <f>IF(J22="",0,IF(COUNTIF(코드!$K$2:$K$60,J22)&gt;0,1,0))</f>
        <v/>
      </c>
      <c r="K134" s="41">
        <f>IF(K22="",0,IF(COUNTIF(코드!$K$2:$K$60,K22)&gt;0,1,0))</f>
        <v/>
      </c>
      <c r="L134" s="41">
        <f>IF(L22="",0,IF(COUNTIF(코드!$K$2:$K$60,L22)&gt;0,1,0))</f>
        <v/>
      </c>
      <c r="M134" s="41">
        <f>IF(M22="",0,IF(COUNTIF(코드!$K$2:$K$60,M22)&gt;0,1,0))</f>
        <v/>
      </c>
      <c r="N134" s="41">
        <f>IF(N22="",0,IF(COUNTIF(코드!$K$2:$K$60,N22)&gt;0,1,0))</f>
        <v/>
      </c>
      <c r="O134" s="41">
        <f>IF(O22="",0,IF(COUNTIF(코드!$K$2:$K$60,O22)&gt;0,1,0))</f>
        <v/>
      </c>
      <c r="P134" s="41">
        <f>IF(P22="",0,IF(COUNTIF(코드!$K$2:$K$60,P22)&gt;0,1,0))</f>
        <v/>
      </c>
      <c r="Q134" s="41">
        <f>IF(Q22="",0,IF(COUNTIF(코드!$K$2:$K$60,Q22)&gt;0,1,0))</f>
        <v/>
      </c>
      <c r="R134" s="41">
        <f>IF(R22="",0,IF(COUNTIF(코드!$K$2:$K$60,R22)&gt;0,1,0))</f>
        <v/>
      </c>
      <c r="S134" s="41">
        <f>IF(S22="",0,IF(COUNTIF(코드!$K$2:$K$60,S22)&gt;0,1,0))</f>
        <v/>
      </c>
      <c r="T134" s="41">
        <f>IF(T22="",0,IF(COUNTIF(코드!$K$2:$K$60,T22)&gt;0,1,0))</f>
        <v/>
      </c>
      <c r="U134" s="41">
        <f>IF(U22="",0,IF(COUNTIF(코드!$K$2:$K$60,U22)&gt;0,1,0))</f>
        <v/>
      </c>
      <c r="V134" s="41">
        <f>IF(V22="",0,IF(COUNTIF(코드!$K$2:$K$60,V22)&gt;0,1,0))</f>
        <v/>
      </c>
      <c r="W134" s="41">
        <f>IF(W22="",0,IF(COUNTIF(코드!$K$2:$K$60,W22)&gt;0,1,0))</f>
        <v/>
      </c>
      <c r="X134" s="41">
        <f>IF(X22="",0,IF(COUNTIF(코드!$K$2:$K$60,X22)&gt;0,1,0))</f>
        <v/>
      </c>
      <c r="Y134" s="41">
        <f>IF(Y22="",0,IF(COUNTIF(코드!$K$2:$K$60,Y22)&gt;0,1,0))</f>
        <v/>
      </c>
      <c r="Z134" s="41">
        <f>IF(Z22="",0,IF(COUNTIF(코드!$K$2:$K$60,Z22)&gt;0,1,0))</f>
        <v/>
      </c>
      <c r="AA134" s="41">
        <f>IF(AA22="",0,IF(COUNTIF(코드!$K$2:$K$60,AA22)&gt;0,1,0))</f>
        <v/>
      </c>
      <c r="AB134" s="41">
        <f>IF(AB22="",0,IF(COUNTIF(코드!$K$2:$K$60,AB22)&gt;0,1,0))</f>
        <v/>
      </c>
      <c r="AC134" s="41">
        <f>IF(AC22="",0,IF(COUNTIF(코드!$K$2:$K$60,AC22)&gt;0,1,0))</f>
        <v/>
      </c>
      <c r="AD134" s="41">
        <f>IF(AD22="",0,IF(COUNTIF(코드!$K$2:$K$60,AD22)&gt;0,1,0))</f>
        <v/>
      </c>
      <c r="AE134" s="41">
        <f>IF(AE22="",0,IF(COUNTIF(코드!$K$2:$K$60,AE22)&gt;0,1,0))</f>
        <v/>
      </c>
      <c r="AF134" s="41">
        <f>IF(AF22="",0,IF(COUNTIF(코드!$K$2:$K$60,AF22)&gt;0,1,0))</f>
        <v/>
      </c>
      <c r="AG134" s="41">
        <f>IF(AG22="",0,IF(COUNTIF(코드!$K$2:$K$60,AG22)&gt;0,1,0))</f>
        <v/>
      </c>
      <c r="AH134" s="41">
        <f>IF(AH22="",0,IF(COUNTIF(코드!$K$2:$K$60,AH22)&gt;0,1,0))</f>
        <v/>
      </c>
    </row>
    <row r="135">
      <c r="A135" s="15">
        <f>IF(명부!A17="","",명부!A17)</f>
        <v/>
      </c>
      <c r="B135" s="16">
        <f>IF(명부!C17="","",명부!C17)</f>
        <v/>
      </c>
      <c r="C135" s="17">
        <f>IF(명부!E17="","",명부!E17)</f>
        <v/>
      </c>
      <c r="D135" s="41">
        <f>IF(D23="",0,IF(COUNTIF(코드!$K$2:$K$60,D23)&gt;0,1,0))</f>
        <v/>
      </c>
      <c r="E135" s="41">
        <f>IF(E23="",0,IF(COUNTIF(코드!$K$2:$K$60,E23)&gt;0,1,0))</f>
        <v/>
      </c>
      <c r="F135" s="41">
        <f>IF(F23="",0,IF(COUNTIF(코드!$K$2:$K$60,F23)&gt;0,1,0))</f>
        <v/>
      </c>
      <c r="G135" s="41">
        <f>IF(G23="",0,IF(COUNTIF(코드!$K$2:$K$60,G23)&gt;0,1,0))</f>
        <v/>
      </c>
      <c r="H135" s="41">
        <f>IF(H23="",0,IF(COUNTIF(코드!$K$2:$K$60,H23)&gt;0,1,0))</f>
        <v/>
      </c>
      <c r="I135" s="41">
        <f>IF(I23="",0,IF(COUNTIF(코드!$K$2:$K$60,I23)&gt;0,1,0))</f>
        <v/>
      </c>
      <c r="J135" s="41">
        <f>IF(J23="",0,IF(COUNTIF(코드!$K$2:$K$60,J23)&gt;0,1,0))</f>
        <v/>
      </c>
      <c r="K135" s="41">
        <f>IF(K23="",0,IF(COUNTIF(코드!$K$2:$K$60,K23)&gt;0,1,0))</f>
        <v/>
      </c>
      <c r="L135" s="41">
        <f>IF(L23="",0,IF(COUNTIF(코드!$K$2:$K$60,L23)&gt;0,1,0))</f>
        <v/>
      </c>
      <c r="M135" s="41">
        <f>IF(M23="",0,IF(COUNTIF(코드!$K$2:$K$60,M23)&gt;0,1,0))</f>
        <v/>
      </c>
      <c r="N135" s="41">
        <f>IF(N23="",0,IF(COUNTIF(코드!$K$2:$K$60,N23)&gt;0,1,0))</f>
        <v/>
      </c>
      <c r="O135" s="41">
        <f>IF(O23="",0,IF(COUNTIF(코드!$K$2:$K$60,O23)&gt;0,1,0))</f>
        <v/>
      </c>
      <c r="P135" s="41">
        <f>IF(P23="",0,IF(COUNTIF(코드!$K$2:$K$60,P23)&gt;0,1,0))</f>
        <v/>
      </c>
      <c r="Q135" s="41">
        <f>IF(Q23="",0,IF(COUNTIF(코드!$K$2:$K$60,Q23)&gt;0,1,0))</f>
        <v/>
      </c>
      <c r="R135" s="41">
        <f>IF(R23="",0,IF(COUNTIF(코드!$K$2:$K$60,R23)&gt;0,1,0))</f>
        <v/>
      </c>
      <c r="S135" s="41">
        <f>IF(S23="",0,IF(COUNTIF(코드!$K$2:$K$60,S23)&gt;0,1,0))</f>
        <v/>
      </c>
      <c r="T135" s="41">
        <f>IF(T23="",0,IF(COUNTIF(코드!$K$2:$K$60,T23)&gt;0,1,0))</f>
        <v/>
      </c>
      <c r="U135" s="41">
        <f>IF(U23="",0,IF(COUNTIF(코드!$K$2:$K$60,U23)&gt;0,1,0))</f>
        <v/>
      </c>
      <c r="V135" s="41">
        <f>IF(V23="",0,IF(COUNTIF(코드!$K$2:$K$60,V23)&gt;0,1,0))</f>
        <v/>
      </c>
      <c r="W135" s="41">
        <f>IF(W23="",0,IF(COUNTIF(코드!$K$2:$K$60,W23)&gt;0,1,0))</f>
        <v/>
      </c>
      <c r="X135" s="41">
        <f>IF(X23="",0,IF(COUNTIF(코드!$K$2:$K$60,X23)&gt;0,1,0))</f>
        <v/>
      </c>
      <c r="Y135" s="41">
        <f>IF(Y23="",0,IF(COUNTIF(코드!$K$2:$K$60,Y23)&gt;0,1,0))</f>
        <v/>
      </c>
      <c r="Z135" s="41">
        <f>IF(Z23="",0,IF(COUNTIF(코드!$K$2:$K$60,Z23)&gt;0,1,0))</f>
        <v/>
      </c>
      <c r="AA135" s="41">
        <f>IF(AA23="",0,IF(COUNTIF(코드!$K$2:$K$60,AA23)&gt;0,1,0))</f>
        <v/>
      </c>
      <c r="AB135" s="41">
        <f>IF(AB23="",0,IF(COUNTIF(코드!$K$2:$K$60,AB23)&gt;0,1,0))</f>
        <v/>
      </c>
      <c r="AC135" s="41">
        <f>IF(AC23="",0,IF(COUNTIF(코드!$K$2:$K$60,AC23)&gt;0,1,0))</f>
        <v/>
      </c>
      <c r="AD135" s="41">
        <f>IF(AD23="",0,IF(COUNTIF(코드!$K$2:$K$60,AD23)&gt;0,1,0))</f>
        <v/>
      </c>
      <c r="AE135" s="41">
        <f>IF(AE23="",0,IF(COUNTIF(코드!$K$2:$K$60,AE23)&gt;0,1,0))</f>
        <v/>
      </c>
      <c r="AF135" s="41">
        <f>IF(AF23="",0,IF(COUNTIF(코드!$K$2:$K$60,AF23)&gt;0,1,0))</f>
        <v/>
      </c>
      <c r="AG135" s="41">
        <f>IF(AG23="",0,IF(COUNTIF(코드!$K$2:$K$60,AG23)&gt;0,1,0))</f>
        <v/>
      </c>
      <c r="AH135" s="41">
        <f>IF(AH23="",0,IF(COUNTIF(코드!$K$2:$K$60,AH23)&gt;0,1,0))</f>
        <v/>
      </c>
    </row>
    <row r="136">
      <c r="A136" s="15">
        <f>IF(명부!A18="","",명부!A18)</f>
        <v/>
      </c>
      <c r="B136" s="16">
        <f>IF(명부!C18="","",명부!C18)</f>
        <v/>
      </c>
      <c r="C136" s="17">
        <f>IF(명부!E18="","",명부!E18)</f>
        <v/>
      </c>
      <c r="D136" s="41">
        <f>IF(D24="",0,IF(COUNTIF(코드!$K$2:$K$60,D24)&gt;0,1,0))</f>
        <v/>
      </c>
      <c r="E136" s="41">
        <f>IF(E24="",0,IF(COUNTIF(코드!$K$2:$K$60,E24)&gt;0,1,0))</f>
        <v/>
      </c>
      <c r="F136" s="41">
        <f>IF(F24="",0,IF(COUNTIF(코드!$K$2:$K$60,F24)&gt;0,1,0))</f>
        <v/>
      </c>
      <c r="G136" s="41">
        <f>IF(G24="",0,IF(COUNTIF(코드!$K$2:$K$60,G24)&gt;0,1,0))</f>
        <v/>
      </c>
      <c r="H136" s="41">
        <f>IF(H24="",0,IF(COUNTIF(코드!$K$2:$K$60,H24)&gt;0,1,0))</f>
        <v/>
      </c>
      <c r="I136" s="41">
        <f>IF(I24="",0,IF(COUNTIF(코드!$K$2:$K$60,I24)&gt;0,1,0))</f>
        <v/>
      </c>
      <c r="J136" s="41">
        <f>IF(J24="",0,IF(COUNTIF(코드!$K$2:$K$60,J24)&gt;0,1,0))</f>
        <v/>
      </c>
      <c r="K136" s="41">
        <f>IF(K24="",0,IF(COUNTIF(코드!$K$2:$K$60,K24)&gt;0,1,0))</f>
        <v/>
      </c>
      <c r="L136" s="41">
        <f>IF(L24="",0,IF(COUNTIF(코드!$K$2:$K$60,L24)&gt;0,1,0))</f>
        <v/>
      </c>
      <c r="M136" s="41">
        <f>IF(M24="",0,IF(COUNTIF(코드!$K$2:$K$60,M24)&gt;0,1,0))</f>
        <v/>
      </c>
      <c r="N136" s="41">
        <f>IF(N24="",0,IF(COUNTIF(코드!$K$2:$K$60,N24)&gt;0,1,0))</f>
        <v/>
      </c>
      <c r="O136" s="41">
        <f>IF(O24="",0,IF(COUNTIF(코드!$K$2:$K$60,O24)&gt;0,1,0))</f>
        <v/>
      </c>
      <c r="P136" s="41">
        <f>IF(P24="",0,IF(COUNTIF(코드!$K$2:$K$60,P24)&gt;0,1,0))</f>
        <v/>
      </c>
      <c r="Q136" s="41">
        <f>IF(Q24="",0,IF(COUNTIF(코드!$K$2:$K$60,Q24)&gt;0,1,0))</f>
        <v/>
      </c>
      <c r="R136" s="41">
        <f>IF(R24="",0,IF(COUNTIF(코드!$K$2:$K$60,R24)&gt;0,1,0))</f>
        <v/>
      </c>
      <c r="S136" s="41">
        <f>IF(S24="",0,IF(COUNTIF(코드!$K$2:$K$60,S24)&gt;0,1,0))</f>
        <v/>
      </c>
      <c r="T136" s="41">
        <f>IF(T24="",0,IF(COUNTIF(코드!$K$2:$K$60,T24)&gt;0,1,0))</f>
        <v/>
      </c>
      <c r="U136" s="41">
        <f>IF(U24="",0,IF(COUNTIF(코드!$K$2:$K$60,U24)&gt;0,1,0))</f>
        <v/>
      </c>
      <c r="V136" s="41">
        <f>IF(V24="",0,IF(COUNTIF(코드!$K$2:$K$60,V24)&gt;0,1,0))</f>
        <v/>
      </c>
      <c r="W136" s="41">
        <f>IF(W24="",0,IF(COUNTIF(코드!$K$2:$K$60,W24)&gt;0,1,0))</f>
        <v/>
      </c>
      <c r="X136" s="41">
        <f>IF(X24="",0,IF(COUNTIF(코드!$K$2:$K$60,X24)&gt;0,1,0))</f>
        <v/>
      </c>
      <c r="Y136" s="41">
        <f>IF(Y24="",0,IF(COUNTIF(코드!$K$2:$K$60,Y24)&gt;0,1,0))</f>
        <v/>
      </c>
      <c r="Z136" s="41">
        <f>IF(Z24="",0,IF(COUNTIF(코드!$K$2:$K$60,Z24)&gt;0,1,0))</f>
        <v/>
      </c>
      <c r="AA136" s="41">
        <f>IF(AA24="",0,IF(COUNTIF(코드!$K$2:$K$60,AA24)&gt;0,1,0))</f>
        <v/>
      </c>
      <c r="AB136" s="41">
        <f>IF(AB24="",0,IF(COUNTIF(코드!$K$2:$K$60,AB24)&gt;0,1,0))</f>
        <v/>
      </c>
      <c r="AC136" s="41">
        <f>IF(AC24="",0,IF(COUNTIF(코드!$K$2:$K$60,AC24)&gt;0,1,0))</f>
        <v/>
      </c>
      <c r="AD136" s="41">
        <f>IF(AD24="",0,IF(COUNTIF(코드!$K$2:$K$60,AD24)&gt;0,1,0))</f>
        <v/>
      </c>
      <c r="AE136" s="41">
        <f>IF(AE24="",0,IF(COUNTIF(코드!$K$2:$K$60,AE24)&gt;0,1,0))</f>
        <v/>
      </c>
      <c r="AF136" s="41">
        <f>IF(AF24="",0,IF(COUNTIF(코드!$K$2:$K$60,AF24)&gt;0,1,0))</f>
        <v/>
      </c>
      <c r="AG136" s="41">
        <f>IF(AG24="",0,IF(COUNTIF(코드!$K$2:$K$60,AG24)&gt;0,1,0))</f>
        <v/>
      </c>
      <c r="AH136" s="41">
        <f>IF(AH24="",0,IF(COUNTIF(코드!$K$2:$K$60,AH24)&gt;0,1,0))</f>
        <v/>
      </c>
    </row>
    <row r="137">
      <c r="A137" s="15">
        <f>IF(명부!A19="","",명부!A19)</f>
        <v/>
      </c>
      <c r="B137" s="16">
        <f>IF(명부!C19="","",명부!C19)</f>
        <v/>
      </c>
      <c r="C137" s="17">
        <f>IF(명부!E19="","",명부!E19)</f>
        <v/>
      </c>
      <c r="D137" s="41">
        <f>IF(D25="",0,IF(COUNTIF(코드!$K$2:$K$60,D25)&gt;0,1,0))</f>
        <v/>
      </c>
      <c r="E137" s="41">
        <f>IF(E25="",0,IF(COUNTIF(코드!$K$2:$K$60,E25)&gt;0,1,0))</f>
        <v/>
      </c>
      <c r="F137" s="41">
        <f>IF(F25="",0,IF(COUNTIF(코드!$K$2:$K$60,F25)&gt;0,1,0))</f>
        <v/>
      </c>
      <c r="G137" s="41">
        <f>IF(G25="",0,IF(COUNTIF(코드!$K$2:$K$60,G25)&gt;0,1,0))</f>
        <v/>
      </c>
      <c r="H137" s="41">
        <f>IF(H25="",0,IF(COUNTIF(코드!$K$2:$K$60,H25)&gt;0,1,0))</f>
        <v/>
      </c>
      <c r="I137" s="41">
        <f>IF(I25="",0,IF(COUNTIF(코드!$K$2:$K$60,I25)&gt;0,1,0))</f>
        <v/>
      </c>
      <c r="J137" s="41">
        <f>IF(J25="",0,IF(COUNTIF(코드!$K$2:$K$60,J25)&gt;0,1,0))</f>
        <v/>
      </c>
      <c r="K137" s="41">
        <f>IF(K25="",0,IF(COUNTIF(코드!$K$2:$K$60,K25)&gt;0,1,0))</f>
        <v/>
      </c>
      <c r="L137" s="41">
        <f>IF(L25="",0,IF(COUNTIF(코드!$K$2:$K$60,L25)&gt;0,1,0))</f>
        <v/>
      </c>
      <c r="M137" s="41">
        <f>IF(M25="",0,IF(COUNTIF(코드!$K$2:$K$60,M25)&gt;0,1,0))</f>
        <v/>
      </c>
      <c r="N137" s="41">
        <f>IF(N25="",0,IF(COUNTIF(코드!$K$2:$K$60,N25)&gt;0,1,0))</f>
        <v/>
      </c>
      <c r="O137" s="41">
        <f>IF(O25="",0,IF(COUNTIF(코드!$K$2:$K$60,O25)&gt;0,1,0))</f>
        <v/>
      </c>
      <c r="P137" s="41">
        <f>IF(P25="",0,IF(COUNTIF(코드!$K$2:$K$60,P25)&gt;0,1,0))</f>
        <v/>
      </c>
      <c r="Q137" s="41">
        <f>IF(Q25="",0,IF(COUNTIF(코드!$K$2:$K$60,Q25)&gt;0,1,0))</f>
        <v/>
      </c>
      <c r="R137" s="41">
        <f>IF(R25="",0,IF(COUNTIF(코드!$K$2:$K$60,R25)&gt;0,1,0))</f>
        <v/>
      </c>
      <c r="S137" s="41">
        <f>IF(S25="",0,IF(COUNTIF(코드!$K$2:$K$60,S25)&gt;0,1,0))</f>
        <v/>
      </c>
      <c r="T137" s="41">
        <f>IF(T25="",0,IF(COUNTIF(코드!$K$2:$K$60,T25)&gt;0,1,0))</f>
        <v/>
      </c>
      <c r="U137" s="41">
        <f>IF(U25="",0,IF(COUNTIF(코드!$K$2:$K$60,U25)&gt;0,1,0))</f>
        <v/>
      </c>
      <c r="V137" s="41">
        <f>IF(V25="",0,IF(COUNTIF(코드!$K$2:$K$60,V25)&gt;0,1,0))</f>
        <v/>
      </c>
      <c r="W137" s="41">
        <f>IF(W25="",0,IF(COUNTIF(코드!$K$2:$K$60,W25)&gt;0,1,0))</f>
        <v/>
      </c>
      <c r="X137" s="41">
        <f>IF(X25="",0,IF(COUNTIF(코드!$K$2:$K$60,X25)&gt;0,1,0))</f>
        <v/>
      </c>
      <c r="Y137" s="41">
        <f>IF(Y25="",0,IF(COUNTIF(코드!$K$2:$K$60,Y25)&gt;0,1,0))</f>
        <v/>
      </c>
      <c r="Z137" s="41">
        <f>IF(Z25="",0,IF(COUNTIF(코드!$K$2:$K$60,Z25)&gt;0,1,0))</f>
        <v/>
      </c>
      <c r="AA137" s="41">
        <f>IF(AA25="",0,IF(COUNTIF(코드!$K$2:$K$60,AA25)&gt;0,1,0))</f>
        <v/>
      </c>
      <c r="AB137" s="41">
        <f>IF(AB25="",0,IF(COUNTIF(코드!$K$2:$K$60,AB25)&gt;0,1,0))</f>
        <v/>
      </c>
      <c r="AC137" s="41">
        <f>IF(AC25="",0,IF(COUNTIF(코드!$K$2:$K$60,AC25)&gt;0,1,0))</f>
        <v/>
      </c>
      <c r="AD137" s="41">
        <f>IF(AD25="",0,IF(COUNTIF(코드!$K$2:$K$60,AD25)&gt;0,1,0))</f>
        <v/>
      </c>
      <c r="AE137" s="41">
        <f>IF(AE25="",0,IF(COUNTIF(코드!$K$2:$K$60,AE25)&gt;0,1,0))</f>
        <v/>
      </c>
      <c r="AF137" s="41">
        <f>IF(AF25="",0,IF(COUNTIF(코드!$K$2:$K$60,AF25)&gt;0,1,0))</f>
        <v/>
      </c>
      <c r="AG137" s="41">
        <f>IF(AG25="",0,IF(COUNTIF(코드!$K$2:$K$60,AG25)&gt;0,1,0))</f>
        <v/>
      </c>
      <c r="AH137" s="41">
        <f>IF(AH25="",0,IF(COUNTIF(코드!$K$2:$K$60,AH25)&gt;0,1,0))</f>
        <v/>
      </c>
    </row>
    <row r="138">
      <c r="A138" s="15">
        <f>IF(명부!A20="","",명부!A20)</f>
        <v/>
      </c>
      <c r="B138" s="16">
        <f>IF(명부!C20="","",명부!C20)</f>
        <v/>
      </c>
      <c r="C138" s="17">
        <f>IF(명부!E20="","",명부!E20)</f>
        <v/>
      </c>
      <c r="D138" s="41">
        <f>IF(D26="",0,IF(COUNTIF(코드!$K$2:$K$60,D26)&gt;0,1,0))</f>
        <v/>
      </c>
      <c r="E138" s="41">
        <f>IF(E26="",0,IF(COUNTIF(코드!$K$2:$K$60,E26)&gt;0,1,0))</f>
        <v/>
      </c>
      <c r="F138" s="41">
        <f>IF(F26="",0,IF(COUNTIF(코드!$K$2:$K$60,F26)&gt;0,1,0))</f>
        <v/>
      </c>
      <c r="G138" s="41">
        <f>IF(G26="",0,IF(COUNTIF(코드!$K$2:$K$60,G26)&gt;0,1,0))</f>
        <v/>
      </c>
      <c r="H138" s="41">
        <f>IF(H26="",0,IF(COUNTIF(코드!$K$2:$K$60,H26)&gt;0,1,0))</f>
        <v/>
      </c>
      <c r="I138" s="41">
        <f>IF(I26="",0,IF(COUNTIF(코드!$K$2:$K$60,I26)&gt;0,1,0))</f>
        <v/>
      </c>
      <c r="J138" s="41">
        <f>IF(J26="",0,IF(COUNTIF(코드!$K$2:$K$60,J26)&gt;0,1,0))</f>
        <v/>
      </c>
      <c r="K138" s="41">
        <f>IF(K26="",0,IF(COUNTIF(코드!$K$2:$K$60,K26)&gt;0,1,0))</f>
        <v/>
      </c>
      <c r="L138" s="41">
        <f>IF(L26="",0,IF(COUNTIF(코드!$K$2:$K$60,L26)&gt;0,1,0))</f>
        <v/>
      </c>
      <c r="M138" s="41">
        <f>IF(M26="",0,IF(COUNTIF(코드!$K$2:$K$60,M26)&gt;0,1,0))</f>
        <v/>
      </c>
      <c r="N138" s="41">
        <f>IF(N26="",0,IF(COUNTIF(코드!$K$2:$K$60,N26)&gt;0,1,0))</f>
        <v/>
      </c>
      <c r="O138" s="41">
        <f>IF(O26="",0,IF(COUNTIF(코드!$K$2:$K$60,O26)&gt;0,1,0))</f>
        <v/>
      </c>
      <c r="P138" s="41">
        <f>IF(P26="",0,IF(COUNTIF(코드!$K$2:$K$60,P26)&gt;0,1,0))</f>
        <v/>
      </c>
      <c r="Q138" s="41">
        <f>IF(Q26="",0,IF(COUNTIF(코드!$K$2:$K$60,Q26)&gt;0,1,0))</f>
        <v/>
      </c>
      <c r="R138" s="41">
        <f>IF(R26="",0,IF(COUNTIF(코드!$K$2:$K$60,R26)&gt;0,1,0))</f>
        <v/>
      </c>
      <c r="S138" s="41">
        <f>IF(S26="",0,IF(COUNTIF(코드!$K$2:$K$60,S26)&gt;0,1,0))</f>
        <v/>
      </c>
      <c r="T138" s="41">
        <f>IF(T26="",0,IF(COUNTIF(코드!$K$2:$K$60,T26)&gt;0,1,0))</f>
        <v/>
      </c>
      <c r="U138" s="41">
        <f>IF(U26="",0,IF(COUNTIF(코드!$K$2:$K$60,U26)&gt;0,1,0))</f>
        <v/>
      </c>
      <c r="V138" s="41">
        <f>IF(V26="",0,IF(COUNTIF(코드!$K$2:$K$60,V26)&gt;0,1,0))</f>
        <v/>
      </c>
      <c r="W138" s="41">
        <f>IF(W26="",0,IF(COUNTIF(코드!$K$2:$K$60,W26)&gt;0,1,0))</f>
        <v/>
      </c>
      <c r="X138" s="41">
        <f>IF(X26="",0,IF(COUNTIF(코드!$K$2:$K$60,X26)&gt;0,1,0))</f>
        <v/>
      </c>
      <c r="Y138" s="41">
        <f>IF(Y26="",0,IF(COUNTIF(코드!$K$2:$K$60,Y26)&gt;0,1,0))</f>
        <v/>
      </c>
      <c r="Z138" s="41">
        <f>IF(Z26="",0,IF(COUNTIF(코드!$K$2:$K$60,Z26)&gt;0,1,0))</f>
        <v/>
      </c>
      <c r="AA138" s="41">
        <f>IF(AA26="",0,IF(COUNTIF(코드!$K$2:$K$60,AA26)&gt;0,1,0))</f>
        <v/>
      </c>
      <c r="AB138" s="41">
        <f>IF(AB26="",0,IF(COUNTIF(코드!$K$2:$K$60,AB26)&gt;0,1,0))</f>
        <v/>
      </c>
      <c r="AC138" s="41">
        <f>IF(AC26="",0,IF(COUNTIF(코드!$K$2:$K$60,AC26)&gt;0,1,0))</f>
        <v/>
      </c>
      <c r="AD138" s="41">
        <f>IF(AD26="",0,IF(COUNTIF(코드!$K$2:$K$60,AD26)&gt;0,1,0))</f>
        <v/>
      </c>
      <c r="AE138" s="41">
        <f>IF(AE26="",0,IF(COUNTIF(코드!$K$2:$K$60,AE26)&gt;0,1,0))</f>
        <v/>
      </c>
      <c r="AF138" s="41">
        <f>IF(AF26="",0,IF(COUNTIF(코드!$K$2:$K$60,AF26)&gt;0,1,0))</f>
        <v/>
      </c>
      <c r="AG138" s="41">
        <f>IF(AG26="",0,IF(COUNTIF(코드!$K$2:$K$60,AG26)&gt;0,1,0))</f>
        <v/>
      </c>
      <c r="AH138" s="41">
        <f>IF(AH26="",0,IF(COUNTIF(코드!$K$2:$K$60,AH26)&gt;0,1,0))</f>
        <v/>
      </c>
    </row>
    <row r="139">
      <c r="A139" s="15">
        <f>IF(명부!A21="","",명부!A21)</f>
        <v/>
      </c>
      <c r="B139" s="16">
        <f>IF(명부!C21="","",명부!C21)</f>
        <v/>
      </c>
      <c r="C139" s="17">
        <f>IF(명부!E21="","",명부!E21)</f>
        <v/>
      </c>
      <c r="D139" s="41">
        <f>IF(D27="",0,IF(COUNTIF(코드!$K$2:$K$60,D27)&gt;0,1,0))</f>
        <v/>
      </c>
      <c r="E139" s="41">
        <f>IF(E27="",0,IF(COUNTIF(코드!$K$2:$K$60,E27)&gt;0,1,0))</f>
        <v/>
      </c>
      <c r="F139" s="41">
        <f>IF(F27="",0,IF(COUNTIF(코드!$K$2:$K$60,F27)&gt;0,1,0))</f>
        <v/>
      </c>
      <c r="G139" s="41">
        <f>IF(G27="",0,IF(COUNTIF(코드!$K$2:$K$60,G27)&gt;0,1,0))</f>
        <v/>
      </c>
      <c r="H139" s="41">
        <f>IF(H27="",0,IF(COUNTIF(코드!$K$2:$K$60,H27)&gt;0,1,0))</f>
        <v/>
      </c>
      <c r="I139" s="41">
        <f>IF(I27="",0,IF(COUNTIF(코드!$K$2:$K$60,I27)&gt;0,1,0))</f>
        <v/>
      </c>
      <c r="J139" s="41">
        <f>IF(J27="",0,IF(COUNTIF(코드!$K$2:$K$60,J27)&gt;0,1,0))</f>
        <v/>
      </c>
      <c r="K139" s="41">
        <f>IF(K27="",0,IF(COUNTIF(코드!$K$2:$K$60,K27)&gt;0,1,0))</f>
        <v/>
      </c>
      <c r="L139" s="41">
        <f>IF(L27="",0,IF(COUNTIF(코드!$K$2:$K$60,L27)&gt;0,1,0))</f>
        <v/>
      </c>
      <c r="M139" s="41">
        <f>IF(M27="",0,IF(COUNTIF(코드!$K$2:$K$60,M27)&gt;0,1,0))</f>
        <v/>
      </c>
      <c r="N139" s="41">
        <f>IF(N27="",0,IF(COUNTIF(코드!$K$2:$K$60,N27)&gt;0,1,0))</f>
        <v/>
      </c>
      <c r="O139" s="41">
        <f>IF(O27="",0,IF(COUNTIF(코드!$K$2:$K$60,O27)&gt;0,1,0))</f>
        <v/>
      </c>
      <c r="P139" s="41">
        <f>IF(P27="",0,IF(COUNTIF(코드!$K$2:$K$60,P27)&gt;0,1,0))</f>
        <v/>
      </c>
      <c r="Q139" s="41">
        <f>IF(Q27="",0,IF(COUNTIF(코드!$K$2:$K$60,Q27)&gt;0,1,0))</f>
        <v/>
      </c>
      <c r="R139" s="41">
        <f>IF(R27="",0,IF(COUNTIF(코드!$K$2:$K$60,R27)&gt;0,1,0))</f>
        <v/>
      </c>
      <c r="S139" s="41">
        <f>IF(S27="",0,IF(COUNTIF(코드!$K$2:$K$60,S27)&gt;0,1,0))</f>
        <v/>
      </c>
      <c r="T139" s="41">
        <f>IF(T27="",0,IF(COUNTIF(코드!$K$2:$K$60,T27)&gt;0,1,0))</f>
        <v/>
      </c>
      <c r="U139" s="41">
        <f>IF(U27="",0,IF(COUNTIF(코드!$K$2:$K$60,U27)&gt;0,1,0))</f>
        <v/>
      </c>
      <c r="V139" s="41">
        <f>IF(V27="",0,IF(COUNTIF(코드!$K$2:$K$60,V27)&gt;0,1,0))</f>
        <v/>
      </c>
      <c r="W139" s="41">
        <f>IF(W27="",0,IF(COUNTIF(코드!$K$2:$K$60,W27)&gt;0,1,0))</f>
        <v/>
      </c>
      <c r="X139" s="41">
        <f>IF(X27="",0,IF(COUNTIF(코드!$K$2:$K$60,X27)&gt;0,1,0))</f>
        <v/>
      </c>
      <c r="Y139" s="41">
        <f>IF(Y27="",0,IF(COUNTIF(코드!$K$2:$K$60,Y27)&gt;0,1,0))</f>
        <v/>
      </c>
      <c r="Z139" s="41">
        <f>IF(Z27="",0,IF(COUNTIF(코드!$K$2:$K$60,Z27)&gt;0,1,0))</f>
        <v/>
      </c>
      <c r="AA139" s="41">
        <f>IF(AA27="",0,IF(COUNTIF(코드!$K$2:$K$60,AA27)&gt;0,1,0))</f>
        <v/>
      </c>
      <c r="AB139" s="41">
        <f>IF(AB27="",0,IF(COUNTIF(코드!$K$2:$K$60,AB27)&gt;0,1,0))</f>
        <v/>
      </c>
      <c r="AC139" s="41">
        <f>IF(AC27="",0,IF(COUNTIF(코드!$K$2:$K$60,AC27)&gt;0,1,0))</f>
        <v/>
      </c>
      <c r="AD139" s="41">
        <f>IF(AD27="",0,IF(COUNTIF(코드!$K$2:$K$60,AD27)&gt;0,1,0))</f>
        <v/>
      </c>
      <c r="AE139" s="41">
        <f>IF(AE27="",0,IF(COUNTIF(코드!$K$2:$K$60,AE27)&gt;0,1,0))</f>
        <v/>
      </c>
      <c r="AF139" s="41">
        <f>IF(AF27="",0,IF(COUNTIF(코드!$K$2:$K$60,AF27)&gt;0,1,0))</f>
        <v/>
      </c>
      <c r="AG139" s="41">
        <f>IF(AG27="",0,IF(COUNTIF(코드!$K$2:$K$60,AG27)&gt;0,1,0))</f>
        <v/>
      </c>
      <c r="AH139" s="41">
        <f>IF(AH27="",0,IF(COUNTIF(코드!$K$2:$K$60,AH27)&gt;0,1,0))</f>
        <v/>
      </c>
    </row>
    <row r="140">
      <c r="A140" s="15">
        <f>IF(명부!A22="","",명부!A22)</f>
        <v/>
      </c>
      <c r="B140" s="16">
        <f>IF(명부!C22="","",명부!C22)</f>
        <v/>
      </c>
      <c r="C140" s="17">
        <f>IF(명부!E22="","",명부!E22)</f>
        <v/>
      </c>
      <c r="D140" s="41">
        <f>IF(D28="",0,IF(COUNTIF(코드!$K$2:$K$60,D28)&gt;0,1,0))</f>
        <v/>
      </c>
      <c r="E140" s="41">
        <f>IF(E28="",0,IF(COUNTIF(코드!$K$2:$K$60,E28)&gt;0,1,0))</f>
        <v/>
      </c>
      <c r="F140" s="41">
        <f>IF(F28="",0,IF(COUNTIF(코드!$K$2:$K$60,F28)&gt;0,1,0))</f>
        <v/>
      </c>
      <c r="G140" s="41">
        <f>IF(G28="",0,IF(COUNTIF(코드!$K$2:$K$60,G28)&gt;0,1,0))</f>
        <v/>
      </c>
      <c r="H140" s="41">
        <f>IF(H28="",0,IF(COUNTIF(코드!$K$2:$K$60,H28)&gt;0,1,0))</f>
        <v/>
      </c>
      <c r="I140" s="41">
        <f>IF(I28="",0,IF(COUNTIF(코드!$K$2:$K$60,I28)&gt;0,1,0))</f>
        <v/>
      </c>
      <c r="J140" s="41">
        <f>IF(J28="",0,IF(COUNTIF(코드!$K$2:$K$60,J28)&gt;0,1,0))</f>
        <v/>
      </c>
      <c r="K140" s="41">
        <f>IF(K28="",0,IF(COUNTIF(코드!$K$2:$K$60,K28)&gt;0,1,0))</f>
        <v/>
      </c>
      <c r="L140" s="41">
        <f>IF(L28="",0,IF(COUNTIF(코드!$K$2:$K$60,L28)&gt;0,1,0))</f>
        <v/>
      </c>
      <c r="M140" s="41">
        <f>IF(M28="",0,IF(COUNTIF(코드!$K$2:$K$60,M28)&gt;0,1,0))</f>
        <v/>
      </c>
      <c r="N140" s="41">
        <f>IF(N28="",0,IF(COUNTIF(코드!$K$2:$K$60,N28)&gt;0,1,0))</f>
        <v/>
      </c>
      <c r="O140" s="41">
        <f>IF(O28="",0,IF(COUNTIF(코드!$K$2:$K$60,O28)&gt;0,1,0))</f>
        <v/>
      </c>
      <c r="P140" s="41">
        <f>IF(P28="",0,IF(COUNTIF(코드!$K$2:$K$60,P28)&gt;0,1,0))</f>
        <v/>
      </c>
      <c r="Q140" s="41">
        <f>IF(Q28="",0,IF(COUNTIF(코드!$K$2:$K$60,Q28)&gt;0,1,0))</f>
        <v/>
      </c>
      <c r="R140" s="41">
        <f>IF(R28="",0,IF(COUNTIF(코드!$K$2:$K$60,R28)&gt;0,1,0))</f>
        <v/>
      </c>
      <c r="S140" s="41">
        <f>IF(S28="",0,IF(COUNTIF(코드!$K$2:$K$60,S28)&gt;0,1,0))</f>
        <v/>
      </c>
      <c r="T140" s="41">
        <f>IF(T28="",0,IF(COUNTIF(코드!$K$2:$K$60,T28)&gt;0,1,0))</f>
        <v/>
      </c>
      <c r="U140" s="41">
        <f>IF(U28="",0,IF(COUNTIF(코드!$K$2:$K$60,U28)&gt;0,1,0))</f>
        <v/>
      </c>
      <c r="V140" s="41">
        <f>IF(V28="",0,IF(COUNTIF(코드!$K$2:$K$60,V28)&gt;0,1,0))</f>
        <v/>
      </c>
      <c r="W140" s="41">
        <f>IF(W28="",0,IF(COUNTIF(코드!$K$2:$K$60,W28)&gt;0,1,0))</f>
        <v/>
      </c>
      <c r="X140" s="41">
        <f>IF(X28="",0,IF(COUNTIF(코드!$K$2:$K$60,X28)&gt;0,1,0))</f>
        <v/>
      </c>
      <c r="Y140" s="41">
        <f>IF(Y28="",0,IF(COUNTIF(코드!$K$2:$K$60,Y28)&gt;0,1,0))</f>
        <v/>
      </c>
      <c r="Z140" s="41">
        <f>IF(Z28="",0,IF(COUNTIF(코드!$K$2:$K$60,Z28)&gt;0,1,0))</f>
        <v/>
      </c>
      <c r="AA140" s="41">
        <f>IF(AA28="",0,IF(COUNTIF(코드!$K$2:$K$60,AA28)&gt;0,1,0))</f>
        <v/>
      </c>
      <c r="AB140" s="41">
        <f>IF(AB28="",0,IF(COUNTIF(코드!$K$2:$K$60,AB28)&gt;0,1,0))</f>
        <v/>
      </c>
      <c r="AC140" s="41">
        <f>IF(AC28="",0,IF(COUNTIF(코드!$K$2:$K$60,AC28)&gt;0,1,0))</f>
        <v/>
      </c>
      <c r="AD140" s="41">
        <f>IF(AD28="",0,IF(COUNTIF(코드!$K$2:$K$60,AD28)&gt;0,1,0))</f>
        <v/>
      </c>
      <c r="AE140" s="41">
        <f>IF(AE28="",0,IF(COUNTIF(코드!$K$2:$K$60,AE28)&gt;0,1,0))</f>
        <v/>
      </c>
      <c r="AF140" s="41">
        <f>IF(AF28="",0,IF(COUNTIF(코드!$K$2:$K$60,AF28)&gt;0,1,0))</f>
        <v/>
      </c>
      <c r="AG140" s="41">
        <f>IF(AG28="",0,IF(COUNTIF(코드!$K$2:$K$60,AG28)&gt;0,1,0))</f>
        <v/>
      </c>
      <c r="AH140" s="41">
        <f>IF(AH28="",0,IF(COUNTIF(코드!$K$2:$K$60,AH28)&gt;0,1,0))</f>
        <v/>
      </c>
    </row>
    <row r="141">
      <c r="A141" s="15">
        <f>IF(명부!A23="","",명부!A23)</f>
        <v/>
      </c>
      <c r="B141" s="16">
        <f>IF(명부!C23="","",명부!C23)</f>
        <v/>
      </c>
      <c r="C141" s="17">
        <f>IF(명부!E23="","",명부!E23)</f>
        <v/>
      </c>
      <c r="D141" s="41">
        <f>IF(D29="",0,IF(COUNTIF(코드!$K$2:$K$60,D29)&gt;0,1,0))</f>
        <v/>
      </c>
      <c r="E141" s="41">
        <f>IF(E29="",0,IF(COUNTIF(코드!$K$2:$K$60,E29)&gt;0,1,0))</f>
        <v/>
      </c>
      <c r="F141" s="41">
        <f>IF(F29="",0,IF(COUNTIF(코드!$K$2:$K$60,F29)&gt;0,1,0))</f>
        <v/>
      </c>
      <c r="G141" s="41">
        <f>IF(G29="",0,IF(COUNTIF(코드!$K$2:$K$60,G29)&gt;0,1,0))</f>
        <v/>
      </c>
      <c r="H141" s="41">
        <f>IF(H29="",0,IF(COUNTIF(코드!$K$2:$K$60,H29)&gt;0,1,0))</f>
        <v/>
      </c>
      <c r="I141" s="41">
        <f>IF(I29="",0,IF(COUNTIF(코드!$K$2:$K$60,I29)&gt;0,1,0))</f>
        <v/>
      </c>
      <c r="J141" s="41">
        <f>IF(J29="",0,IF(COUNTIF(코드!$K$2:$K$60,J29)&gt;0,1,0))</f>
        <v/>
      </c>
      <c r="K141" s="41">
        <f>IF(K29="",0,IF(COUNTIF(코드!$K$2:$K$60,K29)&gt;0,1,0))</f>
        <v/>
      </c>
      <c r="L141" s="41">
        <f>IF(L29="",0,IF(COUNTIF(코드!$K$2:$K$60,L29)&gt;0,1,0))</f>
        <v/>
      </c>
      <c r="M141" s="41">
        <f>IF(M29="",0,IF(COUNTIF(코드!$K$2:$K$60,M29)&gt;0,1,0))</f>
        <v/>
      </c>
      <c r="N141" s="41">
        <f>IF(N29="",0,IF(COUNTIF(코드!$K$2:$K$60,N29)&gt;0,1,0))</f>
        <v/>
      </c>
      <c r="O141" s="41">
        <f>IF(O29="",0,IF(COUNTIF(코드!$K$2:$K$60,O29)&gt;0,1,0))</f>
        <v/>
      </c>
      <c r="P141" s="41">
        <f>IF(P29="",0,IF(COUNTIF(코드!$K$2:$K$60,P29)&gt;0,1,0))</f>
        <v/>
      </c>
      <c r="Q141" s="41">
        <f>IF(Q29="",0,IF(COUNTIF(코드!$K$2:$K$60,Q29)&gt;0,1,0))</f>
        <v/>
      </c>
      <c r="R141" s="41">
        <f>IF(R29="",0,IF(COUNTIF(코드!$K$2:$K$60,R29)&gt;0,1,0))</f>
        <v/>
      </c>
      <c r="S141" s="41">
        <f>IF(S29="",0,IF(COUNTIF(코드!$K$2:$K$60,S29)&gt;0,1,0))</f>
        <v/>
      </c>
      <c r="T141" s="41">
        <f>IF(T29="",0,IF(COUNTIF(코드!$K$2:$K$60,T29)&gt;0,1,0))</f>
        <v/>
      </c>
      <c r="U141" s="41">
        <f>IF(U29="",0,IF(COUNTIF(코드!$K$2:$K$60,U29)&gt;0,1,0))</f>
        <v/>
      </c>
      <c r="V141" s="41">
        <f>IF(V29="",0,IF(COUNTIF(코드!$K$2:$K$60,V29)&gt;0,1,0))</f>
        <v/>
      </c>
      <c r="W141" s="41">
        <f>IF(W29="",0,IF(COUNTIF(코드!$K$2:$K$60,W29)&gt;0,1,0))</f>
        <v/>
      </c>
      <c r="X141" s="41">
        <f>IF(X29="",0,IF(COUNTIF(코드!$K$2:$K$60,X29)&gt;0,1,0))</f>
        <v/>
      </c>
      <c r="Y141" s="41">
        <f>IF(Y29="",0,IF(COUNTIF(코드!$K$2:$K$60,Y29)&gt;0,1,0))</f>
        <v/>
      </c>
      <c r="Z141" s="41">
        <f>IF(Z29="",0,IF(COUNTIF(코드!$K$2:$K$60,Z29)&gt;0,1,0))</f>
        <v/>
      </c>
      <c r="AA141" s="41">
        <f>IF(AA29="",0,IF(COUNTIF(코드!$K$2:$K$60,AA29)&gt;0,1,0))</f>
        <v/>
      </c>
      <c r="AB141" s="41">
        <f>IF(AB29="",0,IF(COUNTIF(코드!$K$2:$K$60,AB29)&gt;0,1,0))</f>
        <v/>
      </c>
      <c r="AC141" s="41">
        <f>IF(AC29="",0,IF(COUNTIF(코드!$K$2:$K$60,AC29)&gt;0,1,0))</f>
        <v/>
      </c>
      <c r="AD141" s="41">
        <f>IF(AD29="",0,IF(COUNTIF(코드!$K$2:$K$60,AD29)&gt;0,1,0))</f>
        <v/>
      </c>
      <c r="AE141" s="41">
        <f>IF(AE29="",0,IF(COUNTIF(코드!$K$2:$K$60,AE29)&gt;0,1,0))</f>
        <v/>
      </c>
      <c r="AF141" s="41">
        <f>IF(AF29="",0,IF(COUNTIF(코드!$K$2:$K$60,AF29)&gt;0,1,0))</f>
        <v/>
      </c>
      <c r="AG141" s="41">
        <f>IF(AG29="",0,IF(COUNTIF(코드!$K$2:$K$60,AG29)&gt;0,1,0))</f>
        <v/>
      </c>
      <c r="AH141" s="41">
        <f>IF(AH29="",0,IF(COUNTIF(코드!$K$2:$K$60,AH29)&gt;0,1,0))</f>
        <v/>
      </c>
    </row>
    <row r="142">
      <c r="A142" s="15">
        <f>IF(명부!A24="","",명부!A24)</f>
        <v/>
      </c>
      <c r="B142" s="16">
        <f>IF(명부!C24="","",명부!C24)</f>
        <v/>
      </c>
      <c r="C142" s="17">
        <f>IF(명부!E24="","",명부!E24)</f>
        <v/>
      </c>
      <c r="D142" s="41">
        <f>IF(D30="",0,IF(COUNTIF(코드!$K$2:$K$60,D30)&gt;0,1,0))</f>
        <v/>
      </c>
      <c r="E142" s="41">
        <f>IF(E30="",0,IF(COUNTIF(코드!$K$2:$K$60,E30)&gt;0,1,0))</f>
        <v/>
      </c>
      <c r="F142" s="41">
        <f>IF(F30="",0,IF(COUNTIF(코드!$K$2:$K$60,F30)&gt;0,1,0))</f>
        <v/>
      </c>
      <c r="G142" s="41">
        <f>IF(G30="",0,IF(COUNTIF(코드!$K$2:$K$60,G30)&gt;0,1,0))</f>
        <v/>
      </c>
      <c r="H142" s="41">
        <f>IF(H30="",0,IF(COUNTIF(코드!$K$2:$K$60,H30)&gt;0,1,0))</f>
        <v/>
      </c>
      <c r="I142" s="41">
        <f>IF(I30="",0,IF(COUNTIF(코드!$K$2:$K$60,I30)&gt;0,1,0))</f>
        <v/>
      </c>
      <c r="J142" s="41">
        <f>IF(J30="",0,IF(COUNTIF(코드!$K$2:$K$60,J30)&gt;0,1,0))</f>
        <v/>
      </c>
      <c r="K142" s="41">
        <f>IF(K30="",0,IF(COUNTIF(코드!$K$2:$K$60,K30)&gt;0,1,0))</f>
        <v/>
      </c>
      <c r="L142" s="41">
        <f>IF(L30="",0,IF(COUNTIF(코드!$K$2:$K$60,L30)&gt;0,1,0))</f>
        <v/>
      </c>
      <c r="M142" s="41">
        <f>IF(M30="",0,IF(COUNTIF(코드!$K$2:$K$60,M30)&gt;0,1,0))</f>
        <v/>
      </c>
      <c r="N142" s="41">
        <f>IF(N30="",0,IF(COUNTIF(코드!$K$2:$K$60,N30)&gt;0,1,0))</f>
        <v/>
      </c>
      <c r="O142" s="41">
        <f>IF(O30="",0,IF(COUNTIF(코드!$K$2:$K$60,O30)&gt;0,1,0))</f>
        <v/>
      </c>
      <c r="P142" s="41">
        <f>IF(P30="",0,IF(COUNTIF(코드!$K$2:$K$60,P30)&gt;0,1,0))</f>
        <v/>
      </c>
      <c r="Q142" s="41">
        <f>IF(Q30="",0,IF(COUNTIF(코드!$K$2:$K$60,Q30)&gt;0,1,0))</f>
        <v/>
      </c>
      <c r="R142" s="41">
        <f>IF(R30="",0,IF(COUNTIF(코드!$K$2:$K$60,R30)&gt;0,1,0))</f>
        <v/>
      </c>
      <c r="S142" s="41">
        <f>IF(S30="",0,IF(COUNTIF(코드!$K$2:$K$60,S30)&gt;0,1,0))</f>
        <v/>
      </c>
      <c r="T142" s="41">
        <f>IF(T30="",0,IF(COUNTIF(코드!$K$2:$K$60,T30)&gt;0,1,0))</f>
        <v/>
      </c>
      <c r="U142" s="41">
        <f>IF(U30="",0,IF(COUNTIF(코드!$K$2:$K$60,U30)&gt;0,1,0))</f>
        <v/>
      </c>
      <c r="V142" s="41">
        <f>IF(V30="",0,IF(COUNTIF(코드!$K$2:$K$60,V30)&gt;0,1,0))</f>
        <v/>
      </c>
      <c r="W142" s="41">
        <f>IF(W30="",0,IF(COUNTIF(코드!$K$2:$K$60,W30)&gt;0,1,0))</f>
        <v/>
      </c>
      <c r="X142" s="41">
        <f>IF(X30="",0,IF(COUNTIF(코드!$K$2:$K$60,X30)&gt;0,1,0))</f>
        <v/>
      </c>
      <c r="Y142" s="41">
        <f>IF(Y30="",0,IF(COUNTIF(코드!$K$2:$K$60,Y30)&gt;0,1,0))</f>
        <v/>
      </c>
      <c r="Z142" s="41">
        <f>IF(Z30="",0,IF(COUNTIF(코드!$K$2:$K$60,Z30)&gt;0,1,0))</f>
        <v/>
      </c>
      <c r="AA142" s="41">
        <f>IF(AA30="",0,IF(COUNTIF(코드!$K$2:$K$60,AA30)&gt;0,1,0))</f>
        <v/>
      </c>
      <c r="AB142" s="41">
        <f>IF(AB30="",0,IF(COUNTIF(코드!$K$2:$K$60,AB30)&gt;0,1,0))</f>
        <v/>
      </c>
      <c r="AC142" s="41">
        <f>IF(AC30="",0,IF(COUNTIF(코드!$K$2:$K$60,AC30)&gt;0,1,0))</f>
        <v/>
      </c>
      <c r="AD142" s="41">
        <f>IF(AD30="",0,IF(COUNTIF(코드!$K$2:$K$60,AD30)&gt;0,1,0))</f>
        <v/>
      </c>
      <c r="AE142" s="41">
        <f>IF(AE30="",0,IF(COUNTIF(코드!$K$2:$K$60,AE30)&gt;0,1,0))</f>
        <v/>
      </c>
      <c r="AF142" s="41">
        <f>IF(AF30="",0,IF(COUNTIF(코드!$K$2:$K$60,AF30)&gt;0,1,0))</f>
        <v/>
      </c>
      <c r="AG142" s="41">
        <f>IF(AG30="",0,IF(COUNTIF(코드!$K$2:$K$60,AG30)&gt;0,1,0))</f>
        <v/>
      </c>
      <c r="AH142" s="41">
        <f>IF(AH30="",0,IF(COUNTIF(코드!$K$2:$K$60,AH30)&gt;0,1,0))</f>
        <v/>
      </c>
    </row>
    <row r="143">
      <c r="A143" s="15">
        <f>IF(명부!A25="","",명부!A25)</f>
        <v/>
      </c>
      <c r="B143" s="16">
        <f>IF(명부!C25="","",명부!C25)</f>
        <v/>
      </c>
      <c r="C143" s="17">
        <f>IF(명부!E25="","",명부!E25)</f>
        <v/>
      </c>
      <c r="D143" s="41">
        <f>IF(D31="",0,IF(COUNTIF(코드!$K$2:$K$60,D31)&gt;0,1,0))</f>
        <v/>
      </c>
      <c r="E143" s="41">
        <f>IF(E31="",0,IF(COUNTIF(코드!$K$2:$K$60,E31)&gt;0,1,0))</f>
        <v/>
      </c>
      <c r="F143" s="41">
        <f>IF(F31="",0,IF(COUNTIF(코드!$K$2:$K$60,F31)&gt;0,1,0))</f>
        <v/>
      </c>
      <c r="G143" s="41">
        <f>IF(G31="",0,IF(COUNTIF(코드!$K$2:$K$60,G31)&gt;0,1,0))</f>
        <v/>
      </c>
      <c r="H143" s="41">
        <f>IF(H31="",0,IF(COUNTIF(코드!$K$2:$K$60,H31)&gt;0,1,0))</f>
        <v/>
      </c>
      <c r="I143" s="41">
        <f>IF(I31="",0,IF(COUNTIF(코드!$K$2:$K$60,I31)&gt;0,1,0))</f>
        <v/>
      </c>
      <c r="J143" s="41">
        <f>IF(J31="",0,IF(COUNTIF(코드!$K$2:$K$60,J31)&gt;0,1,0))</f>
        <v/>
      </c>
      <c r="K143" s="41">
        <f>IF(K31="",0,IF(COUNTIF(코드!$K$2:$K$60,K31)&gt;0,1,0))</f>
        <v/>
      </c>
      <c r="L143" s="41">
        <f>IF(L31="",0,IF(COUNTIF(코드!$K$2:$K$60,L31)&gt;0,1,0))</f>
        <v/>
      </c>
      <c r="M143" s="41">
        <f>IF(M31="",0,IF(COUNTIF(코드!$K$2:$K$60,M31)&gt;0,1,0))</f>
        <v/>
      </c>
      <c r="N143" s="41">
        <f>IF(N31="",0,IF(COUNTIF(코드!$K$2:$K$60,N31)&gt;0,1,0))</f>
        <v/>
      </c>
      <c r="O143" s="41">
        <f>IF(O31="",0,IF(COUNTIF(코드!$K$2:$K$60,O31)&gt;0,1,0))</f>
        <v/>
      </c>
      <c r="P143" s="41">
        <f>IF(P31="",0,IF(COUNTIF(코드!$K$2:$K$60,P31)&gt;0,1,0))</f>
        <v/>
      </c>
      <c r="Q143" s="41">
        <f>IF(Q31="",0,IF(COUNTIF(코드!$K$2:$K$60,Q31)&gt;0,1,0))</f>
        <v/>
      </c>
      <c r="R143" s="41">
        <f>IF(R31="",0,IF(COUNTIF(코드!$K$2:$K$60,R31)&gt;0,1,0))</f>
        <v/>
      </c>
      <c r="S143" s="41">
        <f>IF(S31="",0,IF(COUNTIF(코드!$K$2:$K$60,S31)&gt;0,1,0))</f>
        <v/>
      </c>
      <c r="T143" s="41">
        <f>IF(T31="",0,IF(COUNTIF(코드!$K$2:$K$60,T31)&gt;0,1,0))</f>
        <v/>
      </c>
      <c r="U143" s="41">
        <f>IF(U31="",0,IF(COUNTIF(코드!$K$2:$K$60,U31)&gt;0,1,0))</f>
        <v/>
      </c>
      <c r="V143" s="41">
        <f>IF(V31="",0,IF(COUNTIF(코드!$K$2:$K$60,V31)&gt;0,1,0))</f>
        <v/>
      </c>
      <c r="W143" s="41">
        <f>IF(W31="",0,IF(COUNTIF(코드!$K$2:$K$60,W31)&gt;0,1,0))</f>
        <v/>
      </c>
      <c r="X143" s="41">
        <f>IF(X31="",0,IF(COUNTIF(코드!$K$2:$K$60,X31)&gt;0,1,0))</f>
        <v/>
      </c>
      <c r="Y143" s="41">
        <f>IF(Y31="",0,IF(COUNTIF(코드!$K$2:$K$60,Y31)&gt;0,1,0))</f>
        <v/>
      </c>
      <c r="Z143" s="41">
        <f>IF(Z31="",0,IF(COUNTIF(코드!$K$2:$K$60,Z31)&gt;0,1,0))</f>
        <v/>
      </c>
      <c r="AA143" s="41">
        <f>IF(AA31="",0,IF(COUNTIF(코드!$K$2:$K$60,AA31)&gt;0,1,0))</f>
        <v/>
      </c>
      <c r="AB143" s="41">
        <f>IF(AB31="",0,IF(COUNTIF(코드!$K$2:$K$60,AB31)&gt;0,1,0))</f>
        <v/>
      </c>
      <c r="AC143" s="41">
        <f>IF(AC31="",0,IF(COUNTIF(코드!$K$2:$K$60,AC31)&gt;0,1,0))</f>
        <v/>
      </c>
      <c r="AD143" s="41">
        <f>IF(AD31="",0,IF(COUNTIF(코드!$K$2:$K$60,AD31)&gt;0,1,0))</f>
        <v/>
      </c>
      <c r="AE143" s="41">
        <f>IF(AE31="",0,IF(COUNTIF(코드!$K$2:$K$60,AE31)&gt;0,1,0))</f>
        <v/>
      </c>
      <c r="AF143" s="41">
        <f>IF(AF31="",0,IF(COUNTIF(코드!$K$2:$K$60,AF31)&gt;0,1,0))</f>
        <v/>
      </c>
      <c r="AG143" s="41">
        <f>IF(AG31="",0,IF(COUNTIF(코드!$K$2:$K$60,AG31)&gt;0,1,0))</f>
        <v/>
      </c>
      <c r="AH143" s="41">
        <f>IF(AH31="",0,IF(COUNTIF(코드!$K$2:$K$60,AH31)&gt;0,1,0))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2026-09-09T04:51:14Z</dcterms:created>
  <dcterms:modified xsi:type="dcterms:W3CDTF">2026-09-09T04:51:15Z</dcterms:modified>
</cp:coreProperties>
</file>