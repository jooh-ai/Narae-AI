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근태" sheetId="2" state="visible" r:id="rId2"/>
    <sheet name="OT" sheetId="3" state="visible" r:id="rId3"/>
    <sheet name="개인요약" sheetId="4" state="visible" r:id="rId4"/>
    <sheet name="명부" sheetId="5" state="visible" r:id="rId5"/>
    <sheet name="공휴일" sheetId="6" state="visible" r:id="rId6"/>
    <sheet name="코드" sheetId="7" state="hidden" r:id="rId7"/>
    <sheet name="시간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##"/>
    <numFmt numFmtId="165" formatCode="+0.##;-0.##;0"/>
    <numFmt numFmtId="166" formatCode="0.##;;"/>
    <numFmt numFmtId="167" formatCode="yyyy-mm-dd"/>
  </numFmts>
  <fonts count="12">
    <font>
      <name val="Calibri"/>
      <family val="2"/>
      <color theme="1"/>
      <sz val="11"/>
      <scheme val="minor"/>
    </font>
    <font>
      <name val="맑은 고딕"/>
      <b val="1"/>
      <color rgb="0016181D"/>
      <sz val="9"/>
    </font>
    <font>
      <name val="맑은 고딕"/>
      <color rgb="0016181D"/>
      <sz val="9"/>
    </font>
    <font>
      <name val="맑은 고딕"/>
      <color rgb="006B7280"/>
      <sz val="9"/>
    </font>
    <font>
      <name val="맑은 고딕"/>
      <b val="1"/>
      <color rgb="0016181D"/>
      <sz val="10"/>
    </font>
    <font>
      <name val="맑은 고딕"/>
      <b val="1"/>
      <color rgb="001C4E80"/>
      <sz val="13"/>
    </font>
    <font>
      <name val="맑은 고딕"/>
      <color rgb="006B7280"/>
      <sz val="8"/>
    </font>
    <font>
      <name val="맑은 고딕"/>
      <b val="1"/>
      <color rgb="0016181D"/>
      <sz val="9.5"/>
    </font>
    <font>
      <name val="맑은 고딕"/>
      <color rgb="0016181D"/>
      <sz val="10"/>
    </font>
    <font>
      <name val="맑은 고딕"/>
      <b val="1"/>
      <color rgb="001C4E80"/>
      <sz val="14"/>
    </font>
    <font>
      <name val="맑은 고딕"/>
      <b val="1"/>
      <color rgb="00B3261E"/>
      <sz val="11"/>
    </font>
    <font>
      <name val="맑은 고딕"/>
      <b val="1"/>
      <color rgb="001C4E80"/>
      <sz val="11"/>
    </font>
  </fonts>
  <fills count="5">
    <fill>
      <patternFill/>
    </fill>
    <fill>
      <patternFill patternType="gray125"/>
    </fill>
    <fill>
      <patternFill patternType="solid">
        <fgColor rgb="00EEF1F5"/>
      </patternFill>
    </fill>
    <fill>
      <patternFill patternType="solid">
        <fgColor rgb="00FFFF00"/>
      </patternFill>
    </fill>
    <fill>
      <patternFill patternType="solid">
        <fgColor rgb="00E6F4EC"/>
      </patternFill>
    </fill>
  </fills>
  <borders count="2">
    <border>
      <left/>
      <right/>
      <top/>
      <bottom/>
      <diagonal/>
    </border>
    <border>
      <left style="thin">
        <color rgb="00D8DCE1"/>
      </left>
      <right style="thin">
        <color rgb="00D8DCE1"/>
      </right>
      <top style="thin">
        <color rgb="00D8DCE1"/>
      </top>
      <bottom style="thin">
        <color rgb="00D8DCE1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right" vertical="center"/>
    </xf>
    <xf numFmtId="0" fontId="4" fillId="3" borderId="1" applyAlignment="1" applyProtection="1" pivotButton="0" quotePrefix="0" xfId="0">
      <alignment horizontal="center" vertical="center"/>
      <protection locked="0" hidden="0"/>
    </xf>
    <xf numFmtId="0" fontId="5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applyProtection="1" pivotButton="0" quotePrefix="0" xfId="0">
      <alignment horizontal="center" vertical="center"/>
      <protection locked="0" hidden="0"/>
    </xf>
    <xf numFmtId="0" fontId="1" fillId="2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2" fillId="0" borderId="1" applyAlignment="1" applyProtection="1" pivotButton="0" quotePrefix="0" xfId="0">
      <alignment horizontal="center" vertical="center"/>
      <protection locked="0" hidden="0"/>
    </xf>
    <xf numFmtId="164" fontId="2" fillId="0" borderId="1" applyAlignment="1" pivotButton="0" quotePrefix="0" xfId="0">
      <alignment horizontal="center" vertical="center"/>
    </xf>
    <xf numFmtId="164" fontId="1" fillId="2" borderId="1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  <xf numFmtId="164" fontId="2" fillId="3" borderId="1" applyAlignment="1" applyProtection="1" pivotButton="0" quotePrefix="0" xfId="0">
      <alignment horizontal="center" vertical="center"/>
      <protection locked="0" hidden="0"/>
    </xf>
    <xf numFmtId="164" fontId="3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0" fontId="8" fillId="0" borderId="1" applyAlignment="1" applyProtection="1" pivotButton="0" quotePrefix="0" xfId="0">
      <alignment horizontal="left" vertical="center"/>
      <protection locked="0" hidden="0"/>
    </xf>
    <xf numFmtId="0" fontId="8" fillId="0" borderId="1" applyAlignment="1" applyProtection="1" pivotButton="0" quotePrefix="0" xfId="0">
      <alignment horizontal="center" vertical="center"/>
      <protection locked="0" hidden="0"/>
    </xf>
    <xf numFmtId="0" fontId="4" fillId="0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167" fontId="8" fillId="0" borderId="1" applyAlignment="1" applyProtection="1" pivotButton="0" quotePrefix="0" xfId="0">
      <alignment horizontal="center" vertical="center"/>
      <protection locked="0" hidden="0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맑은 고딕"/>
        <b val="1"/>
        <color rgb="008A5A00"/>
        <sz val="9"/>
      </font>
      <fill>
        <patternFill patternType="solid">
          <fgColor rgb="00FFF3B0"/>
        </patternFill>
      </fill>
    </dxf>
    <dxf>
      <fill>
        <patternFill patternType="solid">
          <fgColor rgb="00F0F1F3"/>
        </patternFill>
      </fill>
    </dxf>
    <dxf>
      <fill>
        <patternFill patternType="solid">
          <fgColor rgb="00FFFDE7"/>
        </patternFill>
      </fill>
    </dxf>
    <dxf>
      <font>
        <name val="맑은 고딕"/>
        <b val="1"/>
        <color rgb="00B3261E"/>
        <sz val="9"/>
      </font>
      <fill>
        <patternFill patternType="solid">
          <fgColor rgb="00FBEAE9"/>
        </patternFill>
      </fill>
    </dxf>
    <dxf>
      <font>
        <name val="맑은 고딕"/>
        <b val="1"/>
        <color rgb="000F7B4F"/>
        <sz val="9"/>
      </font>
      <fill>
        <patternFill patternType="solid">
          <fgColor rgb="00E6F4EC"/>
        </patternFill>
      </fill>
    </dxf>
    <dxf>
      <fill>
        <patternFill patternType="solid">
          <fgColor rgb="00FDF3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위례 근태 관리 — Teams · OneDrive 공동 편집용</t>
        </is>
      </c>
    </row>
    <row r="2">
      <c r="A2" s="2" t="inlineStr"/>
    </row>
    <row r="3">
      <c r="A3" s="2" t="inlineStr">
        <is>
          <t>이 파일은 Teams 또는 OneDrive 공유 폴더에 두고 모든 구성원이 동시에 편집합니다. 각자 자기 행만 고치면 되고, 30% 판정·월 총량·OT 잔여는 전부 자동으로 계산됩니다.</t>
        </is>
      </c>
    </row>
    <row r="4">
      <c r="A4" s="2" t="inlineStr"/>
    </row>
    <row r="5">
      <c r="A5" s="3" t="inlineStr">
        <is>
          <t>■ 반드시 지켜주세요 — 동시 편집이 되려면</t>
        </is>
      </c>
    </row>
    <row r="6">
      <c r="A6" s="2" t="inlineStr">
        <is>
          <t xml:space="preserve">   · Excel Online(브라우저)으로 열거나, Excel 데스크톱에서 자동 저장(AutoSave)을 켜고 여세요.</t>
        </is>
      </c>
    </row>
    <row r="7">
      <c r="A7" s="2" t="inlineStr">
        <is>
          <t xml:space="preserve">   · 파일을 자기 PC로 복사해서 열면 별개 파일이 되어 다른 사람 입력이 반영되지 않습니다.</t>
        </is>
      </c>
    </row>
    <row r="8">
      <c r="A8" s="2" t="inlineStr"/>
    </row>
    <row r="9">
      <c r="A9" s="4" t="inlineStr">
        <is>
          <t>■ 근태 시트 — 자기 이름 행에서 날짜 칸을 고릅니다</t>
        </is>
      </c>
    </row>
    <row r="10">
      <c r="A10" s="2" t="inlineStr">
        <is>
          <t xml:space="preserve">   · 빈칸이 8시간 근무입니다. 8시간을 채우는 날은 아무것도 넣지 마세요.</t>
        </is>
      </c>
    </row>
    <row r="11">
      <c r="A11" s="2" t="inlineStr">
        <is>
          <t xml:space="preserve">   · 드롭다운에는 규칙을 통과하는 106가지 조합만 들어 있습니다. 「근무 0830-1730」「오전반 1300-1700」처럼 유형과 시각을 함께 고릅니다.</t>
        </is>
      </c>
    </row>
    <row r="12">
      <c r="A12" s="2" t="inlineStr">
        <is>
          <t xml:space="preserve">   · 목록에 없는 조합은 규칙 위반이라 아예 넣을 수 없습니다 — 코어타임·휴게시간·반차 배치 규칙이 드롭다운 자체에 반영되어 있습니다.</t>
        </is>
      </c>
    </row>
    <row r="13">
      <c r="A13" s="2" t="inlineStr">
        <is>
          <t xml:space="preserve">   · 맨 아래 판정 행이 빨갛게 되면 그날 30%가 미달입니다. 노랗게 강조된 칸이 조율 후보 — 그 사람이 8시간으로 바꾸면 충족됩니다.</t>
        </is>
      </c>
    </row>
    <row r="14">
      <c r="A14" s="2" t="inlineStr">
        <is>
          <t xml:space="preserve">   · 노란 칸(B1·B2)에 연·월을 넣으면 날짜와 요일이 자동으로 바뀝니다.</t>
        </is>
      </c>
    </row>
    <row r="15">
      <c r="A15" s="2" t="inlineStr"/>
    </row>
    <row r="16">
      <c r="A16" s="4" t="inlineStr">
        <is>
          <t>■ OT 시트 — 날짜별 초과근로 시간</t>
        </is>
      </c>
    </row>
    <row r="17">
      <c r="A17" s="2" t="inlineStr">
        <is>
          <t xml:space="preserve">   · 1시간 45분은 1.75 로 넣습니다 (OT 는 분 단위로 신청).</t>
        </is>
      </c>
    </row>
    <row r="18">
      <c r="A18" s="2" t="inlineStr">
        <is>
          <t xml:space="preserve">   · 자정을 넘긴 OT 도 시간만 합쳐서 넣으면 됩니다.</t>
        </is>
      </c>
    </row>
    <row r="19">
      <c r="A19" s="2" t="inlineStr"/>
    </row>
    <row r="20">
      <c r="A20" s="4" t="inlineStr">
        <is>
          <t>■ 개인요약 시트 — 월 총량과 OT 잔여</t>
        </is>
      </c>
    </row>
    <row r="21">
      <c r="A21" s="2" t="inlineStr">
        <is>
          <t xml:space="preserve">   · 휴가를 쓰면 월 총량이 그만큼 줄고(160h − 연차 8h = 152h), OT 가능시간은 그만큼 늘어납니다.</t>
        </is>
      </c>
    </row>
    <row r="22">
      <c r="A22" s="2" t="inlineStr">
        <is>
          <t xml:space="preserve">   · 노란 칸(OT 기본 가능시간)에 사내 HR 시스템의 그 달 값을 넣으세요.</t>
        </is>
      </c>
    </row>
    <row r="23">
      <c r="A23" s="2" t="inlineStr">
        <is>
          <t xml:space="preserve">   · 주별 근로시간(정규+OT)이 64시간을 넘으면 빨갛게 표시됩니다.</t>
        </is>
      </c>
    </row>
    <row r="24">
      <c r="A24" s="2" t="inlineStr"/>
    </row>
    <row r="25">
      <c r="A25" s="4" t="inlineStr">
        <is>
          <t>■ 명부 · 공휴일 — 인원 변동과 휴일이 바뀔 때만</t>
        </is>
      </c>
    </row>
    <row r="26">
      <c r="A26" s="2" t="inlineStr">
        <is>
          <t xml:space="preserve">   · 명부 휴직 열에 Y 를 넣으면 30% 모수에서 빠집니다.</t>
        </is>
      </c>
    </row>
    <row r="27">
      <c r="A27" s="2" t="inlineStr">
        <is>
          <t xml:space="preserve">   · 공휴일에 사내 휴무일·창립기념일도 추가하세요.</t>
        </is>
      </c>
    </row>
    <row r="28">
      <c r="A28" s="2" t="inlineStr"/>
    </row>
    <row r="29">
      <c r="A29" s="4" t="inlineStr">
        <is>
          <t>■ 이 파일이 하지 않는 것 — index.html 도구에서 확인하세요</t>
        </is>
      </c>
    </row>
    <row r="30">
      <c r="A30" s="2" t="inlineStr">
        <is>
          <t xml:space="preserve">   · 탄력근무 3개월 평균 52시간 판정 (달을 넘기는 계산)</t>
        </is>
      </c>
    </row>
    <row r="31">
      <c r="A31" s="2" t="inlineStr">
        <is>
          <t xml:space="preserve">   · 목록에 없는 조합이 왜 안 되는지 이유 설명 (규칙 검증기)</t>
        </is>
      </c>
    </row>
    <row r="32">
      <c r="A32" s="2" t="inlineStr"/>
    </row>
    <row r="33">
      <c r="A33" s="5" t="inlineStr">
        <is>
          <t>시트 보호가 걸려 있지만 암호는 없습니다. 수식을 고쳐야 하면 [검토] → [시트 보호 해제] 를 누르세요.</t>
        </is>
      </c>
    </row>
    <row r="34">
      <c r="A34" s="5" t="inlineStr">
        <is>
          <t>근무 조합 106가지는 index.html 의 규칙 엔진에서 직접 뽑았습니다 (규칙 엔진에서 새로 생성). 규칙이 바뀌면 python worktime/build_xlsx.py 로 다시 만드세요.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8"/>
  <sheetViews>
    <sheetView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>
      <c r="A1" s="6" t="inlineStr">
        <is>
          <t>연</t>
        </is>
      </c>
      <c r="B1" s="7" t="n">
        <v>2026</v>
      </c>
      <c r="D1" s="8" t="inlineStr">
        <is>
          <t>근태 — 빈칸이 8시간 근무입니다. 못 채우는 날만 드롭다운에서 고르세요</t>
        </is>
      </c>
    </row>
    <row r="2">
      <c r="A2" s="6" t="inlineStr">
        <is>
          <t>월</t>
        </is>
      </c>
      <c r="B2" s="7" t="n">
        <v>9</v>
      </c>
      <c r="D2" s="5" t="inlineStr">
        <is>
          <t>노란 칸에 연·월을 넣으면 날짜와 요일이 바뀝니다 · 드롭다운에는 규칙을 통과하는 조합만 들어 있어 위반 입력이 불가능합니다</t>
        </is>
      </c>
    </row>
    <row r="3">
      <c r="A3" s="9" t="inlineStr">
        <is>
          <t>주</t>
        </is>
      </c>
      <c r="D3" s="9">
        <f>IF(D4="","",INT((D4-1+MOD(WEEKDAY(DATE($B$1,$B$2,1))+5,7))/7)+1)</f>
        <v/>
      </c>
      <c r="E3" s="9">
        <f>IF(E4="","",INT((E4-1+MOD(WEEKDAY(DATE($B$1,$B$2,1))+5,7))/7)+1)</f>
        <v/>
      </c>
      <c r="F3" s="9">
        <f>IF(F4="","",INT((F4-1+MOD(WEEKDAY(DATE($B$1,$B$2,1))+5,7))/7)+1)</f>
        <v/>
      </c>
      <c r="G3" s="9">
        <f>IF(G4="","",INT((G4-1+MOD(WEEKDAY(DATE($B$1,$B$2,1))+5,7))/7)+1)</f>
        <v/>
      </c>
      <c r="H3" s="9">
        <f>IF(H4="","",INT((H4-1+MOD(WEEKDAY(DATE($B$1,$B$2,1))+5,7))/7)+1)</f>
        <v/>
      </c>
      <c r="I3" s="9">
        <f>IF(I4="","",INT((I4-1+MOD(WEEKDAY(DATE($B$1,$B$2,1))+5,7))/7)+1)</f>
        <v/>
      </c>
      <c r="J3" s="9">
        <f>IF(J4="","",INT((J4-1+MOD(WEEKDAY(DATE($B$1,$B$2,1))+5,7))/7)+1)</f>
        <v/>
      </c>
      <c r="K3" s="9">
        <f>IF(K4="","",INT((K4-1+MOD(WEEKDAY(DATE($B$1,$B$2,1))+5,7))/7)+1)</f>
        <v/>
      </c>
      <c r="L3" s="9">
        <f>IF(L4="","",INT((L4-1+MOD(WEEKDAY(DATE($B$1,$B$2,1))+5,7))/7)+1)</f>
        <v/>
      </c>
      <c r="M3" s="9">
        <f>IF(M4="","",INT((M4-1+MOD(WEEKDAY(DATE($B$1,$B$2,1))+5,7))/7)+1)</f>
        <v/>
      </c>
      <c r="N3" s="9">
        <f>IF(N4="","",INT((N4-1+MOD(WEEKDAY(DATE($B$1,$B$2,1))+5,7))/7)+1)</f>
        <v/>
      </c>
      <c r="O3" s="9">
        <f>IF(O4="","",INT((O4-1+MOD(WEEKDAY(DATE($B$1,$B$2,1))+5,7))/7)+1)</f>
        <v/>
      </c>
      <c r="P3" s="9">
        <f>IF(P4="","",INT((P4-1+MOD(WEEKDAY(DATE($B$1,$B$2,1))+5,7))/7)+1)</f>
        <v/>
      </c>
      <c r="Q3" s="9">
        <f>IF(Q4="","",INT((Q4-1+MOD(WEEKDAY(DATE($B$1,$B$2,1))+5,7))/7)+1)</f>
        <v/>
      </c>
      <c r="R3" s="9">
        <f>IF(R4="","",INT((R4-1+MOD(WEEKDAY(DATE($B$1,$B$2,1))+5,7))/7)+1)</f>
        <v/>
      </c>
      <c r="S3" s="9">
        <f>IF(S4="","",INT((S4-1+MOD(WEEKDAY(DATE($B$1,$B$2,1))+5,7))/7)+1)</f>
        <v/>
      </c>
      <c r="T3" s="9">
        <f>IF(T4="","",INT((T4-1+MOD(WEEKDAY(DATE($B$1,$B$2,1))+5,7))/7)+1)</f>
        <v/>
      </c>
      <c r="U3" s="9">
        <f>IF(U4="","",INT((U4-1+MOD(WEEKDAY(DATE($B$1,$B$2,1))+5,7))/7)+1)</f>
        <v/>
      </c>
      <c r="V3" s="9">
        <f>IF(V4="","",INT((V4-1+MOD(WEEKDAY(DATE($B$1,$B$2,1))+5,7))/7)+1)</f>
        <v/>
      </c>
      <c r="W3" s="9">
        <f>IF(W4="","",INT((W4-1+MOD(WEEKDAY(DATE($B$1,$B$2,1))+5,7))/7)+1)</f>
        <v/>
      </c>
      <c r="X3" s="9">
        <f>IF(X4="","",INT((X4-1+MOD(WEEKDAY(DATE($B$1,$B$2,1))+5,7))/7)+1)</f>
        <v/>
      </c>
      <c r="Y3" s="9">
        <f>IF(Y4="","",INT((Y4-1+MOD(WEEKDAY(DATE($B$1,$B$2,1))+5,7))/7)+1)</f>
        <v/>
      </c>
      <c r="Z3" s="9">
        <f>IF(Z4="","",INT((Z4-1+MOD(WEEKDAY(DATE($B$1,$B$2,1))+5,7))/7)+1)</f>
        <v/>
      </c>
      <c r="AA3" s="9">
        <f>IF(AA4="","",INT((AA4-1+MOD(WEEKDAY(DATE($B$1,$B$2,1))+5,7))/7)+1)</f>
        <v/>
      </c>
      <c r="AB3" s="9">
        <f>IF(AB4="","",INT((AB4-1+MOD(WEEKDAY(DATE($B$1,$B$2,1))+5,7))/7)+1)</f>
        <v/>
      </c>
      <c r="AC3" s="9">
        <f>IF(AC4="","",INT((AC4-1+MOD(WEEKDAY(DATE($B$1,$B$2,1))+5,7))/7)+1)</f>
        <v/>
      </c>
      <c r="AD3" s="9">
        <f>IF(AD4="","",INT((AD4-1+MOD(WEEKDAY(DATE($B$1,$B$2,1))+5,7))/7)+1)</f>
        <v/>
      </c>
      <c r="AE3" s="9">
        <f>IF(AE4="","",INT((AE4-1+MOD(WEEKDAY(DATE($B$1,$B$2,1))+5,7))/7)+1)</f>
        <v/>
      </c>
      <c r="AF3" s="9">
        <f>IF(AF4="","",INT((AF4-1+MOD(WEEKDAY(DATE($B$1,$B$2,1))+5,7))/7)+1)</f>
        <v/>
      </c>
      <c r="AG3" s="9">
        <f>IF(AG4="","",INT((AG4-1+MOD(WEEKDAY(DATE($B$1,$B$2,1))+5,7))/7)+1)</f>
        <v/>
      </c>
      <c r="AH3" s="9">
        <f>IF(AH4="","",INT((AH4-1+MOD(WEEKDAY(DATE($B$1,$B$2,1))+5,7))/7)+1)</f>
        <v/>
      </c>
    </row>
    <row r="4">
      <c r="D4" s="10">
        <f>IF(MONTH(DATE($B$1,$B$2,COLUMN()-3))&lt;&gt;$B$2,"",COLUMN()-3)</f>
        <v/>
      </c>
      <c r="E4" s="10">
        <f>IF(MONTH(DATE($B$1,$B$2,COLUMN()-3))&lt;&gt;$B$2,"",COLUMN()-3)</f>
        <v/>
      </c>
      <c r="F4" s="10">
        <f>IF(MONTH(DATE($B$1,$B$2,COLUMN()-3))&lt;&gt;$B$2,"",COLUMN()-3)</f>
        <v/>
      </c>
      <c r="G4" s="10">
        <f>IF(MONTH(DATE($B$1,$B$2,COLUMN()-3))&lt;&gt;$B$2,"",COLUMN()-3)</f>
        <v/>
      </c>
      <c r="H4" s="10">
        <f>IF(MONTH(DATE($B$1,$B$2,COLUMN()-3))&lt;&gt;$B$2,"",COLUMN()-3)</f>
        <v/>
      </c>
      <c r="I4" s="10">
        <f>IF(MONTH(DATE($B$1,$B$2,COLUMN()-3))&lt;&gt;$B$2,"",COLUMN()-3)</f>
        <v/>
      </c>
      <c r="J4" s="10">
        <f>IF(MONTH(DATE($B$1,$B$2,COLUMN()-3))&lt;&gt;$B$2,"",COLUMN()-3)</f>
        <v/>
      </c>
      <c r="K4" s="10">
        <f>IF(MONTH(DATE($B$1,$B$2,COLUMN()-3))&lt;&gt;$B$2,"",COLUMN()-3)</f>
        <v/>
      </c>
      <c r="L4" s="10">
        <f>IF(MONTH(DATE($B$1,$B$2,COLUMN()-3))&lt;&gt;$B$2,"",COLUMN()-3)</f>
        <v/>
      </c>
      <c r="M4" s="10">
        <f>IF(MONTH(DATE($B$1,$B$2,COLUMN()-3))&lt;&gt;$B$2,"",COLUMN()-3)</f>
        <v/>
      </c>
      <c r="N4" s="10">
        <f>IF(MONTH(DATE($B$1,$B$2,COLUMN()-3))&lt;&gt;$B$2,"",COLUMN()-3)</f>
        <v/>
      </c>
      <c r="O4" s="10">
        <f>IF(MONTH(DATE($B$1,$B$2,COLUMN()-3))&lt;&gt;$B$2,"",COLUMN()-3)</f>
        <v/>
      </c>
      <c r="P4" s="10">
        <f>IF(MONTH(DATE($B$1,$B$2,COLUMN()-3))&lt;&gt;$B$2,"",COLUMN()-3)</f>
        <v/>
      </c>
      <c r="Q4" s="10">
        <f>IF(MONTH(DATE($B$1,$B$2,COLUMN()-3))&lt;&gt;$B$2,"",COLUMN()-3)</f>
        <v/>
      </c>
      <c r="R4" s="10">
        <f>IF(MONTH(DATE($B$1,$B$2,COLUMN()-3))&lt;&gt;$B$2,"",COLUMN()-3)</f>
        <v/>
      </c>
      <c r="S4" s="10">
        <f>IF(MONTH(DATE($B$1,$B$2,COLUMN()-3))&lt;&gt;$B$2,"",COLUMN()-3)</f>
        <v/>
      </c>
      <c r="T4" s="10">
        <f>IF(MONTH(DATE($B$1,$B$2,COLUMN()-3))&lt;&gt;$B$2,"",COLUMN()-3)</f>
        <v/>
      </c>
      <c r="U4" s="10">
        <f>IF(MONTH(DATE($B$1,$B$2,COLUMN()-3))&lt;&gt;$B$2,"",COLUMN()-3)</f>
        <v/>
      </c>
      <c r="V4" s="10">
        <f>IF(MONTH(DATE($B$1,$B$2,COLUMN()-3))&lt;&gt;$B$2,"",COLUMN()-3)</f>
        <v/>
      </c>
      <c r="W4" s="10">
        <f>IF(MONTH(DATE($B$1,$B$2,COLUMN()-3))&lt;&gt;$B$2,"",COLUMN()-3)</f>
        <v/>
      </c>
      <c r="X4" s="10">
        <f>IF(MONTH(DATE($B$1,$B$2,COLUMN()-3))&lt;&gt;$B$2,"",COLUMN()-3)</f>
        <v/>
      </c>
      <c r="Y4" s="10">
        <f>IF(MONTH(DATE($B$1,$B$2,COLUMN()-3))&lt;&gt;$B$2,"",COLUMN()-3)</f>
        <v/>
      </c>
      <c r="Z4" s="10">
        <f>IF(MONTH(DATE($B$1,$B$2,COLUMN()-3))&lt;&gt;$B$2,"",COLUMN()-3)</f>
        <v/>
      </c>
      <c r="AA4" s="10">
        <f>IF(MONTH(DATE($B$1,$B$2,COLUMN()-3))&lt;&gt;$B$2,"",COLUMN()-3)</f>
        <v/>
      </c>
      <c r="AB4" s="10">
        <f>IF(MONTH(DATE($B$1,$B$2,COLUMN()-3))&lt;&gt;$B$2,"",COLUMN()-3)</f>
        <v/>
      </c>
      <c r="AC4" s="10">
        <f>IF(MONTH(DATE($B$1,$B$2,COLUMN()-3))&lt;&gt;$B$2,"",COLUMN()-3)</f>
        <v/>
      </c>
      <c r="AD4" s="10">
        <f>IF(MONTH(DATE($B$1,$B$2,COLUMN()-3))&lt;&gt;$B$2,"",COLUMN()-3)</f>
        <v/>
      </c>
      <c r="AE4" s="10">
        <f>IF(MONTH(DATE($B$1,$B$2,COLUMN()-3))&lt;&gt;$B$2,"",COLUMN()-3)</f>
        <v/>
      </c>
      <c r="AF4" s="10">
        <f>IF(MONTH(DATE($B$1,$B$2,COLUMN()-3))&lt;&gt;$B$2,"",COLUMN()-3)</f>
        <v/>
      </c>
      <c r="AG4" s="10">
        <f>IF(MONTH(DATE($B$1,$B$2,COLUMN()-3))&lt;&gt;$B$2,"",COLUMN()-3)</f>
        <v/>
      </c>
      <c r="AH4" s="10">
        <f>IF(MONTH(DATE($B$1,$B$2,COLUMN()-3))&lt;&gt;$B$2,"",COLUMN()-3)</f>
        <v/>
      </c>
    </row>
    <row r="5">
      <c r="D5" s="11">
        <f>IF(D$4="","",INDEX(코드!$M$2:$M$8,WEEKDAY(DATE($B$1,$B$2,D$4))))</f>
        <v/>
      </c>
      <c r="E5" s="11">
        <f>IF(E$4="","",INDEX(코드!$M$2:$M$8,WEEKDAY(DATE($B$1,$B$2,E$4))))</f>
        <v/>
      </c>
      <c r="F5" s="11">
        <f>IF(F$4="","",INDEX(코드!$M$2:$M$8,WEEKDAY(DATE($B$1,$B$2,F$4))))</f>
        <v/>
      </c>
      <c r="G5" s="11">
        <f>IF(G$4="","",INDEX(코드!$M$2:$M$8,WEEKDAY(DATE($B$1,$B$2,G$4))))</f>
        <v/>
      </c>
      <c r="H5" s="11">
        <f>IF(H$4="","",INDEX(코드!$M$2:$M$8,WEEKDAY(DATE($B$1,$B$2,H$4))))</f>
        <v/>
      </c>
      <c r="I5" s="11">
        <f>IF(I$4="","",INDEX(코드!$M$2:$M$8,WEEKDAY(DATE($B$1,$B$2,I$4))))</f>
        <v/>
      </c>
      <c r="J5" s="11">
        <f>IF(J$4="","",INDEX(코드!$M$2:$M$8,WEEKDAY(DATE($B$1,$B$2,J$4))))</f>
        <v/>
      </c>
      <c r="K5" s="11">
        <f>IF(K$4="","",INDEX(코드!$M$2:$M$8,WEEKDAY(DATE($B$1,$B$2,K$4))))</f>
        <v/>
      </c>
      <c r="L5" s="11">
        <f>IF(L$4="","",INDEX(코드!$M$2:$M$8,WEEKDAY(DATE($B$1,$B$2,L$4))))</f>
        <v/>
      </c>
      <c r="M5" s="11">
        <f>IF(M$4="","",INDEX(코드!$M$2:$M$8,WEEKDAY(DATE($B$1,$B$2,M$4))))</f>
        <v/>
      </c>
      <c r="N5" s="11">
        <f>IF(N$4="","",INDEX(코드!$M$2:$M$8,WEEKDAY(DATE($B$1,$B$2,N$4))))</f>
        <v/>
      </c>
      <c r="O5" s="11">
        <f>IF(O$4="","",INDEX(코드!$M$2:$M$8,WEEKDAY(DATE($B$1,$B$2,O$4))))</f>
        <v/>
      </c>
      <c r="P5" s="11">
        <f>IF(P$4="","",INDEX(코드!$M$2:$M$8,WEEKDAY(DATE($B$1,$B$2,P$4))))</f>
        <v/>
      </c>
      <c r="Q5" s="11">
        <f>IF(Q$4="","",INDEX(코드!$M$2:$M$8,WEEKDAY(DATE($B$1,$B$2,Q$4))))</f>
        <v/>
      </c>
      <c r="R5" s="11">
        <f>IF(R$4="","",INDEX(코드!$M$2:$M$8,WEEKDAY(DATE($B$1,$B$2,R$4))))</f>
        <v/>
      </c>
      <c r="S5" s="11">
        <f>IF(S$4="","",INDEX(코드!$M$2:$M$8,WEEKDAY(DATE($B$1,$B$2,S$4))))</f>
        <v/>
      </c>
      <c r="T5" s="11">
        <f>IF(T$4="","",INDEX(코드!$M$2:$M$8,WEEKDAY(DATE($B$1,$B$2,T$4))))</f>
        <v/>
      </c>
      <c r="U5" s="11">
        <f>IF(U$4="","",INDEX(코드!$M$2:$M$8,WEEKDAY(DATE($B$1,$B$2,U$4))))</f>
        <v/>
      </c>
      <c r="V5" s="11">
        <f>IF(V$4="","",INDEX(코드!$M$2:$M$8,WEEKDAY(DATE($B$1,$B$2,V$4))))</f>
        <v/>
      </c>
      <c r="W5" s="11">
        <f>IF(W$4="","",INDEX(코드!$M$2:$M$8,WEEKDAY(DATE($B$1,$B$2,W$4))))</f>
        <v/>
      </c>
      <c r="X5" s="11">
        <f>IF(X$4="","",INDEX(코드!$M$2:$M$8,WEEKDAY(DATE($B$1,$B$2,X$4))))</f>
        <v/>
      </c>
      <c r="Y5" s="11">
        <f>IF(Y$4="","",INDEX(코드!$M$2:$M$8,WEEKDAY(DATE($B$1,$B$2,Y$4))))</f>
        <v/>
      </c>
      <c r="Z5" s="11">
        <f>IF(Z$4="","",INDEX(코드!$M$2:$M$8,WEEKDAY(DATE($B$1,$B$2,Z$4))))</f>
        <v/>
      </c>
      <c r="AA5" s="11">
        <f>IF(AA$4="","",INDEX(코드!$M$2:$M$8,WEEKDAY(DATE($B$1,$B$2,AA$4))))</f>
        <v/>
      </c>
      <c r="AB5" s="11">
        <f>IF(AB$4="","",INDEX(코드!$M$2:$M$8,WEEKDAY(DATE($B$1,$B$2,AB$4))))</f>
        <v/>
      </c>
      <c r="AC5" s="11">
        <f>IF(AC$4="","",INDEX(코드!$M$2:$M$8,WEEKDAY(DATE($B$1,$B$2,AC$4))))</f>
        <v/>
      </c>
      <c r="AD5" s="11">
        <f>IF(AD$4="","",INDEX(코드!$M$2:$M$8,WEEKDAY(DATE($B$1,$B$2,AD$4))))</f>
        <v/>
      </c>
      <c r="AE5" s="11">
        <f>IF(AE$4="","",INDEX(코드!$M$2:$M$8,WEEKDAY(DATE($B$1,$B$2,AE$4))))</f>
        <v/>
      </c>
      <c r="AF5" s="11">
        <f>IF(AF$4="","",INDEX(코드!$M$2:$M$8,WEEKDAY(DATE($B$1,$B$2,AF$4))))</f>
        <v/>
      </c>
      <c r="AG5" s="11">
        <f>IF(AG$4="","",INDEX(코드!$M$2:$M$8,WEEKDAY(DATE($B$1,$B$2,AG$4))))</f>
        <v/>
      </c>
      <c r="AH5" s="11">
        <f>IF(AH$4="","",INDEX(코드!$M$2:$M$8,WEEKDAY(DATE($B$1,$B$2,AH$4))))</f>
        <v/>
      </c>
    </row>
    <row r="6">
      <c r="D6" s="9">
        <f>IF(D$4="","",IF(OR(WEEKDAY(DATE($B$1,$B$2,D$4),2)&gt;5,COUNTIF(공휴일!$A$2:$A$400,DATE($B$1,$B$2,D$4))&gt;0),"휴일",""))</f>
        <v/>
      </c>
      <c r="E6" s="9">
        <f>IF(E$4="","",IF(OR(WEEKDAY(DATE($B$1,$B$2,E$4),2)&gt;5,COUNTIF(공휴일!$A$2:$A$400,DATE($B$1,$B$2,E$4))&gt;0),"휴일",""))</f>
        <v/>
      </c>
      <c r="F6" s="9">
        <f>IF(F$4="","",IF(OR(WEEKDAY(DATE($B$1,$B$2,F$4),2)&gt;5,COUNTIF(공휴일!$A$2:$A$400,DATE($B$1,$B$2,F$4))&gt;0),"휴일",""))</f>
        <v/>
      </c>
      <c r="G6" s="9">
        <f>IF(G$4="","",IF(OR(WEEKDAY(DATE($B$1,$B$2,G$4),2)&gt;5,COUNTIF(공휴일!$A$2:$A$400,DATE($B$1,$B$2,G$4))&gt;0),"휴일",""))</f>
        <v/>
      </c>
      <c r="H6" s="9">
        <f>IF(H$4="","",IF(OR(WEEKDAY(DATE($B$1,$B$2,H$4),2)&gt;5,COUNTIF(공휴일!$A$2:$A$400,DATE($B$1,$B$2,H$4))&gt;0),"휴일",""))</f>
        <v/>
      </c>
      <c r="I6" s="9">
        <f>IF(I$4="","",IF(OR(WEEKDAY(DATE($B$1,$B$2,I$4),2)&gt;5,COUNTIF(공휴일!$A$2:$A$400,DATE($B$1,$B$2,I$4))&gt;0),"휴일",""))</f>
        <v/>
      </c>
      <c r="J6" s="9">
        <f>IF(J$4="","",IF(OR(WEEKDAY(DATE($B$1,$B$2,J$4),2)&gt;5,COUNTIF(공휴일!$A$2:$A$400,DATE($B$1,$B$2,J$4))&gt;0),"휴일",""))</f>
        <v/>
      </c>
      <c r="K6" s="9">
        <f>IF(K$4="","",IF(OR(WEEKDAY(DATE($B$1,$B$2,K$4),2)&gt;5,COUNTIF(공휴일!$A$2:$A$400,DATE($B$1,$B$2,K$4))&gt;0),"휴일",""))</f>
        <v/>
      </c>
      <c r="L6" s="9">
        <f>IF(L$4="","",IF(OR(WEEKDAY(DATE($B$1,$B$2,L$4),2)&gt;5,COUNTIF(공휴일!$A$2:$A$400,DATE($B$1,$B$2,L$4))&gt;0),"휴일",""))</f>
        <v/>
      </c>
      <c r="M6" s="9">
        <f>IF(M$4="","",IF(OR(WEEKDAY(DATE($B$1,$B$2,M$4),2)&gt;5,COUNTIF(공휴일!$A$2:$A$400,DATE($B$1,$B$2,M$4))&gt;0),"휴일",""))</f>
        <v/>
      </c>
      <c r="N6" s="9">
        <f>IF(N$4="","",IF(OR(WEEKDAY(DATE($B$1,$B$2,N$4),2)&gt;5,COUNTIF(공휴일!$A$2:$A$400,DATE($B$1,$B$2,N$4))&gt;0),"휴일",""))</f>
        <v/>
      </c>
      <c r="O6" s="9">
        <f>IF(O$4="","",IF(OR(WEEKDAY(DATE($B$1,$B$2,O$4),2)&gt;5,COUNTIF(공휴일!$A$2:$A$400,DATE($B$1,$B$2,O$4))&gt;0),"휴일",""))</f>
        <v/>
      </c>
      <c r="P6" s="9">
        <f>IF(P$4="","",IF(OR(WEEKDAY(DATE($B$1,$B$2,P$4),2)&gt;5,COUNTIF(공휴일!$A$2:$A$400,DATE($B$1,$B$2,P$4))&gt;0),"휴일",""))</f>
        <v/>
      </c>
      <c r="Q6" s="9">
        <f>IF(Q$4="","",IF(OR(WEEKDAY(DATE($B$1,$B$2,Q$4),2)&gt;5,COUNTIF(공휴일!$A$2:$A$400,DATE($B$1,$B$2,Q$4))&gt;0),"휴일",""))</f>
        <v/>
      </c>
      <c r="R6" s="9">
        <f>IF(R$4="","",IF(OR(WEEKDAY(DATE($B$1,$B$2,R$4),2)&gt;5,COUNTIF(공휴일!$A$2:$A$400,DATE($B$1,$B$2,R$4))&gt;0),"휴일",""))</f>
        <v/>
      </c>
      <c r="S6" s="9">
        <f>IF(S$4="","",IF(OR(WEEKDAY(DATE($B$1,$B$2,S$4),2)&gt;5,COUNTIF(공휴일!$A$2:$A$400,DATE($B$1,$B$2,S$4))&gt;0),"휴일",""))</f>
        <v/>
      </c>
      <c r="T6" s="9">
        <f>IF(T$4="","",IF(OR(WEEKDAY(DATE($B$1,$B$2,T$4),2)&gt;5,COUNTIF(공휴일!$A$2:$A$400,DATE($B$1,$B$2,T$4))&gt;0),"휴일",""))</f>
        <v/>
      </c>
      <c r="U6" s="9">
        <f>IF(U$4="","",IF(OR(WEEKDAY(DATE($B$1,$B$2,U$4),2)&gt;5,COUNTIF(공휴일!$A$2:$A$400,DATE($B$1,$B$2,U$4))&gt;0),"휴일",""))</f>
        <v/>
      </c>
      <c r="V6" s="9">
        <f>IF(V$4="","",IF(OR(WEEKDAY(DATE($B$1,$B$2,V$4),2)&gt;5,COUNTIF(공휴일!$A$2:$A$400,DATE($B$1,$B$2,V$4))&gt;0),"휴일",""))</f>
        <v/>
      </c>
      <c r="W6" s="9">
        <f>IF(W$4="","",IF(OR(WEEKDAY(DATE($B$1,$B$2,W$4),2)&gt;5,COUNTIF(공휴일!$A$2:$A$400,DATE($B$1,$B$2,W$4))&gt;0),"휴일",""))</f>
        <v/>
      </c>
      <c r="X6" s="9">
        <f>IF(X$4="","",IF(OR(WEEKDAY(DATE($B$1,$B$2,X$4),2)&gt;5,COUNTIF(공휴일!$A$2:$A$400,DATE($B$1,$B$2,X$4))&gt;0),"휴일",""))</f>
        <v/>
      </c>
      <c r="Y6" s="9">
        <f>IF(Y$4="","",IF(OR(WEEKDAY(DATE($B$1,$B$2,Y$4),2)&gt;5,COUNTIF(공휴일!$A$2:$A$400,DATE($B$1,$B$2,Y$4))&gt;0),"휴일",""))</f>
        <v/>
      </c>
      <c r="Z6" s="9">
        <f>IF(Z$4="","",IF(OR(WEEKDAY(DATE($B$1,$B$2,Z$4),2)&gt;5,COUNTIF(공휴일!$A$2:$A$400,DATE($B$1,$B$2,Z$4))&gt;0),"휴일",""))</f>
        <v/>
      </c>
      <c r="AA6" s="9">
        <f>IF(AA$4="","",IF(OR(WEEKDAY(DATE($B$1,$B$2,AA$4),2)&gt;5,COUNTIF(공휴일!$A$2:$A$400,DATE($B$1,$B$2,AA$4))&gt;0),"휴일",""))</f>
        <v/>
      </c>
      <c r="AB6" s="9">
        <f>IF(AB$4="","",IF(OR(WEEKDAY(DATE($B$1,$B$2,AB$4),2)&gt;5,COUNTIF(공휴일!$A$2:$A$400,DATE($B$1,$B$2,AB$4))&gt;0),"휴일",""))</f>
        <v/>
      </c>
      <c r="AC6" s="9">
        <f>IF(AC$4="","",IF(OR(WEEKDAY(DATE($B$1,$B$2,AC$4),2)&gt;5,COUNTIF(공휴일!$A$2:$A$400,DATE($B$1,$B$2,AC$4))&gt;0),"휴일",""))</f>
        <v/>
      </c>
      <c r="AD6" s="9">
        <f>IF(AD$4="","",IF(OR(WEEKDAY(DATE($B$1,$B$2,AD$4),2)&gt;5,COUNTIF(공휴일!$A$2:$A$400,DATE($B$1,$B$2,AD$4))&gt;0),"휴일",""))</f>
        <v/>
      </c>
      <c r="AE6" s="9">
        <f>IF(AE$4="","",IF(OR(WEEKDAY(DATE($B$1,$B$2,AE$4),2)&gt;5,COUNTIF(공휴일!$A$2:$A$400,DATE($B$1,$B$2,AE$4))&gt;0),"휴일",""))</f>
        <v/>
      </c>
      <c r="AF6" s="9">
        <f>IF(AF$4="","",IF(OR(WEEKDAY(DATE($B$1,$B$2,AF$4),2)&gt;5,COUNTIF(공휴일!$A$2:$A$400,DATE($B$1,$B$2,AF$4))&gt;0),"휴일",""))</f>
        <v/>
      </c>
      <c r="AG6" s="9">
        <f>IF(AG$4="","",IF(OR(WEEKDAY(DATE($B$1,$B$2,AG$4),2)&gt;5,COUNTIF(공휴일!$A$2:$A$400,DATE($B$1,$B$2,AG$4))&gt;0),"휴일",""))</f>
        <v/>
      </c>
      <c r="AH6" s="9">
        <f>IF(AH$4="","",IF(OR(WEEKDAY(DATE($B$1,$B$2,AH$4),2)&gt;5,COUNTIF(공휴일!$A$2:$A$400,DATE($B$1,$B$2,AH$4))&gt;0),"휴일",""))</f>
        <v/>
      </c>
    </row>
    <row r="7">
      <c r="A7" s="10" t="inlineStr">
        <is>
          <t>이름</t>
        </is>
      </c>
      <c r="B7" s="10" t="inlineStr">
        <is>
          <t>파트</t>
        </is>
      </c>
      <c r="C7" s="10" t="inlineStr">
        <is>
          <t>그룹</t>
        </is>
      </c>
    </row>
    <row r="8">
      <c r="A8" s="12">
        <f>IF(명부!A2="","",명부!A2)</f>
        <v/>
      </c>
      <c r="B8" s="13">
        <f>IF(명부!C2="","",명부!C2)</f>
        <v/>
      </c>
      <c r="C8" s="14">
        <f>IF(명부!E2="","",명부!E2)</f>
        <v/>
      </c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  <c r="AG8" s="15" t="n"/>
      <c r="AH8" s="15" t="n"/>
    </row>
    <row r="9">
      <c r="A9" s="12">
        <f>IF(명부!A3="","",명부!A3)</f>
        <v/>
      </c>
      <c r="B9" s="13">
        <f>IF(명부!C3="","",명부!C3)</f>
        <v/>
      </c>
      <c r="C9" s="14">
        <f>IF(명부!E3="","",명부!E3)</f>
        <v/>
      </c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  <c r="AG9" s="15" t="n"/>
      <c r="AH9" s="15" t="n"/>
    </row>
    <row r="10">
      <c r="A10" s="12">
        <f>IF(명부!A4="","",명부!A4)</f>
        <v/>
      </c>
      <c r="B10" s="13">
        <f>IF(명부!C4="","",명부!C4)</f>
        <v/>
      </c>
      <c r="C10" s="14">
        <f>IF(명부!E4="","",명부!E4)</f>
        <v/>
      </c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</row>
    <row r="11">
      <c r="A11" s="12">
        <f>IF(명부!A5="","",명부!A5)</f>
        <v/>
      </c>
      <c r="B11" s="13">
        <f>IF(명부!C5="","",명부!C5)</f>
        <v/>
      </c>
      <c r="C11" s="14">
        <f>IF(명부!E5="","",명부!E5)</f>
        <v/>
      </c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  <c r="AG11" s="15" t="n"/>
      <c r="AH11" s="15" t="n"/>
    </row>
    <row r="12">
      <c r="A12" s="12">
        <f>IF(명부!A6="","",명부!A6)</f>
        <v/>
      </c>
      <c r="B12" s="13">
        <f>IF(명부!C6="","",명부!C6)</f>
        <v/>
      </c>
      <c r="C12" s="14">
        <f>IF(명부!E6="","",명부!E6)</f>
        <v/>
      </c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  <c r="AG12" s="15" t="n"/>
      <c r="AH12" s="15" t="n"/>
    </row>
    <row r="13">
      <c r="A13" s="12">
        <f>IF(명부!A7="","",명부!A7)</f>
        <v/>
      </c>
      <c r="B13" s="13">
        <f>IF(명부!C7="","",명부!C7)</f>
        <v/>
      </c>
      <c r="C13" s="14">
        <f>IF(명부!E7="","",명부!E7)</f>
        <v/>
      </c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  <c r="AG13" s="15" t="n"/>
      <c r="AH13" s="15" t="n"/>
    </row>
    <row r="14">
      <c r="A14" s="12">
        <f>IF(명부!A8="","",명부!A8)</f>
        <v/>
      </c>
      <c r="B14" s="13">
        <f>IF(명부!C8="","",명부!C8)</f>
        <v/>
      </c>
      <c r="C14" s="14">
        <f>IF(명부!E8="","",명부!E8)</f>
        <v/>
      </c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</row>
    <row r="15">
      <c r="A15" s="12">
        <f>IF(명부!A9="","",명부!A9)</f>
        <v/>
      </c>
      <c r="B15" s="13">
        <f>IF(명부!C9="","",명부!C9)</f>
        <v/>
      </c>
      <c r="C15" s="14">
        <f>IF(명부!E9="","",명부!E9)</f>
        <v/>
      </c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</row>
    <row r="16">
      <c r="A16" s="12">
        <f>IF(명부!A10="","",명부!A10)</f>
        <v/>
      </c>
      <c r="B16" s="13">
        <f>IF(명부!C10="","",명부!C10)</f>
        <v/>
      </c>
      <c r="C16" s="14">
        <f>IF(명부!E10="","",명부!E10)</f>
        <v/>
      </c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</row>
    <row r="17">
      <c r="A17" s="12">
        <f>IF(명부!A11="","",명부!A11)</f>
        <v/>
      </c>
      <c r="B17" s="13">
        <f>IF(명부!C11="","",명부!C11)</f>
        <v/>
      </c>
      <c r="C17" s="14">
        <f>IF(명부!E11="","",명부!E11)</f>
        <v/>
      </c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</row>
    <row r="18">
      <c r="A18" s="12">
        <f>IF(명부!A12="","",명부!A12)</f>
        <v/>
      </c>
      <c r="B18" s="13">
        <f>IF(명부!C12="","",명부!C12)</f>
        <v/>
      </c>
      <c r="C18" s="14">
        <f>IF(명부!E12="","",명부!E12)</f>
        <v/>
      </c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</row>
    <row r="19">
      <c r="A19" s="12">
        <f>IF(명부!A13="","",명부!A13)</f>
        <v/>
      </c>
      <c r="B19" s="13">
        <f>IF(명부!C13="","",명부!C13)</f>
        <v/>
      </c>
      <c r="C19" s="14">
        <f>IF(명부!E13="","",명부!E13)</f>
        <v/>
      </c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</row>
    <row r="20">
      <c r="A20" s="12">
        <f>IF(명부!A14="","",명부!A14)</f>
        <v/>
      </c>
      <c r="B20" s="13">
        <f>IF(명부!C14="","",명부!C14)</f>
        <v/>
      </c>
      <c r="C20" s="14">
        <f>IF(명부!E14="","",명부!E14)</f>
        <v/>
      </c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</row>
    <row r="21">
      <c r="A21" s="12">
        <f>IF(명부!A15="","",명부!A15)</f>
        <v/>
      </c>
      <c r="B21" s="13">
        <f>IF(명부!C15="","",명부!C15)</f>
        <v/>
      </c>
      <c r="C21" s="14">
        <f>IF(명부!E15="","",명부!E15)</f>
        <v/>
      </c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</row>
    <row r="22">
      <c r="A22" s="12">
        <f>IF(명부!A16="","",명부!A16)</f>
        <v/>
      </c>
      <c r="B22" s="13">
        <f>IF(명부!C16="","",명부!C16)</f>
        <v/>
      </c>
      <c r="C22" s="14">
        <f>IF(명부!E16="","",명부!E16)</f>
        <v/>
      </c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</row>
    <row r="23">
      <c r="A23" s="12">
        <f>IF(명부!A17="","",명부!A17)</f>
        <v/>
      </c>
      <c r="B23" s="13">
        <f>IF(명부!C17="","",명부!C17)</f>
        <v/>
      </c>
      <c r="C23" s="14">
        <f>IF(명부!E17="","",명부!E17)</f>
        <v/>
      </c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</row>
    <row r="24">
      <c r="A24" s="12">
        <f>IF(명부!A18="","",명부!A18)</f>
        <v/>
      </c>
      <c r="B24" s="13">
        <f>IF(명부!C18="","",명부!C18)</f>
        <v/>
      </c>
      <c r="C24" s="14">
        <f>IF(명부!E18="","",명부!E18)</f>
        <v/>
      </c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</row>
    <row r="25">
      <c r="A25" s="12">
        <f>IF(명부!A19="","",명부!A19)</f>
        <v/>
      </c>
      <c r="B25" s="13">
        <f>IF(명부!C19="","",명부!C19)</f>
        <v/>
      </c>
      <c r="C25" s="14">
        <f>IF(명부!E19="","",명부!E19)</f>
        <v/>
      </c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</row>
    <row r="26">
      <c r="A26" s="12">
        <f>IF(명부!A20="","",명부!A20)</f>
        <v/>
      </c>
      <c r="B26" s="13">
        <f>IF(명부!C20="","",명부!C20)</f>
        <v/>
      </c>
      <c r="C26" s="14">
        <f>IF(명부!E20="","",명부!E20)</f>
        <v/>
      </c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</row>
    <row r="27">
      <c r="A27" s="12">
        <f>IF(명부!A21="","",명부!A21)</f>
        <v/>
      </c>
      <c r="B27" s="13">
        <f>IF(명부!C21="","",명부!C21)</f>
        <v/>
      </c>
      <c r="C27" s="14">
        <f>IF(명부!E21="","",명부!E21)</f>
        <v/>
      </c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</row>
    <row r="28">
      <c r="A28" s="12">
        <f>IF(명부!A22="","",명부!A22)</f>
        <v/>
      </c>
      <c r="B28" s="13">
        <f>IF(명부!C22="","",명부!C22)</f>
        <v/>
      </c>
      <c r="C28" s="14">
        <f>IF(명부!E22="","",명부!E22)</f>
        <v/>
      </c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</row>
    <row r="29">
      <c r="A29" s="12">
        <f>IF(명부!A23="","",명부!A23)</f>
        <v/>
      </c>
      <c r="B29" s="13">
        <f>IF(명부!C23="","",명부!C23)</f>
        <v/>
      </c>
      <c r="C29" s="14">
        <f>IF(명부!E23="","",명부!E23)</f>
        <v/>
      </c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</row>
    <row r="30">
      <c r="A30" s="12">
        <f>IF(명부!A24="","",명부!A24)</f>
        <v/>
      </c>
      <c r="B30" s="13">
        <f>IF(명부!C24="","",명부!C24)</f>
        <v/>
      </c>
      <c r="C30" s="14">
        <f>IF(명부!E24="","",명부!E24)</f>
        <v/>
      </c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</row>
    <row r="31">
      <c r="A31" s="12">
        <f>IF(명부!A25="","",명부!A25)</f>
        <v/>
      </c>
      <c r="B31" s="13">
        <f>IF(명부!C25="","",명부!C25)</f>
        <v/>
      </c>
      <c r="C31" s="14">
        <f>IF(명부!E25="","",명부!E25)</f>
        <v/>
      </c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</row>
    <row r="33">
      <c r="A33" s="16" t="inlineStr">
        <is>
          <t>8시간 인원</t>
        </is>
      </c>
      <c r="B33" s="17" t="n"/>
      <c r="C33" s="17" t="n"/>
      <c r="D33" s="10">
        <f>IF(D$6="휴일","",SUMPRODUCT((명부!$F$2:$F$25&lt;&gt;"Y")*(D$8:D$31=""))+SUMPRODUCT(COUNTIF(D$8:D$31,코드!$J$2:$J$25)))</f>
        <v/>
      </c>
      <c r="E33" s="10">
        <f>IF(E$6="휴일","",SUMPRODUCT((명부!$F$2:$F$25&lt;&gt;"Y")*(E$8:E$31=""))+SUMPRODUCT(COUNTIF(E$8:E$31,코드!$J$2:$J$25)))</f>
        <v/>
      </c>
      <c r="F33" s="10">
        <f>IF(F$6="휴일","",SUMPRODUCT((명부!$F$2:$F$25&lt;&gt;"Y")*(F$8:F$31=""))+SUMPRODUCT(COUNTIF(F$8:F$31,코드!$J$2:$J$25)))</f>
        <v/>
      </c>
      <c r="G33" s="10">
        <f>IF(G$6="휴일","",SUMPRODUCT((명부!$F$2:$F$25&lt;&gt;"Y")*(G$8:G$31=""))+SUMPRODUCT(COUNTIF(G$8:G$31,코드!$J$2:$J$25)))</f>
        <v/>
      </c>
      <c r="H33" s="10">
        <f>IF(H$6="휴일","",SUMPRODUCT((명부!$F$2:$F$25&lt;&gt;"Y")*(H$8:H$31=""))+SUMPRODUCT(COUNTIF(H$8:H$31,코드!$J$2:$J$25)))</f>
        <v/>
      </c>
      <c r="I33" s="10">
        <f>IF(I$6="휴일","",SUMPRODUCT((명부!$F$2:$F$25&lt;&gt;"Y")*(I$8:I$31=""))+SUMPRODUCT(COUNTIF(I$8:I$31,코드!$J$2:$J$25)))</f>
        <v/>
      </c>
      <c r="J33" s="10">
        <f>IF(J$6="휴일","",SUMPRODUCT((명부!$F$2:$F$25&lt;&gt;"Y")*(J$8:J$31=""))+SUMPRODUCT(COUNTIF(J$8:J$31,코드!$J$2:$J$25)))</f>
        <v/>
      </c>
      <c r="K33" s="10">
        <f>IF(K$6="휴일","",SUMPRODUCT((명부!$F$2:$F$25&lt;&gt;"Y")*(K$8:K$31=""))+SUMPRODUCT(COUNTIF(K$8:K$31,코드!$J$2:$J$25)))</f>
        <v/>
      </c>
      <c r="L33" s="10">
        <f>IF(L$6="휴일","",SUMPRODUCT((명부!$F$2:$F$25&lt;&gt;"Y")*(L$8:L$31=""))+SUMPRODUCT(COUNTIF(L$8:L$31,코드!$J$2:$J$25)))</f>
        <v/>
      </c>
      <c r="M33" s="10">
        <f>IF(M$6="휴일","",SUMPRODUCT((명부!$F$2:$F$25&lt;&gt;"Y")*(M$8:M$31=""))+SUMPRODUCT(COUNTIF(M$8:M$31,코드!$J$2:$J$25)))</f>
        <v/>
      </c>
      <c r="N33" s="10">
        <f>IF(N$6="휴일","",SUMPRODUCT((명부!$F$2:$F$25&lt;&gt;"Y")*(N$8:N$31=""))+SUMPRODUCT(COUNTIF(N$8:N$31,코드!$J$2:$J$25)))</f>
        <v/>
      </c>
      <c r="O33" s="10">
        <f>IF(O$6="휴일","",SUMPRODUCT((명부!$F$2:$F$25&lt;&gt;"Y")*(O$8:O$31=""))+SUMPRODUCT(COUNTIF(O$8:O$31,코드!$J$2:$J$25)))</f>
        <v/>
      </c>
      <c r="P33" s="10">
        <f>IF(P$6="휴일","",SUMPRODUCT((명부!$F$2:$F$25&lt;&gt;"Y")*(P$8:P$31=""))+SUMPRODUCT(COUNTIF(P$8:P$31,코드!$J$2:$J$25)))</f>
        <v/>
      </c>
      <c r="Q33" s="10">
        <f>IF(Q$6="휴일","",SUMPRODUCT((명부!$F$2:$F$25&lt;&gt;"Y")*(Q$8:Q$31=""))+SUMPRODUCT(COUNTIF(Q$8:Q$31,코드!$J$2:$J$25)))</f>
        <v/>
      </c>
      <c r="R33" s="10">
        <f>IF(R$6="휴일","",SUMPRODUCT((명부!$F$2:$F$25&lt;&gt;"Y")*(R$8:R$31=""))+SUMPRODUCT(COUNTIF(R$8:R$31,코드!$J$2:$J$25)))</f>
        <v/>
      </c>
      <c r="S33" s="10">
        <f>IF(S$6="휴일","",SUMPRODUCT((명부!$F$2:$F$25&lt;&gt;"Y")*(S$8:S$31=""))+SUMPRODUCT(COUNTIF(S$8:S$31,코드!$J$2:$J$25)))</f>
        <v/>
      </c>
      <c r="T33" s="10">
        <f>IF(T$6="휴일","",SUMPRODUCT((명부!$F$2:$F$25&lt;&gt;"Y")*(T$8:T$31=""))+SUMPRODUCT(COUNTIF(T$8:T$31,코드!$J$2:$J$25)))</f>
        <v/>
      </c>
      <c r="U33" s="10">
        <f>IF(U$6="휴일","",SUMPRODUCT((명부!$F$2:$F$25&lt;&gt;"Y")*(U$8:U$31=""))+SUMPRODUCT(COUNTIF(U$8:U$31,코드!$J$2:$J$25)))</f>
        <v/>
      </c>
      <c r="V33" s="10">
        <f>IF(V$6="휴일","",SUMPRODUCT((명부!$F$2:$F$25&lt;&gt;"Y")*(V$8:V$31=""))+SUMPRODUCT(COUNTIF(V$8:V$31,코드!$J$2:$J$25)))</f>
        <v/>
      </c>
      <c r="W33" s="10">
        <f>IF(W$6="휴일","",SUMPRODUCT((명부!$F$2:$F$25&lt;&gt;"Y")*(W$8:W$31=""))+SUMPRODUCT(COUNTIF(W$8:W$31,코드!$J$2:$J$25)))</f>
        <v/>
      </c>
      <c r="X33" s="10">
        <f>IF(X$6="휴일","",SUMPRODUCT((명부!$F$2:$F$25&lt;&gt;"Y")*(X$8:X$31=""))+SUMPRODUCT(COUNTIF(X$8:X$31,코드!$J$2:$J$25)))</f>
        <v/>
      </c>
      <c r="Y33" s="10">
        <f>IF(Y$6="휴일","",SUMPRODUCT((명부!$F$2:$F$25&lt;&gt;"Y")*(Y$8:Y$31=""))+SUMPRODUCT(COUNTIF(Y$8:Y$31,코드!$J$2:$J$25)))</f>
        <v/>
      </c>
      <c r="Z33" s="10">
        <f>IF(Z$6="휴일","",SUMPRODUCT((명부!$F$2:$F$25&lt;&gt;"Y")*(Z$8:Z$31=""))+SUMPRODUCT(COUNTIF(Z$8:Z$31,코드!$J$2:$J$25)))</f>
        <v/>
      </c>
      <c r="AA33" s="10">
        <f>IF(AA$6="휴일","",SUMPRODUCT((명부!$F$2:$F$25&lt;&gt;"Y")*(AA$8:AA$31=""))+SUMPRODUCT(COUNTIF(AA$8:AA$31,코드!$J$2:$J$25)))</f>
        <v/>
      </c>
      <c r="AB33" s="10">
        <f>IF(AB$6="휴일","",SUMPRODUCT((명부!$F$2:$F$25&lt;&gt;"Y")*(AB$8:AB$31=""))+SUMPRODUCT(COUNTIF(AB$8:AB$31,코드!$J$2:$J$25)))</f>
        <v/>
      </c>
      <c r="AC33" s="10">
        <f>IF(AC$6="휴일","",SUMPRODUCT((명부!$F$2:$F$25&lt;&gt;"Y")*(AC$8:AC$31=""))+SUMPRODUCT(COUNTIF(AC$8:AC$31,코드!$J$2:$J$25)))</f>
        <v/>
      </c>
      <c r="AD33" s="10">
        <f>IF(AD$6="휴일","",SUMPRODUCT((명부!$F$2:$F$25&lt;&gt;"Y")*(AD$8:AD$31=""))+SUMPRODUCT(COUNTIF(AD$8:AD$31,코드!$J$2:$J$25)))</f>
        <v/>
      </c>
      <c r="AE33" s="10">
        <f>IF(AE$6="휴일","",SUMPRODUCT((명부!$F$2:$F$25&lt;&gt;"Y")*(AE$8:AE$31=""))+SUMPRODUCT(COUNTIF(AE$8:AE$31,코드!$J$2:$J$25)))</f>
        <v/>
      </c>
      <c r="AF33" s="10">
        <f>IF(AF$6="휴일","",SUMPRODUCT((명부!$F$2:$F$25&lt;&gt;"Y")*(AF$8:AF$31=""))+SUMPRODUCT(COUNTIF(AF$8:AF$31,코드!$J$2:$J$25)))</f>
        <v/>
      </c>
      <c r="AG33" s="10">
        <f>IF(AG$6="휴일","",SUMPRODUCT((명부!$F$2:$F$25&lt;&gt;"Y")*(AG$8:AG$31=""))+SUMPRODUCT(COUNTIF(AG$8:AG$31,코드!$J$2:$J$25)))</f>
        <v/>
      </c>
      <c r="AH33" s="10">
        <f>IF(AH$6="휴일","",SUMPRODUCT((명부!$F$2:$F$25&lt;&gt;"Y")*(AH$8:AH$31=""))+SUMPRODUCT(COUNTIF(AH$8:AH$31,코드!$J$2:$J$25)))</f>
        <v/>
      </c>
    </row>
    <row r="34">
      <c r="A34" s="16" t="inlineStr">
        <is>
          <t>필요 인원 (30%)</t>
        </is>
      </c>
      <c r="B34" s="17" t="n"/>
      <c r="C34" s="17" t="n"/>
      <c r="D34" s="11">
        <f>IF(D$6="휴일","",ROUNDUP(명부!$B$27*0.3,0))</f>
        <v/>
      </c>
      <c r="E34" s="11">
        <f>IF(E$6="휴일","",ROUNDUP(명부!$B$27*0.3,0))</f>
        <v/>
      </c>
      <c r="F34" s="11">
        <f>IF(F$6="휴일","",ROUNDUP(명부!$B$27*0.3,0))</f>
        <v/>
      </c>
      <c r="G34" s="11">
        <f>IF(G$6="휴일","",ROUNDUP(명부!$B$27*0.3,0))</f>
        <v/>
      </c>
      <c r="H34" s="11">
        <f>IF(H$6="휴일","",ROUNDUP(명부!$B$27*0.3,0))</f>
        <v/>
      </c>
      <c r="I34" s="11">
        <f>IF(I$6="휴일","",ROUNDUP(명부!$B$27*0.3,0))</f>
        <v/>
      </c>
      <c r="J34" s="11">
        <f>IF(J$6="휴일","",ROUNDUP(명부!$B$27*0.3,0))</f>
        <v/>
      </c>
      <c r="K34" s="11">
        <f>IF(K$6="휴일","",ROUNDUP(명부!$B$27*0.3,0))</f>
        <v/>
      </c>
      <c r="L34" s="11">
        <f>IF(L$6="휴일","",ROUNDUP(명부!$B$27*0.3,0))</f>
        <v/>
      </c>
      <c r="M34" s="11">
        <f>IF(M$6="휴일","",ROUNDUP(명부!$B$27*0.3,0))</f>
        <v/>
      </c>
      <c r="N34" s="11">
        <f>IF(N$6="휴일","",ROUNDUP(명부!$B$27*0.3,0))</f>
        <v/>
      </c>
      <c r="O34" s="11">
        <f>IF(O$6="휴일","",ROUNDUP(명부!$B$27*0.3,0))</f>
        <v/>
      </c>
      <c r="P34" s="11">
        <f>IF(P$6="휴일","",ROUNDUP(명부!$B$27*0.3,0))</f>
        <v/>
      </c>
      <c r="Q34" s="11">
        <f>IF(Q$6="휴일","",ROUNDUP(명부!$B$27*0.3,0))</f>
        <v/>
      </c>
      <c r="R34" s="11">
        <f>IF(R$6="휴일","",ROUNDUP(명부!$B$27*0.3,0))</f>
        <v/>
      </c>
      <c r="S34" s="11">
        <f>IF(S$6="휴일","",ROUNDUP(명부!$B$27*0.3,0))</f>
        <v/>
      </c>
      <c r="T34" s="11">
        <f>IF(T$6="휴일","",ROUNDUP(명부!$B$27*0.3,0))</f>
        <v/>
      </c>
      <c r="U34" s="11">
        <f>IF(U$6="휴일","",ROUNDUP(명부!$B$27*0.3,0))</f>
        <v/>
      </c>
      <c r="V34" s="11">
        <f>IF(V$6="휴일","",ROUNDUP(명부!$B$27*0.3,0))</f>
        <v/>
      </c>
      <c r="W34" s="11">
        <f>IF(W$6="휴일","",ROUNDUP(명부!$B$27*0.3,0))</f>
        <v/>
      </c>
      <c r="X34" s="11">
        <f>IF(X$6="휴일","",ROUNDUP(명부!$B$27*0.3,0))</f>
        <v/>
      </c>
      <c r="Y34" s="11">
        <f>IF(Y$6="휴일","",ROUNDUP(명부!$B$27*0.3,0))</f>
        <v/>
      </c>
      <c r="Z34" s="11">
        <f>IF(Z$6="휴일","",ROUNDUP(명부!$B$27*0.3,0))</f>
        <v/>
      </c>
      <c r="AA34" s="11">
        <f>IF(AA$6="휴일","",ROUNDUP(명부!$B$27*0.3,0))</f>
        <v/>
      </c>
      <c r="AB34" s="11">
        <f>IF(AB$6="휴일","",ROUNDUP(명부!$B$27*0.3,0))</f>
        <v/>
      </c>
      <c r="AC34" s="11">
        <f>IF(AC$6="휴일","",ROUNDUP(명부!$B$27*0.3,0))</f>
        <v/>
      </c>
      <c r="AD34" s="11">
        <f>IF(AD$6="휴일","",ROUNDUP(명부!$B$27*0.3,0))</f>
        <v/>
      </c>
      <c r="AE34" s="11">
        <f>IF(AE$6="휴일","",ROUNDUP(명부!$B$27*0.3,0))</f>
        <v/>
      </c>
      <c r="AF34" s="11">
        <f>IF(AF$6="휴일","",ROUNDUP(명부!$B$27*0.3,0))</f>
        <v/>
      </c>
      <c r="AG34" s="11">
        <f>IF(AG$6="휴일","",ROUNDUP(명부!$B$27*0.3,0))</f>
        <v/>
      </c>
      <c r="AH34" s="11">
        <f>IF(AH$6="휴일","",ROUNDUP(명부!$B$27*0.3,0))</f>
        <v/>
      </c>
    </row>
    <row r="35">
      <c r="A35" s="16" t="inlineStr">
        <is>
          <t>판정</t>
        </is>
      </c>
      <c r="B35" s="17" t="n"/>
      <c r="C35" s="17" t="n"/>
      <c r="D35" s="18">
        <f>IF(D$6="휴일","",IF(D33&gt;=D34,"충족","미달"))</f>
        <v/>
      </c>
      <c r="E35" s="18">
        <f>IF(E$6="휴일","",IF(E33&gt;=E34,"충족","미달"))</f>
        <v/>
      </c>
      <c r="F35" s="18">
        <f>IF(F$6="휴일","",IF(F33&gt;=F34,"충족","미달"))</f>
        <v/>
      </c>
      <c r="G35" s="18">
        <f>IF(G$6="휴일","",IF(G33&gt;=G34,"충족","미달"))</f>
        <v/>
      </c>
      <c r="H35" s="18">
        <f>IF(H$6="휴일","",IF(H33&gt;=H34,"충족","미달"))</f>
        <v/>
      </c>
      <c r="I35" s="18">
        <f>IF(I$6="휴일","",IF(I33&gt;=I34,"충족","미달"))</f>
        <v/>
      </c>
      <c r="J35" s="18">
        <f>IF(J$6="휴일","",IF(J33&gt;=J34,"충족","미달"))</f>
        <v/>
      </c>
      <c r="K35" s="18">
        <f>IF(K$6="휴일","",IF(K33&gt;=K34,"충족","미달"))</f>
        <v/>
      </c>
      <c r="L35" s="18">
        <f>IF(L$6="휴일","",IF(L33&gt;=L34,"충족","미달"))</f>
        <v/>
      </c>
      <c r="M35" s="18">
        <f>IF(M$6="휴일","",IF(M33&gt;=M34,"충족","미달"))</f>
        <v/>
      </c>
      <c r="N35" s="18">
        <f>IF(N$6="휴일","",IF(N33&gt;=N34,"충족","미달"))</f>
        <v/>
      </c>
      <c r="O35" s="18">
        <f>IF(O$6="휴일","",IF(O33&gt;=O34,"충족","미달"))</f>
        <v/>
      </c>
      <c r="P35" s="18">
        <f>IF(P$6="휴일","",IF(P33&gt;=P34,"충족","미달"))</f>
        <v/>
      </c>
      <c r="Q35" s="18">
        <f>IF(Q$6="휴일","",IF(Q33&gt;=Q34,"충족","미달"))</f>
        <v/>
      </c>
      <c r="R35" s="18">
        <f>IF(R$6="휴일","",IF(R33&gt;=R34,"충족","미달"))</f>
        <v/>
      </c>
      <c r="S35" s="18">
        <f>IF(S$6="휴일","",IF(S33&gt;=S34,"충족","미달"))</f>
        <v/>
      </c>
      <c r="T35" s="18">
        <f>IF(T$6="휴일","",IF(T33&gt;=T34,"충족","미달"))</f>
        <v/>
      </c>
      <c r="U35" s="18">
        <f>IF(U$6="휴일","",IF(U33&gt;=U34,"충족","미달"))</f>
        <v/>
      </c>
      <c r="V35" s="18">
        <f>IF(V$6="휴일","",IF(V33&gt;=V34,"충족","미달"))</f>
        <v/>
      </c>
      <c r="W35" s="18">
        <f>IF(W$6="휴일","",IF(W33&gt;=W34,"충족","미달"))</f>
        <v/>
      </c>
      <c r="X35" s="18">
        <f>IF(X$6="휴일","",IF(X33&gt;=X34,"충족","미달"))</f>
        <v/>
      </c>
      <c r="Y35" s="18">
        <f>IF(Y$6="휴일","",IF(Y33&gt;=Y34,"충족","미달"))</f>
        <v/>
      </c>
      <c r="Z35" s="18">
        <f>IF(Z$6="휴일","",IF(Z33&gt;=Z34,"충족","미달"))</f>
        <v/>
      </c>
      <c r="AA35" s="18">
        <f>IF(AA$6="휴일","",IF(AA33&gt;=AA34,"충족","미달"))</f>
        <v/>
      </c>
      <c r="AB35" s="18">
        <f>IF(AB$6="휴일","",IF(AB33&gt;=AB34,"충족","미달"))</f>
        <v/>
      </c>
      <c r="AC35" s="18">
        <f>IF(AC$6="휴일","",IF(AC33&gt;=AC34,"충족","미달"))</f>
        <v/>
      </c>
      <c r="AD35" s="18">
        <f>IF(AD$6="휴일","",IF(AD33&gt;=AD34,"충족","미달"))</f>
        <v/>
      </c>
      <c r="AE35" s="18">
        <f>IF(AE$6="휴일","",IF(AE33&gt;=AE34,"충족","미달"))</f>
        <v/>
      </c>
      <c r="AF35" s="18">
        <f>IF(AF$6="휴일","",IF(AF33&gt;=AF34,"충족","미달"))</f>
        <v/>
      </c>
      <c r="AG35" s="18">
        <f>IF(AG$6="휴일","",IF(AG33&gt;=AG34,"충족","미달"))</f>
        <v/>
      </c>
      <c r="AH35" s="18">
        <f>IF(AH$6="휴일","",IF(AH33&gt;=AH34,"충족","미달"))</f>
        <v/>
      </c>
    </row>
    <row r="36">
      <c r="A36" s="16" t="inlineStr">
        <is>
          <t>직책자 8시간</t>
        </is>
      </c>
      <c r="B36" s="17" t="n"/>
      <c r="C36" s="17" t="n"/>
      <c r="D36" s="19">
        <f>IF(D$6="휴일","",SUMPRODUCT((명부!$F$2:$F$7&lt;&gt;"Y")*(D$8:D$13=""))+SUMPRODUCT(COUNTIF(D$8:D$13,코드!$J$2:$J$25)))</f>
        <v/>
      </c>
      <c r="E36" s="19">
        <f>IF(E$6="휴일","",SUMPRODUCT((명부!$F$2:$F$7&lt;&gt;"Y")*(E$8:E$13=""))+SUMPRODUCT(COUNTIF(E$8:E$13,코드!$J$2:$J$25)))</f>
        <v/>
      </c>
      <c r="F36" s="19">
        <f>IF(F$6="휴일","",SUMPRODUCT((명부!$F$2:$F$7&lt;&gt;"Y")*(F$8:F$13=""))+SUMPRODUCT(COUNTIF(F$8:F$13,코드!$J$2:$J$25)))</f>
        <v/>
      </c>
      <c r="G36" s="19">
        <f>IF(G$6="휴일","",SUMPRODUCT((명부!$F$2:$F$7&lt;&gt;"Y")*(G$8:G$13=""))+SUMPRODUCT(COUNTIF(G$8:G$13,코드!$J$2:$J$25)))</f>
        <v/>
      </c>
      <c r="H36" s="19">
        <f>IF(H$6="휴일","",SUMPRODUCT((명부!$F$2:$F$7&lt;&gt;"Y")*(H$8:H$13=""))+SUMPRODUCT(COUNTIF(H$8:H$13,코드!$J$2:$J$25)))</f>
        <v/>
      </c>
      <c r="I36" s="19">
        <f>IF(I$6="휴일","",SUMPRODUCT((명부!$F$2:$F$7&lt;&gt;"Y")*(I$8:I$13=""))+SUMPRODUCT(COUNTIF(I$8:I$13,코드!$J$2:$J$25)))</f>
        <v/>
      </c>
      <c r="J36" s="19">
        <f>IF(J$6="휴일","",SUMPRODUCT((명부!$F$2:$F$7&lt;&gt;"Y")*(J$8:J$13=""))+SUMPRODUCT(COUNTIF(J$8:J$13,코드!$J$2:$J$25)))</f>
        <v/>
      </c>
      <c r="K36" s="19">
        <f>IF(K$6="휴일","",SUMPRODUCT((명부!$F$2:$F$7&lt;&gt;"Y")*(K$8:K$13=""))+SUMPRODUCT(COUNTIF(K$8:K$13,코드!$J$2:$J$25)))</f>
        <v/>
      </c>
      <c r="L36" s="19">
        <f>IF(L$6="휴일","",SUMPRODUCT((명부!$F$2:$F$7&lt;&gt;"Y")*(L$8:L$13=""))+SUMPRODUCT(COUNTIF(L$8:L$13,코드!$J$2:$J$25)))</f>
        <v/>
      </c>
      <c r="M36" s="19">
        <f>IF(M$6="휴일","",SUMPRODUCT((명부!$F$2:$F$7&lt;&gt;"Y")*(M$8:M$13=""))+SUMPRODUCT(COUNTIF(M$8:M$13,코드!$J$2:$J$25)))</f>
        <v/>
      </c>
      <c r="N36" s="19">
        <f>IF(N$6="휴일","",SUMPRODUCT((명부!$F$2:$F$7&lt;&gt;"Y")*(N$8:N$13=""))+SUMPRODUCT(COUNTIF(N$8:N$13,코드!$J$2:$J$25)))</f>
        <v/>
      </c>
      <c r="O36" s="19">
        <f>IF(O$6="휴일","",SUMPRODUCT((명부!$F$2:$F$7&lt;&gt;"Y")*(O$8:O$13=""))+SUMPRODUCT(COUNTIF(O$8:O$13,코드!$J$2:$J$25)))</f>
        <v/>
      </c>
      <c r="P36" s="19">
        <f>IF(P$6="휴일","",SUMPRODUCT((명부!$F$2:$F$7&lt;&gt;"Y")*(P$8:P$13=""))+SUMPRODUCT(COUNTIF(P$8:P$13,코드!$J$2:$J$25)))</f>
        <v/>
      </c>
      <c r="Q36" s="19">
        <f>IF(Q$6="휴일","",SUMPRODUCT((명부!$F$2:$F$7&lt;&gt;"Y")*(Q$8:Q$13=""))+SUMPRODUCT(COUNTIF(Q$8:Q$13,코드!$J$2:$J$25)))</f>
        <v/>
      </c>
      <c r="R36" s="19">
        <f>IF(R$6="휴일","",SUMPRODUCT((명부!$F$2:$F$7&lt;&gt;"Y")*(R$8:R$13=""))+SUMPRODUCT(COUNTIF(R$8:R$13,코드!$J$2:$J$25)))</f>
        <v/>
      </c>
      <c r="S36" s="19">
        <f>IF(S$6="휴일","",SUMPRODUCT((명부!$F$2:$F$7&lt;&gt;"Y")*(S$8:S$13=""))+SUMPRODUCT(COUNTIF(S$8:S$13,코드!$J$2:$J$25)))</f>
        <v/>
      </c>
      <c r="T36" s="19">
        <f>IF(T$6="휴일","",SUMPRODUCT((명부!$F$2:$F$7&lt;&gt;"Y")*(T$8:T$13=""))+SUMPRODUCT(COUNTIF(T$8:T$13,코드!$J$2:$J$25)))</f>
        <v/>
      </c>
      <c r="U36" s="19">
        <f>IF(U$6="휴일","",SUMPRODUCT((명부!$F$2:$F$7&lt;&gt;"Y")*(U$8:U$13=""))+SUMPRODUCT(COUNTIF(U$8:U$13,코드!$J$2:$J$25)))</f>
        <v/>
      </c>
      <c r="V36" s="19">
        <f>IF(V$6="휴일","",SUMPRODUCT((명부!$F$2:$F$7&lt;&gt;"Y")*(V$8:V$13=""))+SUMPRODUCT(COUNTIF(V$8:V$13,코드!$J$2:$J$25)))</f>
        <v/>
      </c>
      <c r="W36" s="19">
        <f>IF(W$6="휴일","",SUMPRODUCT((명부!$F$2:$F$7&lt;&gt;"Y")*(W$8:W$13=""))+SUMPRODUCT(COUNTIF(W$8:W$13,코드!$J$2:$J$25)))</f>
        <v/>
      </c>
      <c r="X36" s="19">
        <f>IF(X$6="휴일","",SUMPRODUCT((명부!$F$2:$F$7&lt;&gt;"Y")*(X$8:X$13=""))+SUMPRODUCT(COUNTIF(X$8:X$13,코드!$J$2:$J$25)))</f>
        <v/>
      </c>
      <c r="Y36" s="19">
        <f>IF(Y$6="휴일","",SUMPRODUCT((명부!$F$2:$F$7&lt;&gt;"Y")*(Y$8:Y$13=""))+SUMPRODUCT(COUNTIF(Y$8:Y$13,코드!$J$2:$J$25)))</f>
        <v/>
      </c>
      <c r="Z36" s="19">
        <f>IF(Z$6="휴일","",SUMPRODUCT((명부!$F$2:$F$7&lt;&gt;"Y")*(Z$8:Z$13=""))+SUMPRODUCT(COUNTIF(Z$8:Z$13,코드!$J$2:$J$25)))</f>
        <v/>
      </c>
      <c r="AA36" s="19">
        <f>IF(AA$6="휴일","",SUMPRODUCT((명부!$F$2:$F$7&lt;&gt;"Y")*(AA$8:AA$13=""))+SUMPRODUCT(COUNTIF(AA$8:AA$13,코드!$J$2:$J$25)))</f>
        <v/>
      </c>
      <c r="AB36" s="19">
        <f>IF(AB$6="휴일","",SUMPRODUCT((명부!$F$2:$F$7&lt;&gt;"Y")*(AB$8:AB$13=""))+SUMPRODUCT(COUNTIF(AB$8:AB$13,코드!$J$2:$J$25)))</f>
        <v/>
      </c>
      <c r="AC36" s="19">
        <f>IF(AC$6="휴일","",SUMPRODUCT((명부!$F$2:$F$7&lt;&gt;"Y")*(AC$8:AC$13=""))+SUMPRODUCT(COUNTIF(AC$8:AC$13,코드!$J$2:$J$25)))</f>
        <v/>
      </c>
      <c r="AD36" s="19">
        <f>IF(AD$6="휴일","",SUMPRODUCT((명부!$F$2:$F$7&lt;&gt;"Y")*(AD$8:AD$13=""))+SUMPRODUCT(COUNTIF(AD$8:AD$13,코드!$J$2:$J$25)))</f>
        <v/>
      </c>
      <c r="AE36" s="19">
        <f>IF(AE$6="휴일","",SUMPRODUCT((명부!$F$2:$F$7&lt;&gt;"Y")*(AE$8:AE$13=""))+SUMPRODUCT(COUNTIF(AE$8:AE$13,코드!$J$2:$J$25)))</f>
        <v/>
      </c>
      <c r="AF36" s="19">
        <f>IF(AF$6="휴일","",SUMPRODUCT((명부!$F$2:$F$7&lt;&gt;"Y")*(AF$8:AF$13=""))+SUMPRODUCT(COUNTIF(AF$8:AF$13,코드!$J$2:$J$25)))</f>
        <v/>
      </c>
      <c r="AG36" s="19">
        <f>IF(AG$6="휴일","",SUMPRODUCT((명부!$F$2:$F$7&lt;&gt;"Y")*(AG$8:AG$13=""))+SUMPRODUCT(COUNTIF(AG$8:AG$13,코드!$J$2:$J$25)))</f>
        <v/>
      </c>
      <c r="AH36" s="19">
        <f>IF(AH$6="휴일","",SUMPRODUCT((명부!$F$2:$F$7&lt;&gt;"Y")*(AH$8:AH$13=""))+SUMPRODUCT(COUNTIF(AH$8:AH$13,코드!$J$2:$J$25)))</f>
        <v/>
      </c>
    </row>
    <row r="38">
      <c r="A38" s="5" t="inlineStr">
        <is>
          <t>판정이 「미달」인 날은 노랗게 강조된 칸이 조율 후보입니다 — 그 사람이 8시간 근무로 바꾸면 충족됩니다 (출장·교육·연차는 후보에서 제외). 직책자 8시간이 0이면 팀장·파트장 중 한 명이 8시간을 맡아야 합니다.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D8:AH31">
    <cfRule type="expression" priority="1" dxfId="0" stopIfTrue="1">
      <formula>AND(D$35="미달",COUNTIF(코드!$K$2:$K$60,D8)&gt;0)</formula>
    </cfRule>
    <cfRule type="expression" priority="2" dxfId="1">
      <formula>D$6="휴일"</formula>
    </cfRule>
    <cfRule type="expression" priority="3" dxfId="2">
      <formula>D8&lt;&gt;""</formula>
    </cfRule>
  </conditionalFormatting>
  <conditionalFormatting sqref="D35:AH35">
    <cfRule type="cellIs" priority="4" operator="equal" dxfId="3">
      <formula>"미달"</formula>
    </cfRule>
    <cfRule type="cellIs" priority="5" operator="equal" dxfId="4">
      <formula>"충족"</formula>
    </cfRule>
  </conditionalFormatting>
  <conditionalFormatting sqref="D36:AH36">
    <cfRule type="cellIs" priority="6" operator="lessThan" dxfId="5">
      <formula>1</formula>
    </cfRule>
  </conditionalFormatting>
  <dataValidations count="1">
    <dataValidation sqref="D8:AH31" showDropDown="0" showInputMessage="0" showErrorMessage="0" allowBlank="1" errorTitle="사용할 수 없는 조합" error="드롭다운에 있는 조합만 넣을 수 있습니다. 목록에 없으면 규칙 위반입니다." promptTitle="근무 조합" prompt="빈칸 = 8시간 근무.&#10;근무 0830-1730 · 오전반 1300-1700 처럼 유형과 시각을 함께 고릅니다." type="list">
      <formula1>=코드!$A$2:$A$107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34"/>
  <sheetViews>
    <sheetView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>
      <c r="A1" s="6" t="inlineStr">
        <is>
          <t>연</t>
        </is>
      </c>
      <c r="B1" s="7" t="n">
        <v>2026</v>
      </c>
      <c r="D1" s="8" t="inlineStr">
        <is>
          <t>OT — 날짜별 초과근로 시간</t>
        </is>
      </c>
    </row>
    <row r="2">
      <c r="A2" s="6" t="inlineStr">
        <is>
          <t>월</t>
        </is>
      </c>
      <c r="B2" s="7" t="n">
        <v>9</v>
      </c>
      <c r="D2" s="5" t="inlineStr">
        <is>
          <t>1시간 45분은 1.75 로 넣습니다 (분 단위 신청) · 월 합계와 잔여는 「개인요약」 시트에서 봅니다</t>
        </is>
      </c>
    </row>
    <row r="3">
      <c r="A3" s="9" t="inlineStr">
        <is>
          <t>주</t>
        </is>
      </c>
      <c r="D3" s="9">
        <f>IF(D4="","",INT((D4-1+MOD(WEEKDAY(DATE($B$1,$B$2,1))+5,7))/7)+1)</f>
        <v/>
      </c>
      <c r="E3" s="9">
        <f>IF(E4="","",INT((E4-1+MOD(WEEKDAY(DATE($B$1,$B$2,1))+5,7))/7)+1)</f>
        <v/>
      </c>
      <c r="F3" s="9">
        <f>IF(F4="","",INT((F4-1+MOD(WEEKDAY(DATE($B$1,$B$2,1))+5,7))/7)+1)</f>
        <v/>
      </c>
      <c r="G3" s="9">
        <f>IF(G4="","",INT((G4-1+MOD(WEEKDAY(DATE($B$1,$B$2,1))+5,7))/7)+1)</f>
        <v/>
      </c>
      <c r="H3" s="9">
        <f>IF(H4="","",INT((H4-1+MOD(WEEKDAY(DATE($B$1,$B$2,1))+5,7))/7)+1)</f>
        <v/>
      </c>
      <c r="I3" s="9">
        <f>IF(I4="","",INT((I4-1+MOD(WEEKDAY(DATE($B$1,$B$2,1))+5,7))/7)+1)</f>
        <v/>
      </c>
      <c r="J3" s="9">
        <f>IF(J4="","",INT((J4-1+MOD(WEEKDAY(DATE($B$1,$B$2,1))+5,7))/7)+1)</f>
        <v/>
      </c>
      <c r="K3" s="9">
        <f>IF(K4="","",INT((K4-1+MOD(WEEKDAY(DATE($B$1,$B$2,1))+5,7))/7)+1)</f>
        <v/>
      </c>
      <c r="L3" s="9">
        <f>IF(L4="","",INT((L4-1+MOD(WEEKDAY(DATE($B$1,$B$2,1))+5,7))/7)+1)</f>
        <v/>
      </c>
      <c r="M3" s="9">
        <f>IF(M4="","",INT((M4-1+MOD(WEEKDAY(DATE($B$1,$B$2,1))+5,7))/7)+1)</f>
        <v/>
      </c>
      <c r="N3" s="9">
        <f>IF(N4="","",INT((N4-1+MOD(WEEKDAY(DATE($B$1,$B$2,1))+5,7))/7)+1)</f>
        <v/>
      </c>
      <c r="O3" s="9">
        <f>IF(O4="","",INT((O4-1+MOD(WEEKDAY(DATE($B$1,$B$2,1))+5,7))/7)+1)</f>
        <v/>
      </c>
      <c r="P3" s="9">
        <f>IF(P4="","",INT((P4-1+MOD(WEEKDAY(DATE($B$1,$B$2,1))+5,7))/7)+1)</f>
        <v/>
      </c>
      <c r="Q3" s="9">
        <f>IF(Q4="","",INT((Q4-1+MOD(WEEKDAY(DATE($B$1,$B$2,1))+5,7))/7)+1)</f>
        <v/>
      </c>
      <c r="R3" s="9">
        <f>IF(R4="","",INT((R4-1+MOD(WEEKDAY(DATE($B$1,$B$2,1))+5,7))/7)+1)</f>
        <v/>
      </c>
      <c r="S3" s="9">
        <f>IF(S4="","",INT((S4-1+MOD(WEEKDAY(DATE($B$1,$B$2,1))+5,7))/7)+1)</f>
        <v/>
      </c>
      <c r="T3" s="9">
        <f>IF(T4="","",INT((T4-1+MOD(WEEKDAY(DATE($B$1,$B$2,1))+5,7))/7)+1)</f>
        <v/>
      </c>
      <c r="U3" s="9">
        <f>IF(U4="","",INT((U4-1+MOD(WEEKDAY(DATE($B$1,$B$2,1))+5,7))/7)+1)</f>
        <v/>
      </c>
      <c r="V3" s="9">
        <f>IF(V4="","",INT((V4-1+MOD(WEEKDAY(DATE($B$1,$B$2,1))+5,7))/7)+1)</f>
        <v/>
      </c>
      <c r="W3" s="9">
        <f>IF(W4="","",INT((W4-1+MOD(WEEKDAY(DATE($B$1,$B$2,1))+5,7))/7)+1)</f>
        <v/>
      </c>
      <c r="X3" s="9">
        <f>IF(X4="","",INT((X4-1+MOD(WEEKDAY(DATE($B$1,$B$2,1))+5,7))/7)+1)</f>
        <v/>
      </c>
      <c r="Y3" s="9">
        <f>IF(Y4="","",INT((Y4-1+MOD(WEEKDAY(DATE($B$1,$B$2,1))+5,7))/7)+1)</f>
        <v/>
      </c>
      <c r="Z3" s="9">
        <f>IF(Z4="","",INT((Z4-1+MOD(WEEKDAY(DATE($B$1,$B$2,1))+5,7))/7)+1)</f>
        <v/>
      </c>
      <c r="AA3" s="9">
        <f>IF(AA4="","",INT((AA4-1+MOD(WEEKDAY(DATE($B$1,$B$2,1))+5,7))/7)+1)</f>
        <v/>
      </c>
      <c r="AB3" s="9">
        <f>IF(AB4="","",INT((AB4-1+MOD(WEEKDAY(DATE($B$1,$B$2,1))+5,7))/7)+1)</f>
        <v/>
      </c>
      <c r="AC3" s="9">
        <f>IF(AC4="","",INT((AC4-1+MOD(WEEKDAY(DATE($B$1,$B$2,1))+5,7))/7)+1)</f>
        <v/>
      </c>
      <c r="AD3" s="9">
        <f>IF(AD4="","",INT((AD4-1+MOD(WEEKDAY(DATE($B$1,$B$2,1))+5,7))/7)+1)</f>
        <v/>
      </c>
      <c r="AE3" s="9">
        <f>IF(AE4="","",INT((AE4-1+MOD(WEEKDAY(DATE($B$1,$B$2,1))+5,7))/7)+1)</f>
        <v/>
      </c>
      <c r="AF3" s="9">
        <f>IF(AF4="","",INT((AF4-1+MOD(WEEKDAY(DATE($B$1,$B$2,1))+5,7))/7)+1)</f>
        <v/>
      </c>
      <c r="AG3" s="9">
        <f>IF(AG4="","",INT((AG4-1+MOD(WEEKDAY(DATE($B$1,$B$2,1))+5,7))/7)+1)</f>
        <v/>
      </c>
      <c r="AH3" s="9">
        <f>IF(AH4="","",INT((AH4-1+MOD(WEEKDAY(DATE($B$1,$B$2,1))+5,7))/7)+1)</f>
        <v/>
      </c>
    </row>
    <row r="4">
      <c r="D4" s="10">
        <f>IF(MONTH(DATE($B$1,$B$2,COLUMN()-3))&lt;&gt;$B$2,"",COLUMN()-3)</f>
        <v/>
      </c>
      <c r="E4" s="10">
        <f>IF(MONTH(DATE($B$1,$B$2,COLUMN()-3))&lt;&gt;$B$2,"",COLUMN()-3)</f>
        <v/>
      </c>
      <c r="F4" s="10">
        <f>IF(MONTH(DATE($B$1,$B$2,COLUMN()-3))&lt;&gt;$B$2,"",COLUMN()-3)</f>
        <v/>
      </c>
      <c r="G4" s="10">
        <f>IF(MONTH(DATE($B$1,$B$2,COLUMN()-3))&lt;&gt;$B$2,"",COLUMN()-3)</f>
        <v/>
      </c>
      <c r="H4" s="10">
        <f>IF(MONTH(DATE($B$1,$B$2,COLUMN()-3))&lt;&gt;$B$2,"",COLUMN()-3)</f>
        <v/>
      </c>
      <c r="I4" s="10">
        <f>IF(MONTH(DATE($B$1,$B$2,COLUMN()-3))&lt;&gt;$B$2,"",COLUMN()-3)</f>
        <v/>
      </c>
      <c r="J4" s="10">
        <f>IF(MONTH(DATE($B$1,$B$2,COLUMN()-3))&lt;&gt;$B$2,"",COLUMN()-3)</f>
        <v/>
      </c>
      <c r="K4" s="10">
        <f>IF(MONTH(DATE($B$1,$B$2,COLUMN()-3))&lt;&gt;$B$2,"",COLUMN()-3)</f>
        <v/>
      </c>
      <c r="L4" s="10">
        <f>IF(MONTH(DATE($B$1,$B$2,COLUMN()-3))&lt;&gt;$B$2,"",COLUMN()-3)</f>
        <v/>
      </c>
      <c r="M4" s="10">
        <f>IF(MONTH(DATE($B$1,$B$2,COLUMN()-3))&lt;&gt;$B$2,"",COLUMN()-3)</f>
        <v/>
      </c>
      <c r="N4" s="10">
        <f>IF(MONTH(DATE($B$1,$B$2,COLUMN()-3))&lt;&gt;$B$2,"",COLUMN()-3)</f>
        <v/>
      </c>
      <c r="O4" s="10">
        <f>IF(MONTH(DATE($B$1,$B$2,COLUMN()-3))&lt;&gt;$B$2,"",COLUMN()-3)</f>
        <v/>
      </c>
      <c r="P4" s="10">
        <f>IF(MONTH(DATE($B$1,$B$2,COLUMN()-3))&lt;&gt;$B$2,"",COLUMN()-3)</f>
        <v/>
      </c>
      <c r="Q4" s="10">
        <f>IF(MONTH(DATE($B$1,$B$2,COLUMN()-3))&lt;&gt;$B$2,"",COLUMN()-3)</f>
        <v/>
      </c>
      <c r="R4" s="10">
        <f>IF(MONTH(DATE($B$1,$B$2,COLUMN()-3))&lt;&gt;$B$2,"",COLUMN()-3)</f>
        <v/>
      </c>
      <c r="S4" s="10">
        <f>IF(MONTH(DATE($B$1,$B$2,COLUMN()-3))&lt;&gt;$B$2,"",COLUMN()-3)</f>
        <v/>
      </c>
      <c r="T4" s="10">
        <f>IF(MONTH(DATE($B$1,$B$2,COLUMN()-3))&lt;&gt;$B$2,"",COLUMN()-3)</f>
        <v/>
      </c>
      <c r="U4" s="10">
        <f>IF(MONTH(DATE($B$1,$B$2,COLUMN()-3))&lt;&gt;$B$2,"",COLUMN()-3)</f>
        <v/>
      </c>
      <c r="V4" s="10">
        <f>IF(MONTH(DATE($B$1,$B$2,COLUMN()-3))&lt;&gt;$B$2,"",COLUMN()-3)</f>
        <v/>
      </c>
      <c r="W4" s="10">
        <f>IF(MONTH(DATE($B$1,$B$2,COLUMN()-3))&lt;&gt;$B$2,"",COLUMN()-3)</f>
        <v/>
      </c>
      <c r="X4" s="10">
        <f>IF(MONTH(DATE($B$1,$B$2,COLUMN()-3))&lt;&gt;$B$2,"",COLUMN()-3)</f>
        <v/>
      </c>
      <c r="Y4" s="10">
        <f>IF(MONTH(DATE($B$1,$B$2,COLUMN()-3))&lt;&gt;$B$2,"",COLUMN()-3)</f>
        <v/>
      </c>
      <c r="Z4" s="10">
        <f>IF(MONTH(DATE($B$1,$B$2,COLUMN()-3))&lt;&gt;$B$2,"",COLUMN()-3)</f>
        <v/>
      </c>
      <c r="AA4" s="10">
        <f>IF(MONTH(DATE($B$1,$B$2,COLUMN()-3))&lt;&gt;$B$2,"",COLUMN()-3)</f>
        <v/>
      </c>
      <c r="AB4" s="10">
        <f>IF(MONTH(DATE($B$1,$B$2,COLUMN()-3))&lt;&gt;$B$2,"",COLUMN()-3)</f>
        <v/>
      </c>
      <c r="AC4" s="10">
        <f>IF(MONTH(DATE($B$1,$B$2,COLUMN()-3))&lt;&gt;$B$2,"",COLUMN()-3)</f>
        <v/>
      </c>
      <c r="AD4" s="10">
        <f>IF(MONTH(DATE($B$1,$B$2,COLUMN()-3))&lt;&gt;$B$2,"",COLUMN()-3)</f>
        <v/>
      </c>
      <c r="AE4" s="10">
        <f>IF(MONTH(DATE($B$1,$B$2,COLUMN()-3))&lt;&gt;$B$2,"",COLUMN()-3)</f>
        <v/>
      </c>
      <c r="AF4" s="10">
        <f>IF(MONTH(DATE($B$1,$B$2,COLUMN()-3))&lt;&gt;$B$2,"",COLUMN()-3)</f>
        <v/>
      </c>
      <c r="AG4" s="10">
        <f>IF(MONTH(DATE($B$1,$B$2,COLUMN()-3))&lt;&gt;$B$2,"",COLUMN()-3)</f>
        <v/>
      </c>
      <c r="AH4" s="10">
        <f>IF(MONTH(DATE($B$1,$B$2,COLUMN()-3))&lt;&gt;$B$2,"",COLUMN()-3)</f>
        <v/>
      </c>
    </row>
    <row r="5">
      <c r="D5" s="11">
        <f>IF(D$4="","",INDEX(코드!$M$2:$M$8,WEEKDAY(DATE($B$1,$B$2,D$4))))</f>
        <v/>
      </c>
      <c r="E5" s="11">
        <f>IF(E$4="","",INDEX(코드!$M$2:$M$8,WEEKDAY(DATE($B$1,$B$2,E$4))))</f>
        <v/>
      </c>
      <c r="F5" s="11">
        <f>IF(F$4="","",INDEX(코드!$M$2:$M$8,WEEKDAY(DATE($B$1,$B$2,F$4))))</f>
        <v/>
      </c>
      <c r="G5" s="11">
        <f>IF(G$4="","",INDEX(코드!$M$2:$M$8,WEEKDAY(DATE($B$1,$B$2,G$4))))</f>
        <v/>
      </c>
      <c r="H5" s="11">
        <f>IF(H$4="","",INDEX(코드!$M$2:$M$8,WEEKDAY(DATE($B$1,$B$2,H$4))))</f>
        <v/>
      </c>
      <c r="I5" s="11">
        <f>IF(I$4="","",INDEX(코드!$M$2:$M$8,WEEKDAY(DATE($B$1,$B$2,I$4))))</f>
        <v/>
      </c>
      <c r="J5" s="11">
        <f>IF(J$4="","",INDEX(코드!$M$2:$M$8,WEEKDAY(DATE($B$1,$B$2,J$4))))</f>
        <v/>
      </c>
      <c r="K5" s="11">
        <f>IF(K$4="","",INDEX(코드!$M$2:$M$8,WEEKDAY(DATE($B$1,$B$2,K$4))))</f>
        <v/>
      </c>
      <c r="L5" s="11">
        <f>IF(L$4="","",INDEX(코드!$M$2:$M$8,WEEKDAY(DATE($B$1,$B$2,L$4))))</f>
        <v/>
      </c>
      <c r="M5" s="11">
        <f>IF(M$4="","",INDEX(코드!$M$2:$M$8,WEEKDAY(DATE($B$1,$B$2,M$4))))</f>
        <v/>
      </c>
      <c r="N5" s="11">
        <f>IF(N$4="","",INDEX(코드!$M$2:$M$8,WEEKDAY(DATE($B$1,$B$2,N$4))))</f>
        <v/>
      </c>
      <c r="O5" s="11">
        <f>IF(O$4="","",INDEX(코드!$M$2:$M$8,WEEKDAY(DATE($B$1,$B$2,O$4))))</f>
        <v/>
      </c>
      <c r="P5" s="11">
        <f>IF(P$4="","",INDEX(코드!$M$2:$M$8,WEEKDAY(DATE($B$1,$B$2,P$4))))</f>
        <v/>
      </c>
      <c r="Q5" s="11">
        <f>IF(Q$4="","",INDEX(코드!$M$2:$M$8,WEEKDAY(DATE($B$1,$B$2,Q$4))))</f>
        <v/>
      </c>
      <c r="R5" s="11">
        <f>IF(R$4="","",INDEX(코드!$M$2:$M$8,WEEKDAY(DATE($B$1,$B$2,R$4))))</f>
        <v/>
      </c>
      <c r="S5" s="11">
        <f>IF(S$4="","",INDEX(코드!$M$2:$M$8,WEEKDAY(DATE($B$1,$B$2,S$4))))</f>
        <v/>
      </c>
      <c r="T5" s="11">
        <f>IF(T$4="","",INDEX(코드!$M$2:$M$8,WEEKDAY(DATE($B$1,$B$2,T$4))))</f>
        <v/>
      </c>
      <c r="U5" s="11">
        <f>IF(U$4="","",INDEX(코드!$M$2:$M$8,WEEKDAY(DATE($B$1,$B$2,U$4))))</f>
        <v/>
      </c>
      <c r="V5" s="11">
        <f>IF(V$4="","",INDEX(코드!$M$2:$M$8,WEEKDAY(DATE($B$1,$B$2,V$4))))</f>
        <v/>
      </c>
      <c r="W5" s="11">
        <f>IF(W$4="","",INDEX(코드!$M$2:$M$8,WEEKDAY(DATE($B$1,$B$2,W$4))))</f>
        <v/>
      </c>
      <c r="X5" s="11">
        <f>IF(X$4="","",INDEX(코드!$M$2:$M$8,WEEKDAY(DATE($B$1,$B$2,X$4))))</f>
        <v/>
      </c>
      <c r="Y5" s="11">
        <f>IF(Y$4="","",INDEX(코드!$M$2:$M$8,WEEKDAY(DATE($B$1,$B$2,Y$4))))</f>
        <v/>
      </c>
      <c r="Z5" s="11">
        <f>IF(Z$4="","",INDEX(코드!$M$2:$M$8,WEEKDAY(DATE($B$1,$B$2,Z$4))))</f>
        <v/>
      </c>
      <c r="AA5" s="11">
        <f>IF(AA$4="","",INDEX(코드!$M$2:$M$8,WEEKDAY(DATE($B$1,$B$2,AA$4))))</f>
        <v/>
      </c>
      <c r="AB5" s="11">
        <f>IF(AB$4="","",INDEX(코드!$M$2:$M$8,WEEKDAY(DATE($B$1,$B$2,AB$4))))</f>
        <v/>
      </c>
      <c r="AC5" s="11">
        <f>IF(AC$4="","",INDEX(코드!$M$2:$M$8,WEEKDAY(DATE($B$1,$B$2,AC$4))))</f>
        <v/>
      </c>
      <c r="AD5" s="11">
        <f>IF(AD$4="","",INDEX(코드!$M$2:$M$8,WEEKDAY(DATE($B$1,$B$2,AD$4))))</f>
        <v/>
      </c>
      <c r="AE5" s="11">
        <f>IF(AE$4="","",INDEX(코드!$M$2:$M$8,WEEKDAY(DATE($B$1,$B$2,AE$4))))</f>
        <v/>
      </c>
      <c r="AF5" s="11">
        <f>IF(AF$4="","",INDEX(코드!$M$2:$M$8,WEEKDAY(DATE($B$1,$B$2,AF$4))))</f>
        <v/>
      </c>
      <c r="AG5" s="11">
        <f>IF(AG$4="","",INDEX(코드!$M$2:$M$8,WEEKDAY(DATE($B$1,$B$2,AG$4))))</f>
        <v/>
      </c>
      <c r="AH5" s="11">
        <f>IF(AH$4="","",INDEX(코드!$M$2:$M$8,WEEKDAY(DATE($B$1,$B$2,AH$4))))</f>
        <v/>
      </c>
    </row>
    <row r="6">
      <c r="D6" s="9">
        <f>IF(D$4="","",IF(OR(WEEKDAY(DATE($B$1,$B$2,D$4),2)&gt;5,COUNTIF(공휴일!$A$2:$A$400,DATE($B$1,$B$2,D$4))&gt;0),"휴일",""))</f>
        <v/>
      </c>
      <c r="E6" s="9">
        <f>IF(E$4="","",IF(OR(WEEKDAY(DATE($B$1,$B$2,E$4),2)&gt;5,COUNTIF(공휴일!$A$2:$A$400,DATE($B$1,$B$2,E$4))&gt;0),"휴일",""))</f>
        <v/>
      </c>
      <c r="F6" s="9">
        <f>IF(F$4="","",IF(OR(WEEKDAY(DATE($B$1,$B$2,F$4),2)&gt;5,COUNTIF(공휴일!$A$2:$A$400,DATE($B$1,$B$2,F$4))&gt;0),"휴일",""))</f>
        <v/>
      </c>
      <c r="G6" s="9">
        <f>IF(G$4="","",IF(OR(WEEKDAY(DATE($B$1,$B$2,G$4),2)&gt;5,COUNTIF(공휴일!$A$2:$A$400,DATE($B$1,$B$2,G$4))&gt;0),"휴일",""))</f>
        <v/>
      </c>
      <c r="H6" s="9">
        <f>IF(H$4="","",IF(OR(WEEKDAY(DATE($B$1,$B$2,H$4),2)&gt;5,COUNTIF(공휴일!$A$2:$A$400,DATE($B$1,$B$2,H$4))&gt;0),"휴일",""))</f>
        <v/>
      </c>
      <c r="I6" s="9">
        <f>IF(I$4="","",IF(OR(WEEKDAY(DATE($B$1,$B$2,I$4),2)&gt;5,COUNTIF(공휴일!$A$2:$A$400,DATE($B$1,$B$2,I$4))&gt;0),"휴일",""))</f>
        <v/>
      </c>
      <c r="J6" s="9">
        <f>IF(J$4="","",IF(OR(WEEKDAY(DATE($B$1,$B$2,J$4),2)&gt;5,COUNTIF(공휴일!$A$2:$A$400,DATE($B$1,$B$2,J$4))&gt;0),"휴일",""))</f>
        <v/>
      </c>
      <c r="K6" s="9">
        <f>IF(K$4="","",IF(OR(WEEKDAY(DATE($B$1,$B$2,K$4),2)&gt;5,COUNTIF(공휴일!$A$2:$A$400,DATE($B$1,$B$2,K$4))&gt;0),"휴일",""))</f>
        <v/>
      </c>
      <c r="L6" s="9">
        <f>IF(L$4="","",IF(OR(WEEKDAY(DATE($B$1,$B$2,L$4),2)&gt;5,COUNTIF(공휴일!$A$2:$A$400,DATE($B$1,$B$2,L$4))&gt;0),"휴일",""))</f>
        <v/>
      </c>
      <c r="M6" s="9">
        <f>IF(M$4="","",IF(OR(WEEKDAY(DATE($B$1,$B$2,M$4),2)&gt;5,COUNTIF(공휴일!$A$2:$A$400,DATE($B$1,$B$2,M$4))&gt;0),"휴일",""))</f>
        <v/>
      </c>
      <c r="N6" s="9">
        <f>IF(N$4="","",IF(OR(WEEKDAY(DATE($B$1,$B$2,N$4),2)&gt;5,COUNTIF(공휴일!$A$2:$A$400,DATE($B$1,$B$2,N$4))&gt;0),"휴일",""))</f>
        <v/>
      </c>
      <c r="O6" s="9">
        <f>IF(O$4="","",IF(OR(WEEKDAY(DATE($B$1,$B$2,O$4),2)&gt;5,COUNTIF(공휴일!$A$2:$A$400,DATE($B$1,$B$2,O$4))&gt;0),"휴일",""))</f>
        <v/>
      </c>
      <c r="P6" s="9">
        <f>IF(P$4="","",IF(OR(WEEKDAY(DATE($B$1,$B$2,P$4),2)&gt;5,COUNTIF(공휴일!$A$2:$A$400,DATE($B$1,$B$2,P$4))&gt;0),"휴일",""))</f>
        <v/>
      </c>
      <c r="Q6" s="9">
        <f>IF(Q$4="","",IF(OR(WEEKDAY(DATE($B$1,$B$2,Q$4),2)&gt;5,COUNTIF(공휴일!$A$2:$A$400,DATE($B$1,$B$2,Q$4))&gt;0),"휴일",""))</f>
        <v/>
      </c>
      <c r="R6" s="9">
        <f>IF(R$4="","",IF(OR(WEEKDAY(DATE($B$1,$B$2,R$4),2)&gt;5,COUNTIF(공휴일!$A$2:$A$400,DATE($B$1,$B$2,R$4))&gt;0),"휴일",""))</f>
        <v/>
      </c>
      <c r="S6" s="9">
        <f>IF(S$4="","",IF(OR(WEEKDAY(DATE($B$1,$B$2,S$4),2)&gt;5,COUNTIF(공휴일!$A$2:$A$400,DATE($B$1,$B$2,S$4))&gt;0),"휴일",""))</f>
        <v/>
      </c>
      <c r="T6" s="9">
        <f>IF(T$4="","",IF(OR(WEEKDAY(DATE($B$1,$B$2,T$4),2)&gt;5,COUNTIF(공휴일!$A$2:$A$400,DATE($B$1,$B$2,T$4))&gt;0),"휴일",""))</f>
        <v/>
      </c>
      <c r="U6" s="9">
        <f>IF(U$4="","",IF(OR(WEEKDAY(DATE($B$1,$B$2,U$4),2)&gt;5,COUNTIF(공휴일!$A$2:$A$400,DATE($B$1,$B$2,U$4))&gt;0),"휴일",""))</f>
        <v/>
      </c>
      <c r="V6" s="9">
        <f>IF(V$4="","",IF(OR(WEEKDAY(DATE($B$1,$B$2,V$4),2)&gt;5,COUNTIF(공휴일!$A$2:$A$400,DATE($B$1,$B$2,V$4))&gt;0),"휴일",""))</f>
        <v/>
      </c>
      <c r="W6" s="9">
        <f>IF(W$4="","",IF(OR(WEEKDAY(DATE($B$1,$B$2,W$4),2)&gt;5,COUNTIF(공휴일!$A$2:$A$400,DATE($B$1,$B$2,W$4))&gt;0),"휴일",""))</f>
        <v/>
      </c>
      <c r="X6" s="9">
        <f>IF(X$4="","",IF(OR(WEEKDAY(DATE($B$1,$B$2,X$4),2)&gt;5,COUNTIF(공휴일!$A$2:$A$400,DATE($B$1,$B$2,X$4))&gt;0),"휴일",""))</f>
        <v/>
      </c>
      <c r="Y6" s="9">
        <f>IF(Y$4="","",IF(OR(WEEKDAY(DATE($B$1,$B$2,Y$4),2)&gt;5,COUNTIF(공휴일!$A$2:$A$400,DATE($B$1,$B$2,Y$4))&gt;0),"휴일",""))</f>
        <v/>
      </c>
      <c r="Z6" s="9">
        <f>IF(Z$4="","",IF(OR(WEEKDAY(DATE($B$1,$B$2,Z$4),2)&gt;5,COUNTIF(공휴일!$A$2:$A$400,DATE($B$1,$B$2,Z$4))&gt;0),"휴일",""))</f>
        <v/>
      </c>
      <c r="AA6" s="9">
        <f>IF(AA$4="","",IF(OR(WEEKDAY(DATE($B$1,$B$2,AA$4),2)&gt;5,COUNTIF(공휴일!$A$2:$A$400,DATE($B$1,$B$2,AA$4))&gt;0),"휴일",""))</f>
        <v/>
      </c>
      <c r="AB6" s="9">
        <f>IF(AB$4="","",IF(OR(WEEKDAY(DATE($B$1,$B$2,AB$4),2)&gt;5,COUNTIF(공휴일!$A$2:$A$400,DATE($B$1,$B$2,AB$4))&gt;0),"휴일",""))</f>
        <v/>
      </c>
      <c r="AC6" s="9">
        <f>IF(AC$4="","",IF(OR(WEEKDAY(DATE($B$1,$B$2,AC$4),2)&gt;5,COUNTIF(공휴일!$A$2:$A$400,DATE($B$1,$B$2,AC$4))&gt;0),"휴일",""))</f>
        <v/>
      </c>
      <c r="AD6" s="9">
        <f>IF(AD$4="","",IF(OR(WEEKDAY(DATE($B$1,$B$2,AD$4),2)&gt;5,COUNTIF(공휴일!$A$2:$A$400,DATE($B$1,$B$2,AD$4))&gt;0),"휴일",""))</f>
        <v/>
      </c>
      <c r="AE6" s="9">
        <f>IF(AE$4="","",IF(OR(WEEKDAY(DATE($B$1,$B$2,AE$4),2)&gt;5,COUNTIF(공휴일!$A$2:$A$400,DATE($B$1,$B$2,AE$4))&gt;0),"휴일",""))</f>
        <v/>
      </c>
      <c r="AF6" s="9">
        <f>IF(AF$4="","",IF(OR(WEEKDAY(DATE($B$1,$B$2,AF$4),2)&gt;5,COUNTIF(공휴일!$A$2:$A$400,DATE($B$1,$B$2,AF$4))&gt;0),"휴일",""))</f>
        <v/>
      </c>
      <c r="AG6" s="9">
        <f>IF(AG$4="","",IF(OR(WEEKDAY(DATE($B$1,$B$2,AG$4),2)&gt;5,COUNTIF(공휴일!$A$2:$A$400,DATE($B$1,$B$2,AG$4))&gt;0),"휴일",""))</f>
        <v/>
      </c>
      <c r="AH6" s="9">
        <f>IF(AH$4="","",IF(OR(WEEKDAY(DATE($B$1,$B$2,AH$4),2)&gt;5,COUNTIF(공휴일!$A$2:$A$400,DATE($B$1,$B$2,AH$4))&gt;0),"휴일",""))</f>
        <v/>
      </c>
    </row>
    <row r="7">
      <c r="A7" s="10" t="inlineStr">
        <is>
          <t>이름</t>
        </is>
      </c>
      <c r="B7" s="10" t="inlineStr">
        <is>
          <t>파트</t>
        </is>
      </c>
      <c r="C7" s="10" t="inlineStr">
        <is>
          <t>그룹</t>
        </is>
      </c>
    </row>
    <row r="8">
      <c r="A8" s="12">
        <f>IF(명부!A2="","",명부!A2)</f>
        <v/>
      </c>
      <c r="B8" s="13">
        <f>IF(명부!C2="","",명부!C2)</f>
        <v/>
      </c>
      <c r="C8" s="14">
        <f>IF(명부!E2="","",명부!E2)</f>
        <v/>
      </c>
      <c r="D8" s="20" t="n"/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20" t="n"/>
    </row>
    <row r="9">
      <c r="A9" s="12">
        <f>IF(명부!A3="","",명부!A3)</f>
        <v/>
      </c>
      <c r="B9" s="13">
        <f>IF(명부!C3="","",명부!C3)</f>
        <v/>
      </c>
      <c r="C9" s="14">
        <f>IF(명부!E3="","",명부!E3)</f>
        <v/>
      </c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20" t="n"/>
    </row>
    <row r="10">
      <c r="A10" s="12">
        <f>IF(명부!A4="","",명부!A4)</f>
        <v/>
      </c>
      <c r="B10" s="13">
        <f>IF(명부!C4="","",명부!C4)</f>
        <v/>
      </c>
      <c r="C10" s="14">
        <f>IF(명부!E4="","",명부!E4)</f>
        <v/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</row>
    <row r="11">
      <c r="A11" s="12">
        <f>IF(명부!A5="","",명부!A5)</f>
        <v/>
      </c>
      <c r="B11" s="13">
        <f>IF(명부!C5="","",명부!C5)</f>
        <v/>
      </c>
      <c r="C11" s="14">
        <f>IF(명부!E5="","",명부!E5)</f>
        <v/>
      </c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20" t="n"/>
    </row>
    <row r="12">
      <c r="A12" s="12">
        <f>IF(명부!A6="","",명부!A6)</f>
        <v/>
      </c>
      <c r="B12" s="13">
        <f>IF(명부!C6="","",명부!C6)</f>
        <v/>
      </c>
      <c r="C12" s="14">
        <f>IF(명부!E6="","",명부!E6)</f>
        <v/>
      </c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</row>
    <row r="13">
      <c r="A13" s="12">
        <f>IF(명부!A7="","",명부!A7)</f>
        <v/>
      </c>
      <c r="B13" s="13">
        <f>IF(명부!C7="","",명부!C7)</f>
        <v/>
      </c>
      <c r="C13" s="14">
        <f>IF(명부!E7="","",명부!E7)</f>
        <v/>
      </c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20" t="n"/>
    </row>
    <row r="14">
      <c r="A14" s="12">
        <f>IF(명부!A8="","",명부!A8)</f>
        <v/>
      </c>
      <c r="B14" s="13">
        <f>IF(명부!C8="","",명부!C8)</f>
        <v/>
      </c>
      <c r="C14" s="14">
        <f>IF(명부!E8="","",명부!E8)</f>
        <v/>
      </c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20" t="n"/>
    </row>
    <row r="15">
      <c r="A15" s="12">
        <f>IF(명부!A9="","",명부!A9)</f>
        <v/>
      </c>
      <c r="B15" s="13">
        <f>IF(명부!C9="","",명부!C9)</f>
        <v/>
      </c>
      <c r="C15" s="14">
        <f>IF(명부!E9="","",명부!E9)</f>
        <v/>
      </c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20" t="n"/>
    </row>
    <row r="16">
      <c r="A16" s="12">
        <f>IF(명부!A10="","",명부!A10)</f>
        <v/>
      </c>
      <c r="B16" s="13">
        <f>IF(명부!C10="","",명부!C10)</f>
        <v/>
      </c>
      <c r="C16" s="14">
        <f>IF(명부!E10="","",명부!E10)</f>
        <v/>
      </c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20" t="n"/>
    </row>
    <row r="17">
      <c r="A17" s="12">
        <f>IF(명부!A11="","",명부!A11)</f>
        <v/>
      </c>
      <c r="B17" s="13">
        <f>IF(명부!C11="","",명부!C11)</f>
        <v/>
      </c>
      <c r="C17" s="14">
        <f>IF(명부!E11="","",명부!E11)</f>
        <v/>
      </c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20" t="n"/>
    </row>
    <row r="18">
      <c r="A18" s="12">
        <f>IF(명부!A12="","",명부!A12)</f>
        <v/>
      </c>
      <c r="B18" s="13">
        <f>IF(명부!C12="","",명부!C12)</f>
        <v/>
      </c>
      <c r="C18" s="14">
        <f>IF(명부!E12="","",명부!E12)</f>
        <v/>
      </c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20" t="n"/>
    </row>
    <row r="19">
      <c r="A19" s="12">
        <f>IF(명부!A13="","",명부!A13)</f>
        <v/>
      </c>
      <c r="B19" s="13">
        <f>IF(명부!C13="","",명부!C13)</f>
        <v/>
      </c>
      <c r="C19" s="14">
        <f>IF(명부!E13="","",명부!E13)</f>
        <v/>
      </c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20" t="n"/>
    </row>
    <row r="20">
      <c r="A20" s="12">
        <f>IF(명부!A14="","",명부!A14)</f>
        <v/>
      </c>
      <c r="B20" s="13">
        <f>IF(명부!C14="","",명부!C14)</f>
        <v/>
      </c>
      <c r="C20" s="14">
        <f>IF(명부!E14="","",명부!E14)</f>
        <v/>
      </c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20" t="n"/>
    </row>
    <row r="21">
      <c r="A21" s="12">
        <f>IF(명부!A15="","",명부!A15)</f>
        <v/>
      </c>
      <c r="B21" s="13">
        <f>IF(명부!C15="","",명부!C15)</f>
        <v/>
      </c>
      <c r="C21" s="14">
        <f>IF(명부!E15="","",명부!E15)</f>
        <v/>
      </c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  <c r="AE21" s="20" t="n"/>
      <c r="AF21" s="20" t="n"/>
      <c r="AG21" s="20" t="n"/>
      <c r="AH21" s="20" t="n"/>
    </row>
    <row r="22">
      <c r="A22" s="12">
        <f>IF(명부!A16="","",명부!A16)</f>
        <v/>
      </c>
      <c r="B22" s="13">
        <f>IF(명부!C16="","",명부!C16)</f>
        <v/>
      </c>
      <c r="C22" s="14">
        <f>IF(명부!E16="","",명부!E16)</f>
        <v/>
      </c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  <c r="AE22" s="20" t="n"/>
      <c r="AF22" s="20" t="n"/>
      <c r="AG22" s="20" t="n"/>
      <c r="AH22" s="20" t="n"/>
    </row>
    <row r="23">
      <c r="A23" s="12">
        <f>IF(명부!A17="","",명부!A17)</f>
        <v/>
      </c>
      <c r="B23" s="13">
        <f>IF(명부!C17="","",명부!C17)</f>
        <v/>
      </c>
      <c r="C23" s="14">
        <f>IF(명부!E17="","",명부!E17)</f>
        <v/>
      </c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  <c r="AE23" s="20" t="n"/>
      <c r="AF23" s="20" t="n"/>
      <c r="AG23" s="20" t="n"/>
      <c r="AH23" s="20" t="n"/>
    </row>
    <row r="24">
      <c r="A24" s="12">
        <f>IF(명부!A18="","",명부!A18)</f>
        <v/>
      </c>
      <c r="B24" s="13">
        <f>IF(명부!C18="","",명부!C18)</f>
        <v/>
      </c>
      <c r="C24" s="14">
        <f>IF(명부!E18="","",명부!E18)</f>
        <v/>
      </c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  <c r="AE24" s="20" t="n"/>
      <c r="AF24" s="20" t="n"/>
      <c r="AG24" s="20" t="n"/>
      <c r="AH24" s="20" t="n"/>
    </row>
    <row r="25">
      <c r="A25" s="12">
        <f>IF(명부!A19="","",명부!A19)</f>
        <v/>
      </c>
      <c r="B25" s="13">
        <f>IF(명부!C19="","",명부!C19)</f>
        <v/>
      </c>
      <c r="C25" s="14">
        <f>IF(명부!E19="","",명부!E19)</f>
        <v/>
      </c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  <c r="AE25" s="20" t="n"/>
      <c r="AF25" s="20" t="n"/>
      <c r="AG25" s="20" t="n"/>
      <c r="AH25" s="20" t="n"/>
    </row>
    <row r="26">
      <c r="A26" s="12">
        <f>IF(명부!A20="","",명부!A20)</f>
        <v/>
      </c>
      <c r="B26" s="13">
        <f>IF(명부!C20="","",명부!C20)</f>
        <v/>
      </c>
      <c r="C26" s="14">
        <f>IF(명부!E20="","",명부!E20)</f>
        <v/>
      </c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  <c r="AE26" s="20" t="n"/>
      <c r="AF26" s="20" t="n"/>
      <c r="AG26" s="20" t="n"/>
      <c r="AH26" s="20" t="n"/>
    </row>
    <row r="27">
      <c r="A27" s="12">
        <f>IF(명부!A21="","",명부!A21)</f>
        <v/>
      </c>
      <c r="B27" s="13">
        <f>IF(명부!C21="","",명부!C21)</f>
        <v/>
      </c>
      <c r="C27" s="14">
        <f>IF(명부!E21="","",명부!E21)</f>
        <v/>
      </c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  <c r="AE27" s="20" t="n"/>
      <c r="AF27" s="20" t="n"/>
      <c r="AG27" s="20" t="n"/>
      <c r="AH27" s="20" t="n"/>
    </row>
    <row r="28">
      <c r="A28" s="12">
        <f>IF(명부!A22="","",명부!A22)</f>
        <v/>
      </c>
      <c r="B28" s="13">
        <f>IF(명부!C22="","",명부!C22)</f>
        <v/>
      </c>
      <c r="C28" s="14">
        <f>IF(명부!E22="","",명부!E22)</f>
        <v/>
      </c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  <c r="AE28" s="20" t="n"/>
      <c r="AF28" s="20" t="n"/>
      <c r="AG28" s="20" t="n"/>
      <c r="AH28" s="20" t="n"/>
    </row>
    <row r="29">
      <c r="A29" s="12">
        <f>IF(명부!A23="","",명부!A23)</f>
        <v/>
      </c>
      <c r="B29" s="13">
        <f>IF(명부!C23="","",명부!C23)</f>
        <v/>
      </c>
      <c r="C29" s="14">
        <f>IF(명부!E23="","",명부!E23)</f>
        <v/>
      </c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  <c r="AE29" s="20" t="n"/>
      <c r="AF29" s="20" t="n"/>
      <c r="AG29" s="20" t="n"/>
      <c r="AH29" s="20" t="n"/>
    </row>
    <row r="30">
      <c r="A30" s="12">
        <f>IF(명부!A24="","",명부!A24)</f>
        <v/>
      </c>
      <c r="B30" s="13">
        <f>IF(명부!C24="","",명부!C24)</f>
        <v/>
      </c>
      <c r="C30" s="14">
        <f>IF(명부!E24="","",명부!E24)</f>
        <v/>
      </c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  <c r="AE30" s="20" t="n"/>
      <c r="AF30" s="20" t="n"/>
      <c r="AG30" s="20" t="n"/>
      <c r="AH30" s="20" t="n"/>
    </row>
    <row r="31">
      <c r="A31" s="12">
        <f>IF(명부!A25="","",명부!A25)</f>
        <v/>
      </c>
      <c r="B31" s="13">
        <f>IF(명부!C25="","",명부!C25)</f>
        <v/>
      </c>
      <c r="C31" s="14">
        <f>IF(명부!E25="","",명부!E25)</f>
        <v/>
      </c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  <c r="AE31" s="20" t="n"/>
      <c r="AF31" s="20" t="n"/>
      <c r="AG31" s="20" t="n"/>
      <c r="AH31" s="20" t="n"/>
    </row>
    <row r="34">
      <c r="A34" s="5" t="inlineStr">
        <is>
          <t>선택근로 시간과 OT 시간은 나눠서 관리합니다. 자정을 넘긴 OT 도 시간만 합쳐서 넣으면 됩니다.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D8:AH31">
    <cfRule type="cellIs" priority="1" operator="greater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A1" s="8" t="inlineStr">
        <is>
          <t>개인요약 — 월 총량 · OT 잔여 · 주별 근로시간</t>
        </is>
      </c>
    </row>
    <row r="2">
      <c r="A2" s="5" t="inlineStr">
        <is>
          <t>「근태」 시트의 연·월을 따릅니다. 노란 칸(OT 기본 가능시간)만 직접 넣으세요 — 휴가를 쓰면 그 시간만큼 OT 한도가 자동으로 늘어납니다.</t>
        </is>
      </c>
    </row>
    <row r="7">
      <c r="A7" s="10" t="inlineStr">
        <is>
          <t>이름</t>
        </is>
      </c>
      <c r="B7" s="10" t="inlineStr">
        <is>
          <t>파트</t>
        </is>
      </c>
      <c r="C7" s="10" t="inlineStr">
        <is>
          <t>그룹</t>
        </is>
      </c>
      <c r="D7" s="10" t="inlineStr">
        <is>
          <t>소정근로일</t>
        </is>
      </c>
      <c r="E7" s="10" t="inlineStr">
        <is>
          <t>기본 총량</t>
        </is>
      </c>
      <c r="F7" s="10" t="inlineStr">
        <is>
          <t>휴가</t>
        </is>
      </c>
      <c r="G7" s="10" t="inlineStr">
        <is>
          <t>조정 총량</t>
        </is>
      </c>
      <c r="H7" s="10" t="inlineStr">
        <is>
          <t>실근로</t>
        </is>
      </c>
      <c r="I7" s="10" t="inlineStr">
        <is>
          <t>총량 대비</t>
        </is>
      </c>
      <c r="J7" s="10" t="inlineStr">
        <is>
          <t>OT 합계</t>
        </is>
      </c>
      <c r="K7" s="10" t="inlineStr">
        <is>
          <t>OT 기본</t>
        </is>
      </c>
      <c r="L7" s="10" t="inlineStr">
        <is>
          <t>OT 한도</t>
        </is>
      </c>
      <c r="M7" s="10" t="inlineStr">
        <is>
          <t>OT 잔여</t>
        </is>
      </c>
      <c r="N7" s="10" t="inlineStr">
        <is>
          <t>8시간 일수</t>
        </is>
      </c>
      <c r="O7" s="10" t="inlineStr">
        <is>
          <t>1주</t>
        </is>
      </c>
      <c r="P7" s="10" t="inlineStr">
        <is>
          <t>2주</t>
        </is>
      </c>
      <c r="Q7" s="10" t="inlineStr">
        <is>
          <t>3주</t>
        </is>
      </c>
      <c r="R7" s="10" t="inlineStr">
        <is>
          <t>4주</t>
        </is>
      </c>
      <c r="S7" s="10" t="inlineStr">
        <is>
          <t>5주</t>
        </is>
      </c>
      <c r="T7" s="10" t="inlineStr">
        <is>
          <t>6주</t>
        </is>
      </c>
      <c r="U7" s="10" t="inlineStr">
        <is>
          <t>최대 주</t>
        </is>
      </c>
      <c r="V7" s="10" t="inlineStr">
        <is>
          <t>주 64h</t>
        </is>
      </c>
    </row>
    <row r="8">
      <c r="A8" s="12">
        <f>IF(명부!A2="","",명부!A2)</f>
        <v/>
      </c>
      <c r="B8" s="13">
        <f>IF(명부!C2="","",명부!C2)</f>
        <v/>
      </c>
      <c r="C8" s="14">
        <f>IF(명부!E2="","",명부!E2)</f>
        <v/>
      </c>
      <c r="D8" s="19">
        <f>SUMPRODUCT((근태!$D$4:$AH$4&lt;&gt;"")*(근태!$D$6:$AH$6=""))</f>
        <v/>
      </c>
      <c r="E8" s="21">
        <f>D8*8</f>
        <v/>
      </c>
      <c r="F8" s="21">
        <f>SUMPRODUCT(COUNTIF(근태!$D$8:$AH$8,코드!$A$2:$A$107),코드!$E$2:$E$107)</f>
        <v/>
      </c>
      <c r="G8" s="22">
        <f>E8-F8</f>
        <v/>
      </c>
      <c r="H8" s="22">
        <f>SUM(시간!$D$8:$AH$8)</f>
        <v/>
      </c>
      <c r="I8" s="23">
        <f>H8-G8</f>
        <v/>
      </c>
      <c r="J8" s="21">
        <f>SUM(OT!$D$8:$AH$8)</f>
        <v/>
      </c>
      <c r="K8" s="24" t="n"/>
      <c r="L8" s="25">
        <f>K8+F8</f>
        <v/>
      </c>
      <c r="M8" s="26">
        <f>L8-J8</f>
        <v/>
      </c>
      <c r="N8" s="19">
        <f>SUMPRODUCT((근태!$D$6:$AH$6="")*(근태!$D$4:$AH$4&lt;&gt;"")*(근태!$D$8:$AH$8=""))+SUMPRODUCT(COUNTIF(근태!$D$8:$AH$8,코드!$J$2:$J$25))</f>
        <v/>
      </c>
      <c r="O8" s="27">
        <f>SUMPRODUCT((근태!$D$3:$AH$3=1)*(시간!$D$8:$AH$8+OT!$D$8:$AH$8))</f>
        <v/>
      </c>
      <c r="P8" s="27">
        <f>SUMPRODUCT((근태!$D$3:$AH$3=2)*(시간!$D$8:$AH$8+OT!$D$8:$AH$8))</f>
        <v/>
      </c>
      <c r="Q8" s="27">
        <f>SUMPRODUCT((근태!$D$3:$AH$3=3)*(시간!$D$8:$AH$8+OT!$D$8:$AH$8))</f>
        <v/>
      </c>
      <c r="R8" s="27">
        <f>SUMPRODUCT((근태!$D$3:$AH$3=4)*(시간!$D$8:$AH$8+OT!$D$8:$AH$8))</f>
        <v/>
      </c>
      <c r="S8" s="27">
        <f>SUMPRODUCT((근태!$D$3:$AH$3=5)*(시간!$D$8:$AH$8+OT!$D$8:$AH$8))</f>
        <v/>
      </c>
      <c r="T8" s="27">
        <f>SUMPRODUCT((근태!$D$3:$AH$3=6)*(시간!$D$8:$AH$8+OT!$D$8:$AH$8))</f>
        <v/>
      </c>
      <c r="U8" s="26">
        <f>MAX(O8:T8)</f>
        <v/>
      </c>
      <c r="V8" s="19">
        <f>IF(U8&gt;64,"초과","적합")</f>
        <v/>
      </c>
    </row>
    <row r="9">
      <c r="A9" s="12">
        <f>IF(명부!A3="","",명부!A3)</f>
        <v/>
      </c>
      <c r="B9" s="13">
        <f>IF(명부!C3="","",명부!C3)</f>
        <v/>
      </c>
      <c r="C9" s="14">
        <f>IF(명부!E3="","",명부!E3)</f>
        <v/>
      </c>
      <c r="D9" s="19">
        <f>SUMPRODUCT((근태!$D$4:$AH$4&lt;&gt;"")*(근태!$D$6:$AH$6=""))</f>
        <v/>
      </c>
      <c r="E9" s="21">
        <f>D9*8</f>
        <v/>
      </c>
      <c r="F9" s="21">
        <f>SUMPRODUCT(COUNTIF(근태!$D$9:$AH$9,코드!$A$2:$A$107),코드!$E$2:$E$107)</f>
        <v/>
      </c>
      <c r="G9" s="22">
        <f>E9-F9</f>
        <v/>
      </c>
      <c r="H9" s="22">
        <f>SUM(시간!$D$9:$AH$9)</f>
        <v/>
      </c>
      <c r="I9" s="23">
        <f>H9-G9</f>
        <v/>
      </c>
      <c r="J9" s="21">
        <f>SUM(OT!$D$9:$AH$9)</f>
        <v/>
      </c>
      <c r="K9" s="24" t="n"/>
      <c r="L9" s="25">
        <f>K9+F9</f>
        <v/>
      </c>
      <c r="M9" s="26">
        <f>L9-J9</f>
        <v/>
      </c>
      <c r="N9" s="19">
        <f>SUMPRODUCT((근태!$D$6:$AH$6="")*(근태!$D$4:$AH$4&lt;&gt;"")*(근태!$D$9:$AH$9=""))+SUMPRODUCT(COUNTIF(근태!$D$9:$AH$9,코드!$J$2:$J$25))</f>
        <v/>
      </c>
      <c r="O9" s="27">
        <f>SUMPRODUCT((근태!$D$3:$AH$3=1)*(시간!$D$9:$AH$9+OT!$D$9:$AH$9))</f>
        <v/>
      </c>
      <c r="P9" s="27">
        <f>SUMPRODUCT((근태!$D$3:$AH$3=2)*(시간!$D$9:$AH$9+OT!$D$9:$AH$9))</f>
        <v/>
      </c>
      <c r="Q9" s="27">
        <f>SUMPRODUCT((근태!$D$3:$AH$3=3)*(시간!$D$9:$AH$9+OT!$D$9:$AH$9))</f>
        <v/>
      </c>
      <c r="R9" s="27">
        <f>SUMPRODUCT((근태!$D$3:$AH$3=4)*(시간!$D$9:$AH$9+OT!$D$9:$AH$9))</f>
        <v/>
      </c>
      <c r="S9" s="27">
        <f>SUMPRODUCT((근태!$D$3:$AH$3=5)*(시간!$D$9:$AH$9+OT!$D$9:$AH$9))</f>
        <v/>
      </c>
      <c r="T9" s="27">
        <f>SUMPRODUCT((근태!$D$3:$AH$3=6)*(시간!$D$9:$AH$9+OT!$D$9:$AH$9))</f>
        <v/>
      </c>
      <c r="U9" s="26">
        <f>MAX(O9:T9)</f>
        <v/>
      </c>
      <c r="V9" s="19">
        <f>IF(U9&gt;64,"초과","적합")</f>
        <v/>
      </c>
    </row>
    <row r="10">
      <c r="A10" s="12">
        <f>IF(명부!A4="","",명부!A4)</f>
        <v/>
      </c>
      <c r="B10" s="13">
        <f>IF(명부!C4="","",명부!C4)</f>
        <v/>
      </c>
      <c r="C10" s="14">
        <f>IF(명부!E4="","",명부!E4)</f>
        <v/>
      </c>
      <c r="D10" s="19">
        <f>SUMPRODUCT((근태!$D$4:$AH$4&lt;&gt;"")*(근태!$D$6:$AH$6=""))</f>
        <v/>
      </c>
      <c r="E10" s="21">
        <f>D10*8</f>
        <v/>
      </c>
      <c r="F10" s="21">
        <f>SUMPRODUCT(COUNTIF(근태!$D$10:$AH$10,코드!$A$2:$A$107),코드!$E$2:$E$107)</f>
        <v/>
      </c>
      <c r="G10" s="22">
        <f>E10-F10</f>
        <v/>
      </c>
      <c r="H10" s="22">
        <f>SUM(시간!$D$10:$AH$10)</f>
        <v/>
      </c>
      <c r="I10" s="23">
        <f>H10-G10</f>
        <v/>
      </c>
      <c r="J10" s="21">
        <f>SUM(OT!$D$10:$AH$10)</f>
        <v/>
      </c>
      <c r="K10" s="24" t="n"/>
      <c r="L10" s="25">
        <f>K10+F10</f>
        <v/>
      </c>
      <c r="M10" s="26">
        <f>L10-J10</f>
        <v/>
      </c>
      <c r="N10" s="19">
        <f>SUMPRODUCT((근태!$D$6:$AH$6="")*(근태!$D$4:$AH$4&lt;&gt;"")*(근태!$D$10:$AH$10=""))+SUMPRODUCT(COUNTIF(근태!$D$10:$AH$10,코드!$J$2:$J$25))</f>
        <v/>
      </c>
      <c r="O10" s="27">
        <f>SUMPRODUCT((근태!$D$3:$AH$3=1)*(시간!$D$10:$AH$10+OT!$D$10:$AH$10))</f>
        <v/>
      </c>
      <c r="P10" s="27">
        <f>SUMPRODUCT((근태!$D$3:$AH$3=2)*(시간!$D$10:$AH$10+OT!$D$10:$AH$10))</f>
        <v/>
      </c>
      <c r="Q10" s="27">
        <f>SUMPRODUCT((근태!$D$3:$AH$3=3)*(시간!$D$10:$AH$10+OT!$D$10:$AH$10))</f>
        <v/>
      </c>
      <c r="R10" s="27">
        <f>SUMPRODUCT((근태!$D$3:$AH$3=4)*(시간!$D$10:$AH$10+OT!$D$10:$AH$10))</f>
        <v/>
      </c>
      <c r="S10" s="27">
        <f>SUMPRODUCT((근태!$D$3:$AH$3=5)*(시간!$D$10:$AH$10+OT!$D$10:$AH$10))</f>
        <v/>
      </c>
      <c r="T10" s="27">
        <f>SUMPRODUCT((근태!$D$3:$AH$3=6)*(시간!$D$10:$AH$10+OT!$D$10:$AH$10))</f>
        <v/>
      </c>
      <c r="U10" s="26">
        <f>MAX(O10:T10)</f>
        <v/>
      </c>
      <c r="V10" s="19">
        <f>IF(U10&gt;64,"초과","적합")</f>
        <v/>
      </c>
    </row>
    <row r="11">
      <c r="A11" s="12">
        <f>IF(명부!A5="","",명부!A5)</f>
        <v/>
      </c>
      <c r="B11" s="13">
        <f>IF(명부!C5="","",명부!C5)</f>
        <v/>
      </c>
      <c r="C11" s="14">
        <f>IF(명부!E5="","",명부!E5)</f>
        <v/>
      </c>
      <c r="D11" s="19">
        <f>SUMPRODUCT((근태!$D$4:$AH$4&lt;&gt;"")*(근태!$D$6:$AH$6=""))</f>
        <v/>
      </c>
      <c r="E11" s="21">
        <f>D11*8</f>
        <v/>
      </c>
      <c r="F11" s="21">
        <f>SUMPRODUCT(COUNTIF(근태!$D$11:$AH$11,코드!$A$2:$A$107),코드!$E$2:$E$107)</f>
        <v/>
      </c>
      <c r="G11" s="22">
        <f>E11-F11</f>
        <v/>
      </c>
      <c r="H11" s="22">
        <f>SUM(시간!$D$11:$AH$11)</f>
        <v/>
      </c>
      <c r="I11" s="23">
        <f>H11-G11</f>
        <v/>
      </c>
      <c r="J11" s="21">
        <f>SUM(OT!$D$11:$AH$11)</f>
        <v/>
      </c>
      <c r="K11" s="24" t="n"/>
      <c r="L11" s="25">
        <f>K11+F11</f>
        <v/>
      </c>
      <c r="M11" s="26">
        <f>L11-J11</f>
        <v/>
      </c>
      <c r="N11" s="19">
        <f>SUMPRODUCT((근태!$D$6:$AH$6="")*(근태!$D$4:$AH$4&lt;&gt;"")*(근태!$D$11:$AH$11=""))+SUMPRODUCT(COUNTIF(근태!$D$11:$AH$11,코드!$J$2:$J$25))</f>
        <v/>
      </c>
      <c r="O11" s="27">
        <f>SUMPRODUCT((근태!$D$3:$AH$3=1)*(시간!$D$11:$AH$11+OT!$D$11:$AH$11))</f>
        <v/>
      </c>
      <c r="P11" s="27">
        <f>SUMPRODUCT((근태!$D$3:$AH$3=2)*(시간!$D$11:$AH$11+OT!$D$11:$AH$11))</f>
        <v/>
      </c>
      <c r="Q11" s="27">
        <f>SUMPRODUCT((근태!$D$3:$AH$3=3)*(시간!$D$11:$AH$11+OT!$D$11:$AH$11))</f>
        <v/>
      </c>
      <c r="R11" s="27">
        <f>SUMPRODUCT((근태!$D$3:$AH$3=4)*(시간!$D$11:$AH$11+OT!$D$11:$AH$11))</f>
        <v/>
      </c>
      <c r="S11" s="27">
        <f>SUMPRODUCT((근태!$D$3:$AH$3=5)*(시간!$D$11:$AH$11+OT!$D$11:$AH$11))</f>
        <v/>
      </c>
      <c r="T11" s="27">
        <f>SUMPRODUCT((근태!$D$3:$AH$3=6)*(시간!$D$11:$AH$11+OT!$D$11:$AH$11))</f>
        <v/>
      </c>
      <c r="U11" s="26">
        <f>MAX(O11:T11)</f>
        <v/>
      </c>
      <c r="V11" s="19">
        <f>IF(U11&gt;64,"초과","적합")</f>
        <v/>
      </c>
    </row>
    <row r="12">
      <c r="A12" s="12">
        <f>IF(명부!A6="","",명부!A6)</f>
        <v/>
      </c>
      <c r="B12" s="13">
        <f>IF(명부!C6="","",명부!C6)</f>
        <v/>
      </c>
      <c r="C12" s="14">
        <f>IF(명부!E6="","",명부!E6)</f>
        <v/>
      </c>
      <c r="D12" s="19">
        <f>SUMPRODUCT((근태!$D$4:$AH$4&lt;&gt;"")*(근태!$D$6:$AH$6=""))</f>
        <v/>
      </c>
      <c r="E12" s="21">
        <f>D12*8</f>
        <v/>
      </c>
      <c r="F12" s="21">
        <f>SUMPRODUCT(COUNTIF(근태!$D$12:$AH$12,코드!$A$2:$A$107),코드!$E$2:$E$107)</f>
        <v/>
      </c>
      <c r="G12" s="22">
        <f>E12-F12</f>
        <v/>
      </c>
      <c r="H12" s="22">
        <f>SUM(시간!$D$12:$AH$12)</f>
        <v/>
      </c>
      <c r="I12" s="23">
        <f>H12-G12</f>
        <v/>
      </c>
      <c r="J12" s="21">
        <f>SUM(OT!$D$12:$AH$12)</f>
        <v/>
      </c>
      <c r="K12" s="24" t="n"/>
      <c r="L12" s="25">
        <f>K12+F12</f>
        <v/>
      </c>
      <c r="M12" s="26">
        <f>L12-J12</f>
        <v/>
      </c>
      <c r="N12" s="19">
        <f>SUMPRODUCT((근태!$D$6:$AH$6="")*(근태!$D$4:$AH$4&lt;&gt;"")*(근태!$D$12:$AH$12=""))+SUMPRODUCT(COUNTIF(근태!$D$12:$AH$12,코드!$J$2:$J$25))</f>
        <v/>
      </c>
      <c r="O12" s="27">
        <f>SUMPRODUCT((근태!$D$3:$AH$3=1)*(시간!$D$12:$AH$12+OT!$D$12:$AH$12))</f>
        <v/>
      </c>
      <c r="P12" s="27">
        <f>SUMPRODUCT((근태!$D$3:$AH$3=2)*(시간!$D$12:$AH$12+OT!$D$12:$AH$12))</f>
        <v/>
      </c>
      <c r="Q12" s="27">
        <f>SUMPRODUCT((근태!$D$3:$AH$3=3)*(시간!$D$12:$AH$12+OT!$D$12:$AH$12))</f>
        <v/>
      </c>
      <c r="R12" s="27">
        <f>SUMPRODUCT((근태!$D$3:$AH$3=4)*(시간!$D$12:$AH$12+OT!$D$12:$AH$12))</f>
        <v/>
      </c>
      <c r="S12" s="27">
        <f>SUMPRODUCT((근태!$D$3:$AH$3=5)*(시간!$D$12:$AH$12+OT!$D$12:$AH$12))</f>
        <v/>
      </c>
      <c r="T12" s="27">
        <f>SUMPRODUCT((근태!$D$3:$AH$3=6)*(시간!$D$12:$AH$12+OT!$D$12:$AH$12))</f>
        <v/>
      </c>
      <c r="U12" s="26">
        <f>MAX(O12:T12)</f>
        <v/>
      </c>
      <c r="V12" s="19">
        <f>IF(U12&gt;64,"초과","적합")</f>
        <v/>
      </c>
    </row>
    <row r="13">
      <c r="A13" s="12">
        <f>IF(명부!A7="","",명부!A7)</f>
        <v/>
      </c>
      <c r="B13" s="13">
        <f>IF(명부!C7="","",명부!C7)</f>
        <v/>
      </c>
      <c r="C13" s="14">
        <f>IF(명부!E7="","",명부!E7)</f>
        <v/>
      </c>
      <c r="D13" s="19">
        <f>SUMPRODUCT((근태!$D$4:$AH$4&lt;&gt;"")*(근태!$D$6:$AH$6=""))</f>
        <v/>
      </c>
      <c r="E13" s="21">
        <f>D13*8</f>
        <v/>
      </c>
      <c r="F13" s="21">
        <f>SUMPRODUCT(COUNTIF(근태!$D$13:$AH$13,코드!$A$2:$A$107),코드!$E$2:$E$107)</f>
        <v/>
      </c>
      <c r="G13" s="22">
        <f>E13-F13</f>
        <v/>
      </c>
      <c r="H13" s="22">
        <f>SUM(시간!$D$13:$AH$13)</f>
        <v/>
      </c>
      <c r="I13" s="23">
        <f>H13-G13</f>
        <v/>
      </c>
      <c r="J13" s="21">
        <f>SUM(OT!$D$13:$AH$13)</f>
        <v/>
      </c>
      <c r="K13" s="24" t="n"/>
      <c r="L13" s="25">
        <f>K13+F13</f>
        <v/>
      </c>
      <c r="M13" s="26">
        <f>L13-J13</f>
        <v/>
      </c>
      <c r="N13" s="19">
        <f>SUMPRODUCT((근태!$D$6:$AH$6="")*(근태!$D$4:$AH$4&lt;&gt;"")*(근태!$D$13:$AH$13=""))+SUMPRODUCT(COUNTIF(근태!$D$13:$AH$13,코드!$J$2:$J$25))</f>
        <v/>
      </c>
      <c r="O13" s="27">
        <f>SUMPRODUCT((근태!$D$3:$AH$3=1)*(시간!$D$13:$AH$13+OT!$D$13:$AH$13))</f>
        <v/>
      </c>
      <c r="P13" s="27">
        <f>SUMPRODUCT((근태!$D$3:$AH$3=2)*(시간!$D$13:$AH$13+OT!$D$13:$AH$13))</f>
        <v/>
      </c>
      <c r="Q13" s="27">
        <f>SUMPRODUCT((근태!$D$3:$AH$3=3)*(시간!$D$13:$AH$13+OT!$D$13:$AH$13))</f>
        <v/>
      </c>
      <c r="R13" s="27">
        <f>SUMPRODUCT((근태!$D$3:$AH$3=4)*(시간!$D$13:$AH$13+OT!$D$13:$AH$13))</f>
        <v/>
      </c>
      <c r="S13" s="27">
        <f>SUMPRODUCT((근태!$D$3:$AH$3=5)*(시간!$D$13:$AH$13+OT!$D$13:$AH$13))</f>
        <v/>
      </c>
      <c r="T13" s="27">
        <f>SUMPRODUCT((근태!$D$3:$AH$3=6)*(시간!$D$13:$AH$13+OT!$D$13:$AH$13))</f>
        <v/>
      </c>
      <c r="U13" s="26">
        <f>MAX(O13:T13)</f>
        <v/>
      </c>
      <c r="V13" s="19">
        <f>IF(U13&gt;64,"초과","적합")</f>
        <v/>
      </c>
    </row>
    <row r="14">
      <c r="A14" s="12">
        <f>IF(명부!A8="","",명부!A8)</f>
        <v/>
      </c>
      <c r="B14" s="13">
        <f>IF(명부!C8="","",명부!C8)</f>
        <v/>
      </c>
      <c r="C14" s="14">
        <f>IF(명부!E8="","",명부!E8)</f>
        <v/>
      </c>
      <c r="D14" s="19">
        <f>SUMPRODUCT((근태!$D$4:$AH$4&lt;&gt;"")*(근태!$D$6:$AH$6=""))</f>
        <v/>
      </c>
      <c r="E14" s="21">
        <f>D14*8</f>
        <v/>
      </c>
      <c r="F14" s="21">
        <f>SUMPRODUCT(COUNTIF(근태!$D$14:$AH$14,코드!$A$2:$A$107),코드!$E$2:$E$107)</f>
        <v/>
      </c>
      <c r="G14" s="22">
        <f>E14-F14</f>
        <v/>
      </c>
      <c r="H14" s="22">
        <f>SUM(시간!$D$14:$AH$14)</f>
        <v/>
      </c>
      <c r="I14" s="23">
        <f>H14-G14</f>
        <v/>
      </c>
      <c r="J14" s="21">
        <f>SUM(OT!$D$14:$AH$14)</f>
        <v/>
      </c>
      <c r="K14" s="24" t="n"/>
      <c r="L14" s="25">
        <f>K14+F14</f>
        <v/>
      </c>
      <c r="M14" s="26">
        <f>L14-J14</f>
        <v/>
      </c>
      <c r="N14" s="19">
        <f>SUMPRODUCT((근태!$D$6:$AH$6="")*(근태!$D$4:$AH$4&lt;&gt;"")*(근태!$D$14:$AH$14=""))+SUMPRODUCT(COUNTIF(근태!$D$14:$AH$14,코드!$J$2:$J$25))</f>
        <v/>
      </c>
      <c r="O14" s="27">
        <f>SUMPRODUCT((근태!$D$3:$AH$3=1)*(시간!$D$14:$AH$14+OT!$D$14:$AH$14))</f>
        <v/>
      </c>
      <c r="P14" s="27">
        <f>SUMPRODUCT((근태!$D$3:$AH$3=2)*(시간!$D$14:$AH$14+OT!$D$14:$AH$14))</f>
        <v/>
      </c>
      <c r="Q14" s="27">
        <f>SUMPRODUCT((근태!$D$3:$AH$3=3)*(시간!$D$14:$AH$14+OT!$D$14:$AH$14))</f>
        <v/>
      </c>
      <c r="R14" s="27">
        <f>SUMPRODUCT((근태!$D$3:$AH$3=4)*(시간!$D$14:$AH$14+OT!$D$14:$AH$14))</f>
        <v/>
      </c>
      <c r="S14" s="27">
        <f>SUMPRODUCT((근태!$D$3:$AH$3=5)*(시간!$D$14:$AH$14+OT!$D$14:$AH$14))</f>
        <v/>
      </c>
      <c r="T14" s="27">
        <f>SUMPRODUCT((근태!$D$3:$AH$3=6)*(시간!$D$14:$AH$14+OT!$D$14:$AH$14))</f>
        <v/>
      </c>
      <c r="U14" s="26">
        <f>MAX(O14:T14)</f>
        <v/>
      </c>
      <c r="V14" s="19">
        <f>IF(U14&gt;64,"초과","적합")</f>
        <v/>
      </c>
    </row>
    <row r="15">
      <c r="A15" s="12">
        <f>IF(명부!A9="","",명부!A9)</f>
        <v/>
      </c>
      <c r="B15" s="13">
        <f>IF(명부!C9="","",명부!C9)</f>
        <v/>
      </c>
      <c r="C15" s="14">
        <f>IF(명부!E9="","",명부!E9)</f>
        <v/>
      </c>
      <c r="D15" s="19">
        <f>SUMPRODUCT((근태!$D$4:$AH$4&lt;&gt;"")*(근태!$D$6:$AH$6=""))</f>
        <v/>
      </c>
      <c r="E15" s="21">
        <f>D15*8</f>
        <v/>
      </c>
      <c r="F15" s="21">
        <f>SUMPRODUCT(COUNTIF(근태!$D$15:$AH$15,코드!$A$2:$A$107),코드!$E$2:$E$107)</f>
        <v/>
      </c>
      <c r="G15" s="22">
        <f>E15-F15</f>
        <v/>
      </c>
      <c r="H15" s="22">
        <f>SUM(시간!$D$15:$AH$15)</f>
        <v/>
      </c>
      <c r="I15" s="23">
        <f>H15-G15</f>
        <v/>
      </c>
      <c r="J15" s="21">
        <f>SUM(OT!$D$15:$AH$15)</f>
        <v/>
      </c>
      <c r="K15" s="24" t="n"/>
      <c r="L15" s="25">
        <f>K15+F15</f>
        <v/>
      </c>
      <c r="M15" s="26">
        <f>L15-J15</f>
        <v/>
      </c>
      <c r="N15" s="19">
        <f>SUMPRODUCT((근태!$D$6:$AH$6="")*(근태!$D$4:$AH$4&lt;&gt;"")*(근태!$D$15:$AH$15=""))+SUMPRODUCT(COUNTIF(근태!$D$15:$AH$15,코드!$J$2:$J$25))</f>
        <v/>
      </c>
      <c r="O15" s="27">
        <f>SUMPRODUCT((근태!$D$3:$AH$3=1)*(시간!$D$15:$AH$15+OT!$D$15:$AH$15))</f>
        <v/>
      </c>
      <c r="P15" s="27">
        <f>SUMPRODUCT((근태!$D$3:$AH$3=2)*(시간!$D$15:$AH$15+OT!$D$15:$AH$15))</f>
        <v/>
      </c>
      <c r="Q15" s="27">
        <f>SUMPRODUCT((근태!$D$3:$AH$3=3)*(시간!$D$15:$AH$15+OT!$D$15:$AH$15))</f>
        <v/>
      </c>
      <c r="R15" s="27">
        <f>SUMPRODUCT((근태!$D$3:$AH$3=4)*(시간!$D$15:$AH$15+OT!$D$15:$AH$15))</f>
        <v/>
      </c>
      <c r="S15" s="27">
        <f>SUMPRODUCT((근태!$D$3:$AH$3=5)*(시간!$D$15:$AH$15+OT!$D$15:$AH$15))</f>
        <v/>
      </c>
      <c r="T15" s="27">
        <f>SUMPRODUCT((근태!$D$3:$AH$3=6)*(시간!$D$15:$AH$15+OT!$D$15:$AH$15))</f>
        <v/>
      </c>
      <c r="U15" s="26">
        <f>MAX(O15:T15)</f>
        <v/>
      </c>
      <c r="V15" s="19">
        <f>IF(U15&gt;64,"초과","적합")</f>
        <v/>
      </c>
    </row>
    <row r="16">
      <c r="A16" s="12">
        <f>IF(명부!A10="","",명부!A10)</f>
        <v/>
      </c>
      <c r="B16" s="13">
        <f>IF(명부!C10="","",명부!C10)</f>
        <v/>
      </c>
      <c r="C16" s="14">
        <f>IF(명부!E10="","",명부!E10)</f>
        <v/>
      </c>
      <c r="D16" s="19">
        <f>SUMPRODUCT((근태!$D$4:$AH$4&lt;&gt;"")*(근태!$D$6:$AH$6=""))</f>
        <v/>
      </c>
      <c r="E16" s="21">
        <f>D16*8</f>
        <v/>
      </c>
      <c r="F16" s="21">
        <f>SUMPRODUCT(COUNTIF(근태!$D$16:$AH$16,코드!$A$2:$A$107),코드!$E$2:$E$107)</f>
        <v/>
      </c>
      <c r="G16" s="22">
        <f>E16-F16</f>
        <v/>
      </c>
      <c r="H16" s="22">
        <f>SUM(시간!$D$16:$AH$16)</f>
        <v/>
      </c>
      <c r="I16" s="23">
        <f>H16-G16</f>
        <v/>
      </c>
      <c r="J16" s="21">
        <f>SUM(OT!$D$16:$AH$16)</f>
        <v/>
      </c>
      <c r="K16" s="24" t="n"/>
      <c r="L16" s="25">
        <f>K16+F16</f>
        <v/>
      </c>
      <c r="M16" s="26">
        <f>L16-J16</f>
        <v/>
      </c>
      <c r="N16" s="19">
        <f>SUMPRODUCT((근태!$D$6:$AH$6="")*(근태!$D$4:$AH$4&lt;&gt;"")*(근태!$D$16:$AH$16=""))+SUMPRODUCT(COUNTIF(근태!$D$16:$AH$16,코드!$J$2:$J$25))</f>
        <v/>
      </c>
      <c r="O16" s="27">
        <f>SUMPRODUCT((근태!$D$3:$AH$3=1)*(시간!$D$16:$AH$16+OT!$D$16:$AH$16))</f>
        <v/>
      </c>
      <c r="P16" s="27">
        <f>SUMPRODUCT((근태!$D$3:$AH$3=2)*(시간!$D$16:$AH$16+OT!$D$16:$AH$16))</f>
        <v/>
      </c>
      <c r="Q16" s="27">
        <f>SUMPRODUCT((근태!$D$3:$AH$3=3)*(시간!$D$16:$AH$16+OT!$D$16:$AH$16))</f>
        <v/>
      </c>
      <c r="R16" s="27">
        <f>SUMPRODUCT((근태!$D$3:$AH$3=4)*(시간!$D$16:$AH$16+OT!$D$16:$AH$16))</f>
        <v/>
      </c>
      <c r="S16" s="27">
        <f>SUMPRODUCT((근태!$D$3:$AH$3=5)*(시간!$D$16:$AH$16+OT!$D$16:$AH$16))</f>
        <v/>
      </c>
      <c r="T16" s="27">
        <f>SUMPRODUCT((근태!$D$3:$AH$3=6)*(시간!$D$16:$AH$16+OT!$D$16:$AH$16))</f>
        <v/>
      </c>
      <c r="U16" s="26">
        <f>MAX(O16:T16)</f>
        <v/>
      </c>
      <c r="V16" s="19">
        <f>IF(U16&gt;64,"초과","적합")</f>
        <v/>
      </c>
    </row>
    <row r="17">
      <c r="A17" s="12">
        <f>IF(명부!A11="","",명부!A11)</f>
        <v/>
      </c>
      <c r="B17" s="13">
        <f>IF(명부!C11="","",명부!C11)</f>
        <v/>
      </c>
      <c r="C17" s="14">
        <f>IF(명부!E11="","",명부!E11)</f>
        <v/>
      </c>
      <c r="D17" s="19">
        <f>SUMPRODUCT((근태!$D$4:$AH$4&lt;&gt;"")*(근태!$D$6:$AH$6=""))</f>
        <v/>
      </c>
      <c r="E17" s="21">
        <f>D17*8</f>
        <v/>
      </c>
      <c r="F17" s="21">
        <f>SUMPRODUCT(COUNTIF(근태!$D$17:$AH$17,코드!$A$2:$A$107),코드!$E$2:$E$107)</f>
        <v/>
      </c>
      <c r="G17" s="22">
        <f>E17-F17</f>
        <v/>
      </c>
      <c r="H17" s="22">
        <f>SUM(시간!$D$17:$AH$17)</f>
        <v/>
      </c>
      <c r="I17" s="23">
        <f>H17-G17</f>
        <v/>
      </c>
      <c r="J17" s="21">
        <f>SUM(OT!$D$17:$AH$17)</f>
        <v/>
      </c>
      <c r="K17" s="24" t="n"/>
      <c r="L17" s="25">
        <f>K17+F17</f>
        <v/>
      </c>
      <c r="M17" s="26">
        <f>L17-J17</f>
        <v/>
      </c>
      <c r="N17" s="19">
        <f>SUMPRODUCT((근태!$D$6:$AH$6="")*(근태!$D$4:$AH$4&lt;&gt;"")*(근태!$D$17:$AH$17=""))+SUMPRODUCT(COUNTIF(근태!$D$17:$AH$17,코드!$J$2:$J$25))</f>
        <v/>
      </c>
      <c r="O17" s="27">
        <f>SUMPRODUCT((근태!$D$3:$AH$3=1)*(시간!$D$17:$AH$17+OT!$D$17:$AH$17))</f>
        <v/>
      </c>
      <c r="P17" s="27">
        <f>SUMPRODUCT((근태!$D$3:$AH$3=2)*(시간!$D$17:$AH$17+OT!$D$17:$AH$17))</f>
        <v/>
      </c>
      <c r="Q17" s="27">
        <f>SUMPRODUCT((근태!$D$3:$AH$3=3)*(시간!$D$17:$AH$17+OT!$D$17:$AH$17))</f>
        <v/>
      </c>
      <c r="R17" s="27">
        <f>SUMPRODUCT((근태!$D$3:$AH$3=4)*(시간!$D$17:$AH$17+OT!$D$17:$AH$17))</f>
        <v/>
      </c>
      <c r="S17" s="27">
        <f>SUMPRODUCT((근태!$D$3:$AH$3=5)*(시간!$D$17:$AH$17+OT!$D$17:$AH$17))</f>
        <v/>
      </c>
      <c r="T17" s="27">
        <f>SUMPRODUCT((근태!$D$3:$AH$3=6)*(시간!$D$17:$AH$17+OT!$D$17:$AH$17))</f>
        <v/>
      </c>
      <c r="U17" s="26">
        <f>MAX(O17:T17)</f>
        <v/>
      </c>
      <c r="V17" s="19">
        <f>IF(U17&gt;64,"초과","적합")</f>
        <v/>
      </c>
    </row>
    <row r="18">
      <c r="A18" s="12">
        <f>IF(명부!A12="","",명부!A12)</f>
        <v/>
      </c>
      <c r="B18" s="13">
        <f>IF(명부!C12="","",명부!C12)</f>
        <v/>
      </c>
      <c r="C18" s="14">
        <f>IF(명부!E12="","",명부!E12)</f>
        <v/>
      </c>
      <c r="D18" s="19">
        <f>SUMPRODUCT((근태!$D$4:$AH$4&lt;&gt;"")*(근태!$D$6:$AH$6=""))</f>
        <v/>
      </c>
      <c r="E18" s="21">
        <f>D18*8</f>
        <v/>
      </c>
      <c r="F18" s="21">
        <f>SUMPRODUCT(COUNTIF(근태!$D$18:$AH$18,코드!$A$2:$A$107),코드!$E$2:$E$107)</f>
        <v/>
      </c>
      <c r="G18" s="22">
        <f>E18-F18</f>
        <v/>
      </c>
      <c r="H18" s="22">
        <f>SUM(시간!$D$18:$AH$18)</f>
        <v/>
      </c>
      <c r="I18" s="23">
        <f>H18-G18</f>
        <v/>
      </c>
      <c r="J18" s="21">
        <f>SUM(OT!$D$18:$AH$18)</f>
        <v/>
      </c>
      <c r="K18" s="24" t="n"/>
      <c r="L18" s="25">
        <f>K18+F18</f>
        <v/>
      </c>
      <c r="M18" s="26">
        <f>L18-J18</f>
        <v/>
      </c>
      <c r="N18" s="19">
        <f>SUMPRODUCT((근태!$D$6:$AH$6="")*(근태!$D$4:$AH$4&lt;&gt;"")*(근태!$D$18:$AH$18=""))+SUMPRODUCT(COUNTIF(근태!$D$18:$AH$18,코드!$J$2:$J$25))</f>
        <v/>
      </c>
      <c r="O18" s="27">
        <f>SUMPRODUCT((근태!$D$3:$AH$3=1)*(시간!$D$18:$AH$18+OT!$D$18:$AH$18))</f>
        <v/>
      </c>
      <c r="P18" s="27">
        <f>SUMPRODUCT((근태!$D$3:$AH$3=2)*(시간!$D$18:$AH$18+OT!$D$18:$AH$18))</f>
        <v/>
      </c>
      <c r="Q18" s="27">
        <f>SUMPRODUCT((근태!$D$3:$AH$3=3)*(시간!$D$18:$AH$18+OT!$D$18:$AH$18))</f>
        <v/>
      </c>
      <c r="R18" s="27">
        <f>SUMPRODUCT((근태!$D$3:$AH$3=4)*(시간!$D$18:$AH$18+OT!$D$18:$AH$18))</f>
        <v/>
      </c>
      <c r="S18" s="27">
        <f>SUMPRODUCT((근태!$D$3:$AH$3=5)*(시간!$D$18:$AH$18+OT!$D$18:$AH$18))</f>
        <v/>
      </c>
      <c r="T18" s="27">
        <f>SUMPRODUCT((근태!$D$3:$AH$3=6)*(시간!$D$18:$AH$18+OT!$D$18:$AH$18))</f>
        <v/>
      </c>
      <c r="U18" s="26">
        <f>MAX(O18:T18)</f>
        <v/>
      </c>
      <c r="V18" s="19">
        <f>IF(U18&gt;64,"초과","적합")</f>
        <v/>
      </c>
    </row>
    <row r="19">
      <c r="A19" s="12">
        <f>IF(명부!A13="","",명부!A13)</f>
        <v/>
      </c>
      <c r="B19" s="13">
        <f>IF(명부!C13="","",명부!C13)</f>
        <v/>
      </c>
      <c r="C19" s="14">
        <f>IF(명부!E13="","",명부!E13)</f>
        <v/>
      </c>
      <c r="D19" s="19">
        <f>SUMPRODUCT((근태!$D$4:$AH$4&lt;&gt;"")*(근태!$D$6:$AH$6=""))</f>
        <v/>
      </c>
      <c r="E19" s="21">
        <f>D19*8</f>
        <v/>
      </c>
      <c r="F19" s="21">
        <f>SUMPRODUCT(COUNTIF(근태!$D$19:$AH$19,코드!$A$2:$A$107),코드!$E$2:$E$107)</f>
        <v/>
      </c>
      <c r="G19" s="22">
        <f>E19-F19</f>
        <v/>
      </c>
      <c r="H19" s="22">
        <f>SUM(시간!$D$19:$AH$19)</f>
        <v/>
      </c>
      <c r="I19" s="23">
        <f>H19-G19</f>
        <v/>
      </c>
      <c r="J19" s="21">
        <f>SUM(OT!$D$19:$AH$19)</f>
        <v/>
      </c>
      <c r="K19" s="24" t="n"/>
      <c r="L19" s="25">
        <f>K19+F19</f>
        <v/>
      </c>
      <c r="M19" s="26">
        <f>L19-J19</f>
        <v/>
      </c>
      <c r="N19" s="19">
        <f>SUMPRODUCT((근태!$D$6:$AH$6="")*(근태!$D$4:$AH$4&lt;&gt;"")*(근태!$D$19:$AH$19=""))+SUMPRODUCT(COUNTIF(근태!$D$19:$AH$19,코드!$J$2:$J$25))</f>
        <v/>
      </c>
      <c r="O19" s="27">
        <f>SUMPRODUCT((근태!$D$3:$AH$3=1)*(시간!$D$19:$AH$19+OT!$D$19:$AH$19))</f>
        <v/>
      </c>
      <c r="P19" s="27">
        <f>SUMPRODUCT((근태!$D$3:$AH$3=2)*(시간!$D$19:$AH$19+OT!$D$19:$AH$19))</f>
        <v/>
      </c>
      <c r="Q19" s="27">
        <f>SUMPRODUCT((근태!$D$3:$AH$3=3)*(시간!$D$19:$AH$19+OT!$D$19:$AH$19))</f>
        <v/>
      </c>
      <c r="R19" s="27">
        <f>SUMPRODUCT((근태!$D$3:$AH$3=4)*(시간!$D$19:$AH$19+OT!$D$19:$AH$19))</f>
        <v/>
      </c>
      <c r="S19" s="27">
        <f>SUMPRODUCT((근태!$D$3:$AH$3=5)*(시간!$D$19:$AH$19+OT!$D$19:$AH$19))</f>
        <v/>
      </c>
      <c r="T19" s="27">
        <f>SUMPRODUCT((근태!$D$3:$AH$3=6)*(시간!$D$19:$AH$19+OT!$D$19:$AH$19))</f>
        <v/>
      </c>
      <c r="U19" s="26">
        <f>MAX(O19:T19)</f>
        <v/>
      </c>
      <c r="V19" s="19">
        <f>IF(U19&gt;64,"초과","적합")</f>
        <v/>
      </c>
    </row>
    <row r="20">
      <c r="A20" s="12">
        <f>IF(명부!A14="","",명부!A14)</f>
        <v/>
      </c>
      <c r="B20" s="13">
        <f>IF(명부!C14="","",명부!C14)</f>
        <v/>
      </c>
      <c r="C20" s="14">
        <f>IF(명부!E14="","",명부!E14)</f>
        <v/>
      </c>
      <c r="D20" s="19">
        <f>SUMPRODUCT((근태!$D$4:$AH$4&lt;&gt;"")*(근태!$D$6:$AH$6=""))</f>
        <v/>
      </c>
      <c r="E20" s="21">
        <f>D20*8</f>
        <v/>
      </c>
      <c r="F20" s="21">
        <f>SUMPRODUCT(COUNTIF(근태!$D$20:$AH$20,코드!$A$2:$A$107),코드!$E$2:$E$107)</f>
        <v/>
      </c>
      <c r="G20" s="22">
        <f>E20-F20</f>
        <v/>
      </c>
      <c r="H20" s="22">
        <f>SUM(시간!$D$20:$AH$20)</f>
        <v/>
      </c>
      <c r="I20" s="23">
        <f>H20-G20</f>
        <v/>
      </c>
      <c r="J20" s="21">
        <f>SUM(OT!$D$20:$AH$20)</f>
        <v/>
      </c>
      <c r="K20" s="24" t="n"/>
      <c r="L20" s="25">
        <f>K20+F20</f>
        <v/>
      </c>
      <c r="M20" s="26">
        <f>L20-J20</f>
        <v/>
      </c>
      <c r="N20" s="19">
        <f>SUMPRODUCT((근태!$D$6:$AH$6="")*(근태!$D$4:$AH$4&lt;&gt;"")*(근태!$D$20:$AH$20=""))+SUMPRODUCT(COUNTIF(근태!$D$20:$AH$20,코드!$J$2:$J$25))</f>
        <v/>
      </c>
      <c r="O20" s="27">
        <f>SUMPRODUCT((근태!$D$3:$AH$3=1)*(시간!$D$20:$AH$20+OT!$D$20:$AH$20))</f>
        <v/>
      </c>
      <c r="P20" s="27">
        <f>SUMPRODUCT((근태!$D$3:$AH$3=2)*(시간!$D$20:$AH$20+OT!$D$20:$AH$20))</f>
        <v/>
      </c>
      <c r="Q20" s="27">
        <f>SUMPRODUCT((근태!$D$3:$AH$3=3)*(시간!$D$20:$AH$20+OT!$D$20:$AH$20))</f>
        <v/>
      </c>
      <c r="R20" s="27">
        <f>SUMPRODUCT((근태!$D$3:$AH$3=4)*(시간!$D$20:$AH$20+OT!$D$20:$AH$20))</f>
        <v/>
      </c>
      <c r="S20" s="27">
        <f>SUMPRODUCT((근태!$D$3:$AH$3=5)*(시간!$D$20:$AH$20+OT!$D$20:$AH$20))</f>
        <v/>
      </c>
      <c r="T20" s="27">
        <f>SUMPRODUCT((근태!$D$3:$AH$3=6)*(시간!$D$20:$AH$20+OT!$D$20:$AH$20))</f>
        <v/>
      </c>
      <c r="U20" s="26">
        <f>MAX(O20:T20)</f>
        <v/>
      </c>
      <c r="V20" s="19">
        <f>IF(U20&gt;64,"초과","적합")</f>
        <v/>
      </c>
    </row>
    <row r="21">
      <c r="A21" s="12">
        <f>IF(명부!A15="","",명부!A15)</f>
        <v/>
      </c>
      <c r="B21" s="13">
        <f>IF(명부!C15="","",명부!C15)</f>
        <v/>
      </c>
      <c r="C21" s="14">
        <f>IF(명부!E15="","",명부!E15)</f>
        <v/>
      </c>
      <c r="D21" s="19">
        <f>SUMPRODUCT((근태!$D$4:$AH$4&lt;&gt;"")*(근태!$D$6:$AH$6=""))</f>
        <v/>
      </c>
      <c r="E21" s="21">
        <f>D21*8</f>
        <v/>
      </c>
      <c r="F21" s="21">
        <f>SUMPRODUCT(COUNTIF(근태!$D$21:$AH$21,코드!$A$2:$A$107),코드!$E$2:$E$107)</f>
        <v/>
      </c>
      <c r="G21" s="22">
        <f>E21-F21</f>
        <v/>
      </c>
      <c r="H21" s="22">
        <f>SUM(시간!$D$21:$AH$21)</f>
        <v/>
      </c>
      <c r="I21" s="23">
        <f>H21-G21</f>
        <v/>
      </c>
      <c r="J21" s="21">
        <f>SUM(OT!$D$21:$AH$21)</f>
        <v/>
      </c>
      <c r="K21" s="24" t="n"/>
      <c r="L21" s="25">
        <f>K21+F21</f>
        <v/>
      </c>
      <c r="M21" s="26">
        <f>L21-J21</f>
        <v/>
      </c>
      <c r="N21" s="19">
        <f>SUMPRODUCT((근태!$D$6:$AH$6="")*(근태!$D$4:$AH$4&lt;&gt;"")*(근태!$D$21:$AH$21=""))+SUMPRODUCT(COUNTIF(근태!$D$21:$AH$21,코드!$J$2:$J$25))</f>
        <v/>
      </c>
      <c r="O21" s="27">
        <f>SUMPRODUCT((근태!$D$3:$AH$3=1)*(시간!$D$21:$AH$21+OT!$D$21:$AH$21))</f>
        <v/>
      </c>
      <c r="P21" s="27">
        <f>SUMPRODUCT((근태!$D$3:$AH$3=2)*(시간!$D$21:$AH$21+OT!$D$21:$AH$21))</f>
        <v/>
      </c>
      <c r="Q21" s="27">
        <f>SUMPRODUCT((근태!$D$3:$AH$3=3)*(시간!$D$21:$AH$21+OT!$D$21:$AH$21))</f>
        <v/>
      </c>
      <c r="R21" s="27">
        <f>SUMPRODUCT((근태!$D$3:$AH$3=4)*(시간!$D$21:$AH$21+OT!$D$21:$AH$21))</f>
        <v/>
      </c>
      <c r="S21" s="27">
        <f>SUMPRODUCT((근태!$D$3:$AH$3=5)*(시간!$D$21:$AH$21+OT!$D$21:$AH$21))</f>
        <v/>
      </c>
      <c r="T21" s="27">
        <f>SUMPRODUCT((근태!$D$3:$AH$3=6)*(시간!$D$21:$AH$21+OT!$D$21:$AH$21))</f>
        <v/>
      </c>
      <c r="U21" s="26">
        <f>MAX(O21:T21)</f>
        <v/>
      </c>
      <c r="V21" s="19">
        <f>IF(U21&gt;64,"초과","적합")</f>
        <v/>
      </c>
    </row>
    <row r="22">
      <c r="A22" s="12">
        <f>IF(명부!A16="","",명부!A16)</f>
        <v/>
      </c>
      <c r="B22" s="13">
        <f>IF(명부!C16="","",명부!C16)</f>
        <v/>
      </c>
      <c r="C22" s="14">
        <f>IF(명부!E16="","",명부!E16)</f>
        <v/>
      </c>
      <c r="D22" s="19">
        <f>SUMPRODUCT((근태!$D$4:$AH$4&lt;&gt;"")*(근태!$D$6:$AH$6=""))</f>
        <v/>
      </c>
      <c r="E22" s="21">
        <f>D22*8</f>
        <v/>
      </c>
      <c r="F22" s="21">
        <f>SUMPRODUCT(COUNTIF(근태!$D$22:$AH$22,코드!$A$2:$A$107),코드!$E$2:$E$107)</f>
        <v/>
      </c>
      <c r="G22" s="22">
        <f>E22-F22</f>
        <v/>
      </c>
      <c r="H22" s="22">
        <f>SUM(시간!$D$22:$AH$22)</f>
        <v/>
      </c>
      <c r="I22" s="23">
        <f>H22-G22</f>
        <v/>
      </c>
      <c r="J22" s="21">
        <f>SUM(OT!$D$22:$AH$22)</f>
        <v/>
      </c>
      <c r="K22" s="24" t="n"/>
      <c r="L22" s="25">
        <f>K22+F22</f>
        <v/>
      </c>
      <c r="M22" s="26">
        <f>L22-J22</f>
        <v/>
      </c>
      <c r="N22" s="19">
        <f>SUMPRODUCT((근태!$D$6:$AH$6="")*(근태!$D$4:$AH$4&lt;&gt;"")*(근태!$D$22:$AH$22=""))+SUMPRODUCT(COUNTIF(근태!$D$22:$AH$22,코드!$J$2:$J$25))</f>
        <v/>
      </c>
      <c r="O22" s="27">
        <f>SUMPRODUCT((근태!$D$3:$AH$3=1)*(시간!$D$22:$AH$22+OT!$D$22:$AH$22))</f>
        <v/>
      </c>
      <c r="P22" s="27">
        <f>SUMPRODUCT((근태!$D$3:$AH$3=2)*(시간!$D$22:$AH$22+OT!$D$22:$AH$22))</f>
        <v/>
      </c>
      <c r="Q22" s="27">
        <f>SUMPRODUCT((근태!$D$3:$AH$3=3)*(시간!$D$22:$AH$22+OT!$D$22:$AH$22))</f>
        <v/>
      </c>
      <c r="R22" s="27">
        <f>SUMPRODUCT((근태!$D$3:$AH$3=4)*(시간!$D$22:$AH$22+OT!$D$22:$AH$22))</f>
        <v/>
      </c>
      <c r="S22" s="27">
        <f>SUMPRODUCT((근태!$D$3:$AH$3=5)*(시간!$D$22:$AH$22+OT!$D$22:$AH$22))</f>
        <v/>
      </c>
      <c r="T22" s="27">
        <f>SUMPRODUCT((근태!$D$3:$AH$3=6)*(시간!$D$22:$AH$22+OT!$D$22:$AH$22))</f>
        <v/>
      </c>
      <c r="U22" s="26">
        <f>MAX(O22:T22)</f>
        <v/>
      </c>
      <c r="V22" s="19">
        <f>IF(U22&gt;64,"초과","적합")</f>
        <v/>
      </c>
    </row>
    <row r="23">
      <c r="A23" s="12">
        <f>IF(명부!A17="","",명부!A17)</f>
        <v/>
      </c>
      <c r="B23" s="13">
        <f>IF(명부!C17="","",명부!C17)</f>
        <v/>
      </c>
      <c r="C23" s="14">
        <f>IF(명부!E17="","",명부!E17)</f>
        <v/>
      </c>
      <c r="D23" s="19">
        <f>SUMPRODUCT((근태!$D$4:$AH$4&lt;&gt;"")*(근태!$D$6:$AH$6=""))</f>
        <v/>
      </c>
      <c r="E23" s="21">
        <f>D23*8</f>
        <v/>
      </c>
      <c r="F23" s="21">
        <f>SUMPRODUCT(COUNTIF(근태!$D$23:$AH$23,코드!$A$2:$A$107),코드!$E$2:$E$107)</f>
        <v/>
      </c>
      <c r="G23" s="22">
        <f>E23-F23</f>
        <v/>
      </c>
      <c r="H23" s="22">
        <f>SUM(시간!$D$23:$AH$23)</f>
        <v/>
      </c>
      <c r="I23" s="23">
        <f>H23-G23</f>
        <v/>
      </c>
      <c r="J23" s="21">
        <f>SUM(OT!$D$23:$AH$23)</f>
        <v/>
      </c>
      <c r="K23" s="24" t="n"/>
      <c r="L23" s="25">
        <f>K23+F23</f>
        <v/>
      </c>
      <c r="M23" s="26">
        <f>L23-J23</f>
        <v/>
      </c>
      <c r="N23" s="19">
        <f>SUMPRODUCT((근태!$D$6:$AH$6="")*(근태!$D$4:$AH$4&lt;&gt;"")*(근태!$D$23:$AH$23=""))+SUMPRODUCT(COUNTIF(근태!$D$23:$AH$23,코드!$J$2:$J$25))</f>
        <v/>
      </c>
      <c r="O23" s="27">
        <f>SUMPRODUCT((근태!$D$3:$AH$3=1)*(시간!$D$23:$AH$23+OT!$D$23:$AH$23))</f>
        <v/>
      </c>
      <c r="P23" s="27">
        <f>SUMPRODUCT((근태!$D$3:$AH$3=2)*(시간!$D$23:$AH$23+OT!$D$23:$AH$23))</f>
        <v/>
      </c>
      <c r="Q23" s="27">
        <f>SUMPRODUCT((근태!$D$3:$AH$3=3)*(시간!$D$23:$AH$23+OT!$D$23:$AH$23))</f>
        <v/>
      </c>
      <c r="R23" s="27">
        <f>SUMPRODUCT((근태!$D$3:$AH$3=4)*(시간!$D$23:$AH$23+OT!$D$23:$AH$23))</f>
        <v/>
      </c>
      <c r="S23" s="27">
        <f>SUMPRODUCT((근태!$D$3:$AH$3=5)*(시간!$D$23:$AH$23+OT!$D$23:$AH$23))</f>
        <v/>
      </c>
      <c r="T23" s="27">
        <f>SUMPRODUCT((근태!$D$3:$AH$3=6)*(시간!$D$23:$AH$23+OT!$D$23:$AH$23))</f>
        <v/>
      </c>
      <c r="U23" s="26">
        <f>MAX(O23:T23)</f>
        <v/>
      </c>
      <c r="V23" s="19">
        <f>IF(U23&gt;64,"초과","적합")</f>
        <v/>
      </c>
    </row>
    <row r="24">
      <c r="A24" s="12">
        <f>IF(명부!A18="","",명부!A18)</f>
        <v/>
      </c>
      <c r="B24" s="13">
        <f>IF(명부!C18="","",명부!C18)</f>
        <v/>
      </c>
      <c r="C24" s="14">
        <f>IF(명부!E18="","",명부!E18)</f>
        <v/>
      </c>
      <c r="D24" s="19">
        <f>SUMPRODUCT((근태!$D$4:$AH$4&lt;&gt;"")*(근태!$D$6:$AH$6=""))</f>
        <v/>
      </c>
      <c r="E24" s="21">
        <f>D24*8</f>
        <v/>
      </c>
      <c r="F24" s="21">
        <f>SUMPRODUCT(COUNTIF(근태!$D$24:$AH$24,코드!$A$2:$A$107),코드!$E$2:$E$107)</f>
        <v/>
      </c>
      <c r="G24" s="22">
        <f>E24-F24</f>
        <v/>
      </c>
      <c r="H24" s="22">
        <f>SUM(시간!$D$24:$AH$24)</f>
        <v/>
      </c>
      <c r="I24" s="23">
        <f>H24-G24</f>
        <v/>
      </c>
      <c r="J24" s="21">
        <f>SUM(OT!$D$24:$AH$24)</f>
        <v/>
      </c>
      <c r="K24" s="24" t="n"/>
      <c r="L24" s="25">
        <f>K24+F24</f>
        <v/>
      </c>
      <c r="M24" s="26">
        <f>L24-J24</f>
        <v/>
      </c>
      <c r="N24" s="19">
        <f>SUMPRODUCT((근태!$D$6:$AH$6="")*(근태!$D$4:$AH$4&lt;&gt;"")*(근태!$D$24:$AH$24=""))+SUMPRODUCT(COUNTIF(근태!$D$24:$AH$24,코드!$J$2:$J$25))</f>
        <v/>
      </c>
      <c r="O24" s="27">
        <f>SUMPRODUCT((근태!$D$3:$AH$3=1)*(시간!$D$24:$AH$24+OT!$D$24:$AH$24))</f>
        <v/>
      </c>
      <c r="P24" s="27">
        <f>SUMPRODUCT((근태!$D$3:$AH$3=2)*(시간!$D$24:$AH$24+OT!$D$24:$AH$24))</f>
        <v/>
      </c>
      <c r="Q24" s="27">
        <f>SUMPRODUCT((근태!$D$3:$AH$3=3)*(시간!$D$24:$AH$24+OT!$D$24:$AH$24))</f>
        <v/>
      </c>
      <c r="R24" s="27">
        <f>SUMPRODUCT((근태!$D$3:$AH$3=4)*(시간!$D$24:$AH$24+OT!$D$24:$AH$24))</f>
        <v/>
      </c>
      <c r="S24" s="27">
        <f>SUMPRODUCT((근태!$D$3:$AH$3=5)*(시간!$D$24:$AH$24+OT!$D$24:$AH$24))</f>
        <v/>
      </c>
      <c r="T24" s="27">
        <f>SUMPRODUCT((근태!$D$3:$AH$3=6)*(시간!$D$24:$AH$24+OT!$D$24:$AH$24))</f>
        <v/>
      </c>
      <c r="U24" s="26">
        <f>MAX(O24:T24)</f>
        <v/>
      </c>
      <c r="V24" s="19">
        <f>IF(U24&gt;64,"초과","적합")</f>
        <v/>
      </c>
    </row>
    <row r="25">
      <c r="A25" s="12">
        <f>IF(명부!A19="","",명부!A19)</f>
        <v/>
      </c>
      <c r="B25" s="13">
        <f>IF(명부!C19="","",명부!C19)</f>
        <v/>
      </c>
      <c r="C25" s="14">
        <f>IF(명부!E19="","",명부!E19)</f>
        <v/>
      </c>
      <c r="D25" s="19">
        <f>SUMPRODUCT((근태!$D$4:$AH$4&lt;&gt;"")*(근태!$D$6:$AH$6=""))</f>
        <v/>
      </c>
      <c r="E25" s="21">
        <f>D25*8</f>
        <v/>
      </c>
      <c r="F25" s="21">
        <f>SUMPRODUCT(COUNTIF(근태!$D$25:$AH$25,코드!$A$2:$A$107),코드!$E$2:$E$107)</f>
        <v/>
      </c>
      <c r="G25" s="22">
        <f>E25-F25</f>
        <v/>
      </c>
      <c r="H25" s="22">
        <f>SUM(시간!$D$25:$AH$25)</f>
        <v/>
      </c>
      <c r="I25" s="23">
        <f>H25-G25</f>
        <v/>
      </c>
      <c r="J25" s="21">
        <f>SUM(OT!$D$25:$AH$25)</f>
        <v/>
      </c>
      <c r="K25" s="24" t="n"/>
      <c r="L25" s="25">
        <f>K25+F25</f>
        <v/>
      </c>
      <c r="M25" s="26">
        <f>L25-J25</f>
        <v/>
      </c>
      <c r="N25" s="19">
        <f>SUMPRODUCT((근태!$D$6:$AH$6="")*(근태!$D$4:$AH$4&lt;&gt;"")*(근태!$D$25:$AH$25=""))+SUMPRODUCT(COUNTIF(근태!$D$25:$AH$25,코드!$J$2:$J$25))</f>
        <v/>
      </c>
      <c r="O25" s="27">
        <f>SUMPRODUCT((근태!$D$3:$AH$3=1)*(시간!$D$25:$AH$25+OT!$D$25:$AH$25))</f>
        <v/>
      </c>
      <c r="P25" s="27">
        <f>SUMPRODUCT((근태!$D$3:$AH$3=2)*(시간!$D$25:$AH$25+OT!$D$25:$AH$25))</f>
        <v/>
      </c>
      <c r="Q25" s="27">
        <f>SUMPRODUCT((근태!$D$3:$AH$3=3)*(시간!$D$25:$AH$25+OT!$D$25:$AH$25))</f>
        <v/>
      </c>
      <c r="R25" s="27">
        <f>SUMPRODUCT((근태!$D$3:$AH$3=4)*(시간!$D$25:$AH$25+OT!$D$25:$AH$25))</f>
        <v/>
      </c>
      <c r="S25" s="27">
        <f>SUMPRODUCT((근태!$D$3:$AH$3=5)*(시간!$D$25:$AH$25+OT!$D$25:$AH$25))</f>
        <v/>
      </c>
      <c r="T25" s="27">
        <f>SUMPRODUCT((근태!$D$3:$AH$3=6)*(시간!$D$25:$AH$25+OT!$D$25:$AH$25))</f>
        <v/>
      </c>
      <c r="U25" s="26">
        <f>MAX(O25:T25)</f>
        <v/>
      </c>
      <c r="V25" s="19">
        <f>IF(U25&gt;64,"초과","적합")</f>
        <v/>
      </c>
    </row>
    <row r="26">
      <c r="A26" s="12">
        <f>IF(명부!A20="","",명부!A20)</f>
        <v/>
      </c>
      <c r="B26" s="13">
        <f>IF(명부!C20="","",명부!C20)</f>
        <v/>
      </c>
      <c r="C26" s="14">
        <f>IF(명부!E20="","",명부!E20)</f>
        <v/>
      </c>
      <c r="D26" s="19">
        <f>SUMPRODUCT((근태!$D$4:$AH$4&lt;&gt;"")*(근태!$D$6:$AH$6=""))</f>
        <v/>
      </c>
      <c r="E26" s="21">
        <f>D26*8</f>
        <v/>
      </c>
      <c r="F26" s="21">
        <f>SUMPRODUCT(COUNTIF(근태!$D$26:$AH$26,코드!$A$2:$A$107),코드!$E$2:$E$107)</f>
        <v/>
      </c>
      <c r="G26" s="22">
        <f>E26-F26</f>
        <v/>
      </c>
      <c r="H26" s="22">
        <f>SUM(시간!$D$26:$AH$26)</f>
        <v/>
      </c>
      <c r="I26" s="23">
        <f>H26-G26</f>
        <v/>
      </c>
      <c r="J26" s="21">
        <f>SUM(OT!$D$26:$AH$26)</f>
        <v/>
      </c>
      <c r="K26" s="24" t="n"/>
      <c r="L26" s="25">
        <f>K26+F26</f>
        <v/>
      </c>
      <c r="M26" s="26">
        <f>L26-J26</f>
        <v/>
      </c>
      <c r="N26" s="19">
        <f>SUMPRODUCT((근태!$D$6:$AH$6="")*(근태!$D$4:$AH$4&lt;&gt;"")*(근태!$D$26:$AH$26=""))+SUMPRODUCT(COUNTIF(근태!$D$26:$AH$26,코드!$J$2:$J$25))</f>
        <v/>
      </c>
      <c r="O26" s="27">
        <f>SUMPRODUCT((근태!$D$3:$AH$3=1)*(시간!$D$26:$AH$26+OT!$D$26:$AH$26))</f>
        <v/>
      </c>
      <c r="P26" s="27">
        <f>SUMPRODUCT((근태!$D$3:$AH$3=2)*(시간!$D$26:$AH$26+OT!$D$26:$AH$26))</f>
        <v/>
      </c>
      <c r="Q26" s="27">
        <f>SUMPRODUCT((근태!$D$3:$AH$3=3)*(시간!$D$26:$AH$26+OT!$D$26:$AH$26))</f>
        <v/>
      </c>
      <c r="R26" s="27">
        <f>SUMPRODUCT((근태!$D$3:$AH$3=4)*(시간!$D$26:$AH$26+OT!$D$26:$AH$26))</f>
        <v/>
      </c>
      <c r="S26" s="27">
        <f>SUMPRODUCT((근태!$D$3:$AH$3=5)*(시간!$D$26:$AH$26+OT!$D$26:$AH$26))</f>
        <v/>
      </c>
      <c r="T26" s="27">
        <f>SUMPRODUCT((근태!$D$3:$AH$3=6)*(시간!$D$26:$AH$26+OT!$D$26:$AH$26))</f>
        <v/>
      </c>
      <c r="U26" s="26">
        <f>MAX(O26:T26)</f>
        <v/>
      </c>
      <c r="V26" s="19">
        <f>IF(U26&gt;64,"초과","적합")</f>
        <v/>
      </c>
    </row>
    <row r="27">
      <c r="A27" s="12">
        <f>IF(명부!A21="","",명부!A21)</f>
        <v/>
      </c>
      <c r="B27" s="13">
        <f>IF(명부!C21="","",명부!C21)</f>
        <v/>
      </c>
      <c r="C27" s="14">
        <f>IF(명부!E21="","",명부!E21)</f>
        <v/>
      </c>
      <c r="D27" s="19">
        <f>SUMPRODUCT((근태!$D$4:$AH$4&lt;&gt;"")*(근태!$D$6:$AH$6=""))</f>
        <v/>
      </c>
      <c r="E27" s="21">
        <f>D27*8</f>
        <v/>
      </c>
      <c r="F27" s="21">
        <f>SUMPRODUCT(COUNTIF(근태!$D$27:$AH$27,코드!$A$2:$A$107),코드!$E$2:$E$107)</f>
        <v/>
      </c>
      <c r="G27" s="22">
        <f>E27-F27</f>
        <v/>
      </c>
      <c r="H27" s="22">
        <f>SUM(시간!$D$27:$AH$27)</f>
        <v/>
      </c>
      <c r="I27" s="23">
        <f>H27-G27</f>
        <v/>
      </c>
      <c r="J27" s="21">
        <f>SUM(OT!$D$27:$AH$27)</f>
        <v/>
      </c>
      <c r="K27" s="24" t="n"/>
      <c r="L27" s="25">
        <f>K27+F27</f>
        <v/>
      </c>
      <c r="M27" s="26">
        <f>L27-J27</f>
        <v/>
      </c>
      <c r="N27" s="19">
        <f>SUMPRODUCT((근태!$D$6:$AH$6="")*(근태!$D$4:$AH$4&lt;&gt;"")*(근태!$D$27:$AH$27=""))+SUMPRODUCT(COUNTIF(근태!$D$27:$AH$27,코드!$J$2:$J$25))</f>
        <v/>
      </c>
      <c r="O27" s="27">
        <f>SUMPRODUCT((근태!$D$3:$AH$3=1)*(시간!$D$27:$AH$27+OT!$D$27:$AH$27))</f>
        <v/>
      </c>
      <c r="P27" s="27">
        <f>SUMPRODUCT((근태!$D$3:$AH$3=2)*(시간!$D$27:$AH$27+OT!$D$27:$AH$27))</f>
        <v/>
      </c>
      <c r="Q27" s="27">
        <f>SUMPRODUCT((근태!$D$3:$AH$3=3)*(시간!$D$27:$AH$27+OT!$D$27:$AH$27))</f>
        <v/>
      </c>
      <c r="R27" s="27">
        <f>SUMPRODUCT((근태!$D$3:$AH$3=4)*(시간!$D$27:$AH$27+OT!$D$27:$AH$27))</f>
        <v/>
      </c>
      <c r="S27" s="27">
        <f>SUMPRODUCT((근태!$D$3:$AH$3=5)*(시간!$D$27:$AH$27+OT!$D$27:$AH$27))</f>
        <v/>
      </c>
      <c r="T27" s="27">
        <f>SUMPRODUCT((근태!$D$3:$AH$3=6)*(시간!$D$27:$AH$27+OT!$D$27:$AH$27))</f>
        <v/>
      </c>
      <c r="U27" s="26">
        <f>MAX(O27:T27)</f>
        <v/>
      </c>
      <c r="V27" s="19">
        <f>IF(U27&gt;64,"초과","적합")</f>
        <v/>
      </c>
    </row>
    <row r="28">
      <c r="A28" s="12">
        <f>IF(명부!A22="","",명부!A22)</f>
        <v/>
      </c>
      <c r="B28" s="13">
        <f>IF(명부!C22="","",명부!C22)</f>
        <v/>
      </c>
      <c r="C28" s="14">
        <f>IF(명부!E22="","",명부!E22)</f>
        <v/>
      </c>
      <c r="D28" s="19">
        <f>SUMPRODUCT((근태!$D$4:$AH$4&lt;&gt;"")*(근태!$D$6:$AH$6=""))</f>
        <v/>
      </c>
      <c r="E28" s="21">
        <f>D28*8</f>
        <v/>
      </c>
      <c r="F28" s="21">
        <f>SUMPRODUCT(COUNTIF(근태!$D$28:$AH$28,코드!$A$2:$A$107),코드!$E$2:$E$107)</f>
        <v/>
      </c>
      <c r="G28" s="22">
        <f>E28-F28</f>
        <v/>
      </c>
      <c r="H28" s="22">
        <f>SUM(시간!$D$28:$AH$28)</f>
        <v/>
      </c>
      <c r="I28" s="23">
        <f>H28-G28</f>
        <v/>
      </c>
      <c r="J28" s="21">
        <f>SUM(OT!$D$28:$AH$28)</f>
        <v/>
      </c>
      <c r="K28" s="24" t="n"/>
      <c r="L28" s="25">
        <f>K28+F28</f>
        <v/>
      </c>
      <c r="M28" s="26">
        <f>L28-J28</f>
        <v/>
      </c>
      <c r="N28" s="19">
        <f>SUMPRODUCT((근태!$D$6:$AH$6="")*(근태!$D$4:$AH$4&lt;&gt;"")*(근태!$D$28:$AH$28=""))+SUMPRODUCT(COUNTIF(근태!$D$28:$AH$28,코드!$J$2:$J$25))</f>
        <v/>
      </c>
      <c r="O28" s="27">
        <f>SUMPRODUCT((근태!$D$3:$AH$3=1)*(시간!$D$28:$AH$28+OT!$D$28:$AH$28))</f>
        <v/>
      </c>
      <c r="P28" s="27">
        <f>SUMPRODUCT((근태!$D$3:$AH$3=2)*(시간!$D$28:$AH$28+OT!$D$28:$AH$28))</f>
        <v/>
      </c>
      <c r="Q28" s="27">
        <f>SUMPRODUCT((근태!$D$3:$AH$3=3)*(시간!$D$28:$AH$28+OT!$D$28:$AH$28))</f>
        <v/>
      </c>
      <c r="R28" s="27">
        <f>SUMPRODUCT((근태!$D$3:$AH$3=4)*(시간!$D$28:$AH$28+OT!$D$28:$AH$28))</f>
        <v/>
      </c>
      <c r="S28" s="27">
        <f>SUMPRODUCT((근태!$D$3:$AH$3=5)*(시간!$D$28:$AH$28+OT!$D$28:$AH$28))</f>
        <v/>
      </c>
      <c r="T28" s="27">
        <f>SUMPRODUCT((근태!$D$3:$AH$3=6)*(시간!$D$28:$AH$28+OT!$D$28:$AH$28))</f>
        <v/>
      </c>
      <c r="U28" s="26">
        <f>MAX(O28:T28)</f>
        <v/>
      </c>
      <c r="V28" s="19">
        <f>IF(U28&gt;64,"초과","적합")</f>
        <v/>
      </c>
    </row>
    <row r="29">
      <c r="A29" s="12">
        <f>IF(명부!A23="","",명부!A23)</f>
        <v/>
      </c>
      <c r="B29" s="13">
        <f>IF(명부!C23="","",명부!C23)</f>
        <v/>
      </c>
      <c r="C29" s="14">
        <f>IF(명부!E23="","",명부!E23)</f>
        <v/>
      </c>
      <c r="D29" s="19">
        <f>SUMPRODUCT((근태!$D$4:$AH$4&lt;&gt;"")*(근태!$D$6:$AH$6=""))</f>
        <v/>
      </c>
      <c r="E29" s="21">
        <f>D29*8</f>
        <v/>
      </c>
      <c r="F29" s="21">
        <f>SUMPRODUCT(COUNTIF(근태!$D$29:$AH$29,코드!$A$2:$A$107),코드!$E$2:$E$107)</f>
        <v/>
      </c>
      <c r="G29" s="22">
        <f>E29-F29</f>
        <v/>
      </c>
      <c r="H29" s="22">
        <f>SUM(시간!$D$29:$AH$29)</f>
        <v/>
      </c>
      <c r="I29" s="23">
        <f>H29-G29</f>
        <v/>
      </c>
      <c r="J29" s="21">
        <f>SUM(OT!$D$29:$AH$29)</f>
        <v/>
      </c>
      <c r="K29" s="24" t="n"/>
      <c r="L29" s="25">
        <f>K29+F29</f>
        <v/>
      </c>
      <c r="M29" s="26">
        <f>L29-J29</f>
        <v/>
      </c>
      <c r="N29" s="19">
        <f>SUMPRODUCT((근태!$D$6:$AH$6="")*(근태!$D$4:$AH$4&lt;&gt;"")*(근태!$D$29:$AH$29=""))+SUMPRODUCT(COUNTIF(근태!$D$29:$AH$29,코드!$J$2:$J$25))</f>
        <v/>
      </c>
      <c r="O29" s="27">
        <f>SUMPRODUCT((근태!$D$3:$AH$3=1)*(시간!$D$29:$AH$29+OT!$D$29:$AH$29))</f>
        <v/>
      </c>
      <c r="P29" s="27">
        <f>SUMPRODUCT((근태!$D$3:$AH$3=2)*(시간!$D$29:$AH$29+OT!$D$29:$AH$29))</f>
        <v/>
      </c>
      <c r="Q29" s="27">
        <f>SUMPRODUCT((근태!$D$3:$AH$3=3)*(시간!$D$29:$AH$29+OT!$D$29:$AH$29))</f>
        <v/>
      </c>
      <c r="R29" s="27">
        <f>SUMPRODUCT((근태!$D$3:$AH$3=4)*(시간!$D$29:$AH$29+OT!$D$29:$AH$29))</f>
        <v/>
      </c>
      <c r="S29" s="27">
        <f>SUMPRODUCT((근태!$D$3:$AH$3=5)*(시간!$D$29:$AH$29+OT!$D$29:$AH$29))</f>
        <v/>
      </c>
      <c r="T29" s="27">
        <f>SUMPRODUCT((근태!$D$3:$AH$3=6)*(시간!$D$29:$AH$29+OT!$D$29:$AH$29))</f>
        <v/>
      </c>
      <c r="U29" s="26">
        <f>MAX(O29:T29)</f>
        <v/>
      </c>
      <c r="V29" s="19">
        <f>IF(U29&gt;64,"초과","적합")</f>
        <v/>
      </c>
    </row>
    <row r="30">
      <c r="A30" s="12">
        <f>IF(명부!A24="","",명부!A24)</f>
        <v/>
      </c>
      <c r="B30" s="13">
        <f>IF(명부!C24="","",명부!C24)</f>
        <v/>
      </c>
      <c r="C30" s="14">
        <f>IF(명부!E24="","",명부!E24)</f>
        <v/>
      </c>
      <c r="D30" s="19">
        <f>SUMPRODUCT((근태!$D$4:$AH$4&lt;&gt;"")*(근태!$D$6:$AH$6=""))</f>
        <v/>
      </c>
      <c r="E30" s="21">
        <f>D30*8</f>
        <v/>
      </c>
      <c r="F30" s="21">
        <f>SUMPRODUCT(COUNTIF(근태!$D$30:$AH$30,코드!$A$2:$A$107),코드!$E$2:$E$107)</f>
        <v/>
      </c>
      <c r="G30" s="22">
        <f>E30-F30</f>
        <v/>
      </c>
      <c r="H30" s="22">
        <f>SUM(시간!$D$30:$AH$30)</f>
        <v/>
      </c>
      <c r="I30" s="23">
        <f>H30-G30</f>
        <v/>
      </c>
      <c r="J30" s="21">
        <f>SUM(OT!$D$30:$AH$30)</f>
        <v/>
      </c>
      <c r="K30" s="24" t="n"/>
      <c r="L30" s="25">
        <f>K30+F30</f>
        <v/>
      </c>
      <c r="M30" s="26">
        <f>L30-J30</f>
        <v/>
      </c>
      <c r="N30" s="19">
        <f>SUMPRODUCT((근태!$D$6:$AH$6="")*(근태!$D$4:$AH$4&lt;&gt;"")*(근태!$D$30:$AH$30=""))+SUMPRODUCT(COUNTIF(근태!$D$30:$AH$30,코드!$J$2:$J$25))</f>
        <v/>
      </c>
      <c r="O30" s="27">
        <f>SUMPRODUCT((근태!$D$3:$AH$3=1)*(시간!$D$30:$AH$30+OT!$D$30:$AH$30))</f>
        <v/>
      </c>
      <c r="P30" s="27">
        <f>SUMPRODUCT((근태!$D$3:$AH$3=2)*(시간!$D$30:$AH$30+OT!$D$30:$AH$30))</f>
        <v/>
      </c>
      <c r="Q30" s="27">
        <f>SUMPRODUCT((근태!$D$3:$AH$3=3)*(시간!$D$30:$AH$30+OT!$D$30:$AH$30))</f>
        <v/>
      </c>
      <c r="R30" s="27">
        <f>SUMPRODUCT((근태!$D$3:$AH$3=4)*(시간!$D$30:$AH$30+OT!$D$30:$AH$30))</f>
        <v/>
      </c>
      <c r="S30" s="27">
        <f>SUMPRODUCT((근태!$D$3:$AH$3=5)*(시간!$D$30:$AH$30+OT!$D$30:$AH$30))</f>
        <v/>
      </c>
      <c r="T30" s="27">
        <f>SUMPRODUCT((근태!$D$3:$AH$3=6)*(시간!$D$30:$AH$30+OT!$D$30:$AH$30))</f>
        <v/>
      </c>
      <c r="U30" s="26">
        <f>MAX(O30:T30)</f>
        <v/>
      </c>
      <c r="V30" s="19">
        <f>IF(U30&gt;64,"초과","적합")</f>
        <v/>
      </c>
    </row>
    <row r="31">
      <c r="A31" s="12">
        <f>IF(명부!A25="","",명부!A25)</f>
        <v/>
      </c>
      <c r="B31" s="13">
        <f>IF(명부!C25="","",명부!C25)</f>
        <v/>
      </c>
      <c r="C31" s="14">
        <f>IF(명부!E25="","",명부!E25)</f>
        <v/>
      </c>
      <c r="D31" s="19">
        <f>SUMPRODUCT((근태!$D$4:$AH$4&lt;&gt;"")*(근태!$D$6:$AH$6=""))</f>
        <v/>
      </c>
      <c r="E31" s="21">
        <f>D31*8</f>
        <v/>
      </c>
      <c r="F31" s="21">
        <f>SUMPRODUCT(COUNTIF(근태!$D$31:$AH$31,코드!$A$2:$A$107),코드!$E$2:$E$107)</f>
        <v/>
      </c>
      <c r="G31" s="22">
        <f>E31-F31</f>
        <v/>
      </c>
      <c r="H31" s="22">
        <f>SUM(시간!$D$31:$AH$31)</f>
        <v/>
      </c>
      <c r="I31" s="23">
        <f>H31-G31</f>
        <v/>
      </c>
      <c r="J31" s="21">
        <f>SUM(OT!$D$31:$AH$31)</f>
        <v/>
      </c>
      <c r="K31" s="24" t="n"/>
      <c r="L31" s="25">
        <f>K31+F31</f>
        <v/>
      </c>
      <c r="M31" s="26">
        <f>L31-J31</f>
        <v/>
      </c>
      <c r="N31" s="19">
        <f>SUMPRODUCT((근태!$D$6:$AH$6="")*(근태!$D$4:$AH$4&lt;&gt;"")*(근태!$D$31:$AH$31=""))+SUMPRODUCT(COUNTIF(근태!$D$31:$AH$31,코드!$J$2:$J$25))</f>
        <v/>
      </c>
      <c r="O31" s="27">
        <f>SUMPRODUCT((근태!$D$3:$AH$3=1)*(시간!$D$31:$AH$31+OT!$D$31:$AH$31))</f>
        <v/>
      </c>
      <c r="P31" s="27">
        <f>SUMPRODUCT((근태!$D$3:$AH$3=2)*(시간!$D$31:$AH$31+OT!$D$31:$AH$31))</f>
        <v/>
      </c>
      <c r="Q31" s="27">
        <f>SUMPRODUCT((근태!$D$3:$AH$3=3)*(시간!$D$31:$AH$31+OT!$D$31:$AH$31))</f>
        <v/>
      </c>
      <c r="R31" s="27">
        <f>SUMPRODUCT((근태!$D$3:$AH$3=4)*(시간!$D$31:$AH$31+OT!$D$31:$AH$31))</f>
        <v/>
      </c>
      <c r="S31" s="27">
        <f>SUMPRODUCT((근태!$D$3:$AH$3=5)*(시간!$D$31:$AH$31+OT!$D$31:$AH$31))</f>
        <v/>
      </c>
      <c r="T31" s="27">
        <f>SUMPRODUCT((근태!$D$3:$AH$3=6)*(시간!$D$31:$AH$31+OT!$D$31:$AH$31))</f>
        <v/>
      </c>
      <c r="U31" s="26">
        <f>MAX(O31:T31)</f>
        <v/>
      </c>
      <c r="V31" s="19">
        <f>IF(U31&gt;64,"초과","적합")</f>
        <v/>
      </c>
    </row>
    <row r="34">
      <c r="A34" s="5" t="inlineStr">
        <is>
          <t>주별 근로시간은 정규 + OT 이고 64시간을 넘으면 빨갛게 표시됩니다. 탄력근무 3개월 평균 52시간 판정은 달을 넘겨야 하므로 index.html 의 「탄력근무 52/64」 탭에서 확인하세요.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I8:I31">
    <cfRule type="cellIs" priority="1" operator="lessThan" dxfId="5">
      <formula>0</formula>
    </cfRule>
  </conditionalFormatting>
  <conditionalFormatting sqref="M8:M31">
    <cfRule type="cellIs" priority="2" operator="lessThan" dxfId="3">
      <formula>0</formula>
    </cfRule>
  </conditionalFormatting>
  <conditionalFormatting sqref="V8:V31">
    <cfRule type="cellIs" priority="3" operator="equal" dxfId="3">
      <formula>"초과"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8" customWidth="1" min="4" max="4"/>
    <col width="6" customWidth="1" min="5" max="5"/>
    <col width="6" customWidth="1" min="6" max="6"/>
  </cols>
  <sheetData>
    <row r="1">
      <c r="A1" s="10" t="inlineStr">
        <is>
          <t>이름</t>
        </is>
      </c>
      <c r="B1" s="10" t="inlineStr">
        <is>
          <t>팀</t>
        </is>
      </c>
      <c r="C1" s="10" t="inlineStr">
        <is>
          <t>파트</t>
        </is>
      </c>
      <c r="D1" s="10" t="inlineStr">
        <is>
          <t>직책</t>
        </is>
      </c>
      <c r="E1" s="10" t="inlineStr">
        <is>
          <t>그룹</t>
        </is>
      </c>
      <c r="F1" s="10" t="inlineStr">
        <is>
          <t>휴직</t>
        </is>
      </c>
    </row>
    <row r="2">
      <c r="A2" s="28" t="inlineStr">
        <is>
          <t>김동환</t>
        </is>
      </c>
      <c r="B2" s="28" t="inlineStr">
        <is>
          <t>발전운영팀</t>
        </is>
      </c>
      <c r="C2" s="28" t="inlineStr">
        <is>
          <t>발전팀장</t>
        </is>
      </c>
      <c r="D2" s="28" t="inlineStr">
        <is>
          <t>팀장</t>
        </is>
      </c>
      <c r="E2" s="29" t="inlineStr">
        <is>
          <t>A</t>
        </is>
      </c>
      <c r="F2" s="29" t="inlineStr"/>
    </row>
    <row r="3">
      <c r="A3" s="28" t="inlineStr">
        <is>
          <t>고재민</t>
        </is>
      </c>
      <c r="B3" s="28" t="inlineStr">
        <is>
          <t>정비기술팀</t>
        </is>
      </c>
      <c r="C3" s="28" t="inlineStr">
        <is>
          <t>정비팀장</t>
        </is>
      </c>
      <c r="D3" s="28" t="inlineStr">
        <is>
          <t>팀장</t>
        </is>
      </c>
      <c r="E3" s="29" t="inlineStr">
        <is>
          <t>A</t>
        </is>
      </c>
      <c r="F3" s="29" t="inlineStr"/>
    </row>
    <row r="4">
      <c r="A4" s="28" t="inlineStr">
        <is>
          <t>임태균</t>
        </is>
      </c>
      <c r="B4" s="28" t="inlineStr">
        <is>
          <t>발전운영팀</t>
        </is>
      </c>
      <c r="C4" s="28" t="inlineStr">
        <is>
          <t>발전지원</t>
        </is>
      </c>
      <c r="D4" s="28" t="inlineStr">
        <is>
          <t>파트장</t>
        </is>
      </c>
      <c r="E4" s="29" t="inlineStr">
        <is>
          <t>A</t>
        </is>
      </c>
      <c r="F4" s="29" t="inlineStr"/>
    </row>
    <row r="5">
      <c r="A5" s="28" t="inlineStr">
        <is>
          <t>정병철</t>
        </is>
      </c>
      <c r="B5" s="28" t="inlineStr">
        <is>
          <t>정비기술팀</t>
        </is>
      </c>
      <c r="C5" s="28" t="inlineStr">
        <is>
          <t>기계</t>
        </is>
      </c>
      <c r="D5" s="28" t="inlineStr">
        <is>
          <t>파트장</t>
        </is>
      </c>
      <c r="E5" s="29" t="inlineStr">
        <is>
          <t>A</t>
        </is>
      </c>
      <c r="F5" s="29" t="inlineStr"/>
    </row>
    <row r="6">
      <c r="A6" s="28" t="inlineStr">
        <is>
          <t>민준홍</t>
        </is>
      </c>
      <c r="B6" s="28" t="inlineStr">
        <is>
          <t>정비기술팀</t>
        </is>
      </c>
      <c r="C6" s="28" t="inlineStr">
        <is>
          <t>전기</t>
        </is>
      </c>
      <c r="D6" s="28" t="inlineStr">
        <is>
          <t>파트장</t>
        </is>
      </c>
      <c r="E6" s="29" t="inlineStr">
        <is>
          <t>A</t>
        </is>
      </c>
      <c r="F6" s="29" t="inlineStr"/>
    </row>
    <row r="7">
      <c r="A7" s="28" t="inlineStr">
        <is>
          <t>한승백</t>
        </is>
      </c>
      <c r="B7" s="28" t="inlineStr">
        <is>
          <t>정비기술팀</t>
        </is>
      </c>
      <c r="C7" s="28" t="inlineStr">
        <is>
          <t>제어</t>
        </is>
      </c>
      <c r="D7" s="28" t="inlineStr">
        <is>
          <t>파트장</t>
        </is>
      </c>
      <c r="E7" s="29" t="inlineStr">
        <is>
          <t>A</t>
        </is>
      </c>
      <c r="F7" s="29" t="inlineStr"/>
    </row>
    <row r="8">
      <c r="A8" s="28" t="inlineStr">
        <is>
          <t>박상호</t>
        </is>
      </c>
      <c r="B8" s="28" t="inlineStr">
        <is>
          <t>정비기술팀</t>
        </is>
      </c>
      <c r="C8" s="28" t="inlineStr">
        <is>
          <t>기계</t>
        </is>
      </c>
      <c r="D8" s="28" t="inlineStr">
        <is>
          <t>구성원</t>
        </is>
      </c>
      <c r="E8" s="29" t="inlineStr">
        <is>
          <t>B</t>
        </is>
      </c>
      <c r="F8" s="29" t="inlineStr"/>
    </row>
    <row r="9">
      <c r="A9" s="28" t="inlineStr">
        <is>
          <t>최규석</t>
        </is>
      </c>
      <c r="B9" s="28" t="inlineStr">
        <is>
          <t>정비기술팀</t>
        </is>
      </c>
      <c r="C9" s="28" t="inlineStr">
        <is>
          <t>기계</t>
        </is>
      </c>
      <c r="D9" s="28" t="inlineStr">
        <is>
          <t>구성원</t>
        </is>
      </c>
      <c r="E9" s="29" t="inlineStr">
        <is>
          <t>B</t>
        </is>
      </c>
      <c r="F9" s="29" t="inlineStr"/>
    </row>
    <row r="10">
      <c r="A10" s="28" t="inlineStr">
        <is>
          <t>김성진</t>
        </is>
      </c>
      <c r="B10" s="28" t="inlineStr">
        <is>
          <t>정비기술팀</t>
        </is>
      </c>
      <c r="C10" s="28" t="inlineStr">
        <is>
          <t>기계</t>
        </is>
      </c>
      <c r="D10" s="28" t="inlineStr">
        <is>
          <t>구성원</t>
        </is>
      </c>
      <c r="E10" s="29" t="inlineStr">
        <is>
          <t>B</t>
        </is>
      </c>
      <c r="F10" s="29" t="inlineStr"/>
    </row>
    <row r="11">
      <c r="A11" s="28" t="inlineStr">
        <is>
          <t>윤병권</t>
        </is>
      </c>
      <c r="B11" s="28" t="inlineStr">
        <is>
          <t>정비기술팀</t>
        </is>
      </c>
      <c r="C11" s="28" t="inlineStr">
        <is>
          <t>기계</t>
        </is>
      </c>
      <c r="D11" s="28" t="inlineStr">
        <is>
          <t>구성원</t>
        </is>
      </c>
      <c r="E11" s="29" t="inlineStr">
        <is>
          <t>B</t>
        </is>
      </c>
      <c r="F11" s="29" t="inlineStr"/>
    </row>
    <row r="12">
      <c r="A12" s="28" t="inlineStr">
        <is>
          <t>정상우</t>
        </is>
      </c>
      <c r="B12" s="28" t="inlineStr">
        <is>
          <t>정비기술팀</t>
        </is>
      </c>
      <c r="C12" s="28" t="inlineStr">
        <is>
          <t>기계</t>
        </is>
      </c>
      <c r="D12" s="28" t="inlineStr">
        <is>
          <t>구성원</t>
        </is>
      </c>
      <c r="E12" s="29" t="inlineStr">
        <is>
          <t>B</t>
        </is>
      </c>
      <c r="F12" s="29" t="inlineStr"/>
    </row>
    <row r="13">
      <c r="A13" s="28" t="inlineStr">
        <is>
          <t>김형준</t>
        </is>
      </c>
      <c r="B13" s="28" t="inlineStr">
        <is>
          <t>정비기술팀</t>
        </is>
      </c>
      <c r="C13" s="28" t="inlineStr">
        <is>
          <t>전기</t>
        </is>
      </c>
      <c r="D13" s="28" t="inlineStr">
        <is>
          <t>구성원</t>
        </is>
      </c>
      <c r="E13" s="29" t="inlineStr">
        <is>
          <t>B</t>
        </is>
      </c>
      <c r="F13" s="29" t="inlineStr"/>
    </row>
    <row r="14">
      <c r="A14" s="28" t="inlineStr">
        <is>
          <t>손현덕</t>
        </is>
      </c>
      <c r="B14" s="28" t="inlineStr">
        <is>
          <t>정비기술팀</t>
        </is>
      </c>
      <c r="C14" s="28" t="inlineStr">
        <is>
          <t>전기</t>
        </is>
      </c>
      <c r="D14" s="28" t="inlineStr">
        <is>
          <t>구성원</t>
        </is>
      </c>
      <c r="E14" s="29" t="inlineStr">
        <is>
          <t>B</t>
        </is>
      </c>
      <c r="F14" s="29" t="inlineStr"/>
    </row>
    <row r="15">
      <c r="A15" s="28" t="inlineStr">
        <is>
          <t>오승원</t>
        </is>
      </c>
      <c r="B15" s="28" t="inlineStr">
        <is>
          <t>정비기술팀</t>
        </is>
      </c>
      <c r="C15" s="28" t="inlineStr">
        <is>
          <t>전기</t>
        </is>
      </c>
      <c r="D15" s="28" t="inlineStr">
        <is>
          <t>구성원</t>
        </is>
      </c>
      <c r="E15" s="29" t="inlineStr">
        <is>
          <t>B</t>
        </is>
      </c>
      <c r="F15" s="29" t="inlineStr"/>
    </row>
    <row r="16">
      <c r="A16" s="28" t="inlineStr">
        <is>
          <t>주현</t>
        </is>
      </c>
      <c r="B16" s="28" t="inlineStr">
        <is>
          <t>정비기술팀</t>
        </is>
      </c>
      <c r="C16" s="28" t="inlineStr">
        <is>
          <t>제어</t>
        </is>
      </c>
      <c r="D16" s="28" t="inlineStr">
        <is>
          <t>구성원</t>
        </is>
      </c>
      <c r="E16" s="29" t="inlineStr">
        <is>
          <t>B</t>
        </is>
      </c>
      <c r="F16" s="29" t="inlineStr"/>
    </row>
    <row r="17">
      <c r="A17" s="28" t="inlineStr">
        <is>
          <t>조주형</t>
        </is>
      </c>
      <c r="B17" s="28" t="inlineStr">
        <is>
          <t>정비기술팀</t>
        </is>
      </c>
      <c r="C17" s="28" t="inlineStr">
        <is>
          <t>제어</t>
        </is>
      </c>
      <c r="D17" s="28" t="inlineStr">
        <is>
          <t>구성원</t>
        </is>
      </c>
      <c r="E17" s="29" t="inlineStr">
        <is>
          <t>B</t>
        </is>
      </c>
      <c r="F17" s="29" t="inlineStr"/>
    </row>
    <row r="18">
      <c r="A18" s="28" t="inlineStr">
        <is>
          <t>양종수</t>
        </is>
      </c>
      <c r="B18" s="28" t="inlineStr">
        <is>
          <t>정비기술팀</t>
        </is>
      </c>
      <c r="C18" s="28" t="inlineStr">
        <is>
          <t>정비지원</t>
        </is>
      </c>
      <c r="D18" s="28" t="inlineStr">
        <is>
          <t>구성원</t>
        </is>
      </c>
      <c r="E18" s="29" t="inlineStr">
        <is>
          <t>B</t>
        </is>
      </c>
      <c r="F18" s="29" t="inlineStr"/>
    </row>
    <row r="19">
      <c r="A19" s="28" t="inlineStr">
        <is>
          <t>강인성</t>
        </is>
      </c>
      <c r="B19" s="28" t="inlineStr">
        <is>
          <t>정비기술팀</t>
        </is>
      </c>
      <c r="C19" s="28" t="inlineStr">
        <is>
          <t>정비지원</t>
        </is>
      </c>
      <c r="D19" s="28" t="inlineStr">
        <is>
          <t>구성원</t>
        </is>
      </c>
      <c r="E19" s="29" t="inlineStr">
        <is>
          <t>B</t>
        </is>
      </c>
      <c r="F19" s="29" t="inlineStr"/>
    </row>
    <row r="20">
      <c r="A20" s="28" t="inlineStr">
        <is>
          <t>권오선</t>
        </is>
      </c>
      <c r="B20" s="28" t="inlineStr">
        <is>
          <t>정비기술팀</t>
        </is>
      </c>
      <c r="C20" s="28" t="inlineStr">
        <is>
          <t>정비지원</t>
        </is>
      </c>
      <c r="D20" s="28" t="inlineStr">
        <is>
          <t>구성원</t>
        </is>
      </c>
      <c r="E20" s="29" t="inlineStr">
        <is>
          <t>B</t>
        </is>
      </c>
      <c r="F20" s="29" t="inlineStr"/>
    </row>
    <row r="21">
      <c r="A21" s="28" t="inlineStr">
        <is>
          <t>정소망</t>
        </is>
      </c>
      <c r="B21" s="28" t="inlineStr">
        <is>
          <t>정비기술팀</t>
        </is>
      </c>
      <c r="C21" s="28" t="inlineStr">
        <is>
          <t>정비지원</t>
        </is>
      </c>
      <c r="D21" s="28" t="inlineStr">
        <is>
          <t>구성원</t>
        </is>
      </c>
      <c r="E21" s="29" t="inlineStr">
        <is>
          <t>B</t>
        </is>
      </c>
      <c r="F21" s="29" t="inlineStr"/>
    </row>
    <row r="22">
      <c r="A22" s="28" t="inlineStr">
        <is>
          <t>윤승현</t>
        </is>
      </c>
      <c r="B22" s="28" t="inlineStr">
        <is>
          <t>정비기술팀</t>
        </is>
      </c>
      <c r="C22" s="28" t="inlineStr">
        <is>
          <t>정비지원</t>
        </is>
      </c>
      <c r="D22" s="28" t="inlineStr">
        <is>
          <t>구성원</t>
        </is>
      </c>
      <c r="E22" s="29" t="inlineStr">
        <is>
          <t>B</t>
        </is>
      </c>
      <c r="F22" s="29" t="inlineStr">
        <is>
          <t>Y</t>
        </is>
      </c>
    </row>
    <row r="23">
      <c r="A23" s="28" t="inlineStr">
        <is>
          <t>양시웅</t>
        </is>
      </c>
      <c r="B23" s="28" t="inlineStr">
        <is>
          <t>발전운영팀</t>
        </is>
      </c>
      <c r="C23" s="28" t="inlineStr">
        <is>
          <t>발전지원</t>
        </is>
      </c>
      <c r="D23" s="28" t="inlineStr">
        <is>
          <t>구성원</t>
        </is>
      </c>
      <c r="E23" s="29" t="inlineStr">
        <is>
          <t>C</t>
        </is>
      </c>
      <c r="F23" s="29" t="inlineStr"/>
    </row>
    <row r="24">
      <c r="A24" s="28" t="inlineStr">
        <is>
          <t>한준우</t>
        </is>
      </c>
      <c r="B24" s="28" t="inlineStr">
        <is>
          <t>발전운영팀</t>
        </is>
      </c>
      <c r="C24" s="28" t="inlineStr">
        <is>
          <t>발전지원</t>
        </is>
      </c>
      <c r="D24" s="28" t="inlineStr">
        <is>
          <t>구성원</t>
        </is>
      </c>
      <c r="E24" s="29" t="inlineStr">
        <is>
          <t>C</t>
        </is>
      </c>
      <c r="F24" s="29" t="inlineStr"/>
    </row>
    <row r="25">
      <c r="A25" s="28" t="inlineStr">
        <is>
          <t>권민중</t>
        </is>
      </c>
      <c r="B25" s="28" t="inlineStr">
        <is>
          <t>발전운영팀</t>
        </is>
      </c>
      <c r="C25" s="28" t="inlineStr">
        <is>
          <t>발전지원</t>
        </is>
      </c>
      <c r="D25" s="28" t="inlineStr">
        <is>
          <t>구성원</t>
        </is>
      </c>
      <c r="E25" s="29" t="inlineStr">
        <is>
          <t>C</t>
        </is>
      </c>
      <c r="F25" s="29" t="inlineStr"/>
    </row>
    <row r="27">
      <c r="A27" s="30" t="inlineStr">
        <is>
          <t>활성 인원</t>
        </is>
      </c>
      <c r="B27" s="31">
        <f>COUNTA(A2:A25)-COUNTIF(F2:F25,"Y")</f>
        <v/>
      </c>
    </row>
    <row r="28">
      <c r="A28" s="30" t="inlineStr">
        <is>
          <t>30% 필요 인원</t>
        </is>
      </c>
      <c r="B28" s="31">
        <f>ROUNDUP(B27*0.3,0)</f>
        <v/>
      </c>
    </row>
    <row r="30">
      <c r="A30" s="5" t="inlineStr">
        <is>
          <t>휴직 열에 Y 를 넣으면 30% 모수에서 빠집니다. 순서를 바꾸면 다른 시트의 이름도 함께 바뀝니다.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</cols>
  <sheetData>
    <row r="1">
      <c r="A1" s="10" t="inlineStr">
        <is>
          <t>날짜</t>
        </is>
      </c>
      <c r="B1" s="10" t="inlineStr">
        <is>
          <t>명칭</t>
        </is>
      </c>
    </row>
    <row r="2">
      <c r="A2" s="32" t="inlineStr">
        <is>
          <t>2026-01-01</t>
        </is>
      </c>
      <c r="B2" s="28" t="inlineStr">
        <is>
          <t>신정</t>
        </is>
      </c>
    </row>
    <row r="3">
      <c r="A3" s="32" t="inlineStr">
        <is>
          <t>2026-02-16</t>
        </is>
      </c>
      <c r="B3" s="28" t="inlineStr">
        <is>
          <t>설날 연휴</t>
        </is>
      </c>
    </row>
    <row r="4">
      <c r="A4" s="32" t="inlineStr">
        <is>
          <t>2026-02-17</t>
        </is>
      </c>
      <c r="B4" s="28" t="inlineStr">
        <is>
          <t>설날</t>
        </is>
      </c>
    </row>
    <row r="5">
      <c r="A5" s="32" t="inlineStr">
        <is>
          <t>2026-02-18</t>
        </is>
      </c>
      <c r="B5" s="28" t="inlineStr">
        <is>
          <t>설날 연휴</t>
        </is>
      </c>
    </row>
    <row r="6">
      <c r="A6" s="32" t="inlineStr">
        <is>
          <t>2026-03-01</t>
        </is>
      </c>
      <c r="B6" s="28" t="inlineStr">
        <is>
          <t>삼일절</t>
        </is>
      </c>
    </row>
    <row r="7">
      <c r="A7" s="32" t="inlineStr">
        <is>
          <t>2026-03-02</t>
        </is>
      </c>
      <c r="B7" s="28" t="inlineStr">
        <is>
          <t>삼일절 대체공휴일</t>
        </is>
      </c>
    </row>
    <row r="8">
      <c r="A8" s="32" t="inlineStr">
        <is>
          <t>2026-05-01</t>
        </is>
      </c>
      <c r="B8" s="28" t="inlineStr">
        <is>
          <t>근로자의 날</t>
        </is>
      </c>
    </row>
    <row r="9">
      <c r="A9" s="32" t="inlineStr">
        <is>
          <t>2026-05-05</t>
        </is>
      </c>
      <c r="B9" s="28" t="inlineStr">
        <is>
          <t>어린이날</t>
        </is>
      </c>
    </row>
    <row r="10">
      <c r="A10" s="32" t="inlineStr">
        <is>
          <t>2026-05-24</t>
        </is>
      </c>
      <c r="B10" s="28" t="inlineStr">
        <is>
          <t>부처님오신날</t>
        </is>
      </c>
    </row>
    <row r="11">
      <c r="A11" s="32" t="inlineStr">
        <is>
          <t>2026-05-25</t>
        </is>
      </c>
      <c r="B11" s="28" t="inlineStr">
        <is>
          <t>부처님오신날 대체공휴일</t>
        </is>
      </c>
    </row>
    <row r="12">
      <c r="A12" s="32" t="inlineStr">
        <is>
          <t>2026-06-06</t>
        </is>
      </c>
      <c r="B12" s="28" t="inlineStr">
        <is>
          <t>현충일</t>
        </is>
      </c>
    </row>
    <row r="13">
      <c r="A13" s="32" t="inlineStr">
        <is>
          <t>2026-08-15</t>
        </is>
      </c>
      <c r="B13" s="28" t="inlineStr">
        <is>
          <t>광복절</t>
        </is>
      </c>
    </row>
    <row r="14">
      <c r="A14" s="32" t="inlineStr">
        <is>
          <t>2026-08-17</t>
        </is>
      </c>
      <c r="B14" s="28" t="inlineStr">
        <is>
          <t>광복절 대체공휴일</t>
        </is>
      </c>
    </row>
    <row r="15">
      <c r="A15" s="32" t="inlineStr">
        <is>
          <t>2026-09-24</t>
        </is>
      </c>
      <c r="B15" s="28" t="inlineStr">
        <is>
          <t>추석 연휴</t>
        </is>
      </c>
    </row>
    <row r="16">
      <c r="A16" s="32" t="inlineStr">
        <is>
          <t>2026-09-25</t>
        </is>
      </c>
      <c r="B16" s="28" t="inlineStr">
        <is>
          <t>추석</t>
        </is>
      </c>
    </row>
    <row r="17">
      <c r="A17" s="32" t="inlineStr">
        <is>
          <t>2026-09-26</t>
        </is>
      </c>
      <c r="B17" s="28" t="inlineStr">
        <is>
          <t>추석 연휴</t>
        </is>
      </c>
    </row>
    <row r="18">
      <c r="A18" s="32" t="inlineStr">
        <is>
          <t>2026-10-03</t>
        </is>
      </c>
      <c r="B18" s="28" t="inlineStr">
        <is>
          <t>개천절</t>
        </is>
      </c>
    </row>
    <row r="19">
      <c r="A19" s="32" t="inlineStr">
        <is>
          <t>2026-10-05</t>
        </is>
      </c>
      <c r="B19" s="28" t="inlineStr">
        <is>
          <t>개천절 대체공휴일</t>
        </is>
      </c>
    </row>
    <row r="20">
      <c r="A20" s="32" t="inlineStr">
        <is>
          <t>2026-10-09</t>
        </is>
      </c>
      <c r="B20" s="28" t="inlineStr">
        <is>
          <t>한글날</t>
        </is>
      </c>
    </row>
    <row r="21">
      <c r="A21" s="32" t="inlineStr">
        <is>
          <t>2026-10-13</t>
        </is>
      </c>
      <c r="B21" s="28" t="inlineStr">
        <is>
          <t>회사 창립기념일</t>
        </is>
      </c>
    </row>
    <row r="22">
      <c r="A22" s="32" t="inlineStr">
        <is>
          <t>2026-12-25</t>
        </is>
      </c>
      <c r="B22" s="28" t="inlineStr">
        <is>
          <t>성탄절</t>
        </is>
      </c>
    </row>
    <row r="24">
      <c r="A24" s="5" t="inlineStr">
        <is>
          <t>날짜는 반드시 날짜 형식(2027-01-01)으로 넣으세요. 설날·추석·부처님오신날은 음력이라 매년 확인이 필요합니다. 사내 휴무일도 여기에 추가하세요.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07"/>
  <sheetViews>
    <sheetView workbookViewId="0">
      <selection activeCell="A1" sqref="A1"/>
    </sheetView>
  </sheetViews>
  <sheetFormatPr baseColWidth="8" defaultRowHeight="15"/>
  <cols>
    <col width="17" customWidth="1" min="1" max="1"/>
    <col width="10" customWidth="1" min="2" max="2"/>
    <col width="13" customWidth="1" min="3" max="3"/>
    <col width="10" customWidth="1" min="4" max="4"/>
    <col width="9" customWidth="1" min="5" max="5"/>
    <col width="9" customWidth="1" min="6" max="6"/>
    <col width="14" customWidth="1" min="7" max="7"/>
    <col width="10" customWidth="1" min="8" max="8"/>
    <col width="17" customWidth="1" min="10" max="10"/>
    <col width="17" customWidth="1" min="11" max="11"/>
    <col width="6" customWidth="1" min="13" max="13"/>
  </cols>
  <sheetData>
    <row r="1">
      <c r="A1" s="10" t="inlineStr">
        <is>
          <t>코드</t>
        </is>
      </c>
      <c r="B1" s="10" t="inlineStr">
        <is>
          <t>유형</t>
        </is>
      </c>
      <c r="C1" s="10" t="inlineStr">
        <is>
          <t>근무 시각</t>
        </is>
      </c>
      <c r="D1" s="10" t="inlineStr">
        <is>
          <t>실근로(h)</t>
        </is>
      </c>
      <c r="E1" s="10" t="inlineStr">
        <is>
          <t>휴가(h)</t>
        </is>
      </c>
      <c r="F1" s="10" t="inlineStr">
        <is>
          <t>30%충족</t>
        </is>
      </c>
      <c r="G1" s="10" t="inlineStr">
        <is>
          <t>휴가 블록</t>
        </is>
      </c>
      <c r="H1" s="10" t="inlineStr">
        <is>
          <t>구분</t>
        </is>
      </c>
      <c r="J1" s="10" t="inlineStr">
        <is>
          <t>30% 충족 코드</t>
        </is>
      </c>
      <c r="K1" s="10" t="inlineStr">
        <is>
          <t>조율 가능 코드</t>
        </is>
      </c>
      <c r="M1" s="10" t="inlineStr">
        <is>
          <t>요일</t>
        </is>
      </c>
    </row>
    <row r="2">
      <c r="A2" s="33" t="inlineStr">
        <is>
          <t>근무 0730-1630</t>
        </is>
      </c>
      <c r="B2" s="19" t="inlineStr">
        <is>
          <t>근무</t>
        </is>
      </c>
      <c r="C2" s="14" t="inlineStr">
        <is>
          <t>07:30~16:30</t>
        </is>
      </c>
      <c r="D2" s="21" t="n">
        <v>8</v>
      </c>
      <c r="E2" s="21" t="n">
        <v>0</v>
      </c>
      <c r="F2" s="19" t="n">
        <v>1</v>
      </c>
      <c r="G2" s="14" t="inlineStr"/>
      <c r="H2" s="14" t="inlineStr">
        <is>
          <t>근무</t>
        </is>
      </c>
      <c r="J2" s="33" t="inlineStr">
        <is>
          <t>근무 0730-1630</t>
        </is>
      </c>
      <c r="K2" s="33" t="inlineStr">
        <is>
          <t>오후반 0730-1200</t>
        </is>
      </c>
      <c r="M2" s="19" t="inlineStr">
        <is>
          <t>일</t>
        </is>
      </c>
    </row>
    <row r="3">
      <c r="A3" s="33" t="inlineStr">
        <is>
          <t>근무 0800-1700</t>
        </is>
      </c>
      <c r="B3" s="19" t="inlineStr">
        <is>
          <t>근무</t>
        </is>
      </c>
      <c r="C3" s="14" t="inlineStr">
        <is>
          <t>08:00~17:00</t>
        </is>
      </c>
      <c r="D3" s="21" t="n">
        <v>8</v>
      </c>
      <c r="E3" s="21" t="n">
        <v>0</v>
      </c>
      <c r="F3" s="19" t="n">
        <v>1</v>
      </c>
      <c r="G3" s="14" t="inlineStr"/>
      <c r="H3" s="14" t="inlineStr">
        <is>
          <t>근무</t>
        </is>
      </c>
      <c r="J3" s="33" t="inlineStr">
        <is>
          <t>근무 0800-1700</t>
        </is>
      </c>
      <c r="K3" s="33" t="inlineStr">
        <is>
          <t>오후반 0730-1300</t>
        </is>
      </c>
      <c r="M3" s="19" t="inlineStr">
        <is>
          <t>월</t>
        </is>
      </c>
    </row>
    <row r="4">
      <c r="A4" s="33" t="inlineStr">
        <is>
          <t>근무 0830-1730</t>
        </is>
      </c>
      <c r="B4" s="19" t="inlineStr">
        <is>
          <t>근무</t>
        </is>
      </c>
      <c r="C4" s="14" t="inlineStr">
        <is>
          <t>08:30~17:30</t>
        </is>
      </c>
      <c r="D4" s="21" t="n">
        <v>8</v>
      </c>
      <c r="E4" s="21" t="n">
        <v>0</v>
      </c>
      <c r="F4" s="19" t="n">
        <v>1</v>
      </c>
      <c r="G4" s="14" t="inlineStr"/>
      <c r="H4" s="14" t="inlineStr">
        <is>
          <t>근무</t>
        </is>
      </c>
      <c r="J4" s="33" t="inlineStr">
        <is>
          <t>근무 0830-1730</t>
        </is>
      </c>
      <c r="K4" s="33" t="inlineStr">
        <is>
          <t>오후반 0800-1200</t>
        </is>
      </c>
      <c r="M4" s="19" t="inlineStr">
        <is>
          <t>화</t>
        </is>
      </c>
    </row>
    <row r="5">
      <c r="A5" s="33" t="inlineStr">
        <is>
          <t>연차</t>
        </is>
      </c>
      <c r="B5" s="19" t="inlineStr">
        <is>
          <t>연차</t>
        </is>
      </c>
      <c r="C5" s="14" t="inlineStr"/>
      <c r="D5" s="21" t="n">
        <v>0</v>
      </c>
      <c r="E5" s="21" t="n">
        <v>8</v>
      </c>
      <c r="F5" s="19" t="n">
        <v>0</v>
      </c>
      <c r="G5" s="14" t="inlineStr"/>
      <c r="H5" s="14" t="inlineStr">
        <is>
          <t>휴가·사외</t>
        </is>
      </c>
      <c r="J5" s="33" t="inlineStr">
        <is>
          <t>근무 0730-1700</t>
        </is>
      </c>
      <c r="K5" s="33" t="inlineStr">
        <is>
          <t>오후반 0800-1300</t>
        </is>
      </c>
      <c r="M5" s="19" t="inlineStr">
        <is>
          <t>수</t>
        </is>
      </c>
    </row>
    <row r="6">
      <c r="A6" s="33" t="inlineStr">
        <is>
          <t>출장</t>
        </is>
      </c>
      <c r="B6" s="19" t="inlineStr">
        <is>
          <t>출장</t>
        </is>
      </c>
      <c r="C6" s="14" t="inlineStr"/>
      <c r="D6" s="21" t="n">
        <v>8</v>
      </c>
      <c r="E6" s="21" t="n">
        <v>0</v>
      </c>
      <c r="F6" s="19" t="n">
        <v>0</v>
      </c>
      <c r="G6" s="14" t="inlineStr"/>
      <c r="H6" s="14" t="inlineStr">
        <is>
          <t>휴가·사외</t>
        </is>
      </c>
      <c r="J6" s="33" t="inlineStr">
        <is>
          <t>근무 0730-1730</t>
        </is>
      </c>
      <c r="K6" s="33" t="inlineStr">
        <is>
          <t>오후반 0800-1330</t>
        </is>
      </c>
      <c r="M6" s="19" t="inlineStr">
        <is>
          <t>목</t>
        </is>
      </c>
    </row>
    <row r="7">
      <c r="A7" s="33" t="inlineStr">
        <is>
          <t>교육</t>
        </is>
      </c>
      <c r="B7" s="19" t="inlineStr">
        <is>
          <t>교육</t>
        </is>
      </c>
      <c r="C7" s="14" t="inlineStr"/>
      <c r="D7" s="21" t="n">
        <v>8</v>
      </c>
      <c r="E7" s="21" t="n">
        <v>0</v>
      </c>
      <c r="F7" s="19" t="n">
        <v>0</v>
      </c>
      <c r="G7" s="14" t="inlineStr"/>
      <c r="H7" s="14" t="inlineStr">
        <is>
          <t>휴가·사외</t>
        </is>
      </c>
      <c r="J7" s="33" t="inlineStr">
        <is>
          <t>근무 0730-1800</t>
        </is>
      </c>
      <c r="K7" s="33" t="inlineStr">
        <is>
          <t>오후반 0830-1200</t>
        </is>
      </c>
      <c r="M7" s="19" t="inlineStr">
        <is>
          <t>금</t>
        </is>
      </c>
    </row>
    <row r="8">
      <c r="A8" s="33" t="inlineStr">
        <is>
          <t>기타</t>
        </is>
      </c>
      <c r="B8" s="19" t="inlineStr">
        <is>
          <t>기타</t>
        </is>
      </c>
      <c r="C8" s="14" t="inlineStr"/>
      <c r="D8" s="21" t="n">
        <v>8</v>
      </c>
      <c r="E8" s="21" t="n">
        <v>0</v>
      </c>
      <c r="F8" s="19" t="n">
        <v>0</v>
      </c>
      <c r="G8" s="14" t="inlineStr"/>
      <c r="H8" s="14" t="inlineStr">
        <is>
          <t>휴가·사외</t>
        </is>
      </c>
      <c r="J8" s="33" t="inlineStr">
        <is>
          <t>근무 0730-1830</t>
        </is>
      </c>
      <c r="K8" s="33" t="inlineStr">
        <is>
          <t>오후반 0830-1300</t>
        </is>
      </c>
      <c r="M8" s="19" t="inlineStr">
        <is>
          <t>토</t>
        </is>
      </c>
    </row>
    <row r="9">
      <c r="A9" s="33" t="inlineStr">
        <is>
          <t>오후반 0730-1200</t>
        </is>
      </c>
      <c r="B9" s="19" t="inlineStr">
        <is>
          <t>오후반</t>
        </is>
      </c>
      <c r="C9" s="14" t="inlineStr">
        <is>
          <t>07:30~12:00</t>
        </is>
      </c>
      <c r="D9" s="21" t="n">
        <v>4.5</v>
      </c>
      <c r="E9" s="21" t="n">
        <v>4</v>
      </c>
      <c r="F9" s="19" t="n">
        <v>0</v>
      </c>
      <c r="G9" s="14" t="inlineStr">
        <is>
          <t>12:00~17:00</t>
        </is>
      </c>
      <c r="H9" s="14" t="inlineStr">
        <is>
          <t>반차</t>
        </is>
      </c>
      <c r="J9" s="33" t="inlineStr">
        <is>
          <t>근무 0730-1900</t>
        </is>
      </c>
      <c r="K9" s="33" t="inlineStr">
        <is>
          <t>오후반 0830-1330</t>
        </is>
      </c>
    </row>
    <row r="10">
      <c r="A10" s="33" t="inlineStr">
        <is>
          <t>오후반 0730-1300</t>
        </is>
      </c>
      <c r="B10" s="19" t="inlineStr">
        <is>
          <t>오후반</t>
        </is>
      </c>
      <c r="C10" s="14" t="inlineStr">
        <is>
          <t>07:30~13:00</t>
        </is>
      </c>
      <c r="D10" s="21" t="n">
        <v>4.5</v>
      </c>
      <c r="E10" s="21" t="n">
        <v>4</v>
      </c>
      <c r="F10" s="19" t="n">
        <v>0</v>
      </c>
      <c r="G10" s="14" t="inlineStr">
        <is>
          <t>13:00~17:00</t>
        </is>
      </c>
      <c r="H10" s="14" t="inlineStr">
        <is>
          <t>반차</t>
        </is>
      </c>
      <c r="J10" s="33" t="inlineStr">
        <is>
          <t>근무 0730-1930</t>
        </is>
      </c>
      <c r="K10" s="33" t="inlineStr">
        <is>
          <t>오후반 0830-1400</t>
        </is>
      </c>
    </row>
    <row r="11">
      <c r="A11" s="33" t="inlineStr">
        <is>
          <t>오후반 0800-1200</t>
        </is>
      </c>
      <c r="B11" s="19" t="inlineStr">
        <is>
          <t>오후반</t>
        </is>
      </c>
      <c r="C11" s="14" t="inlineStr">
        <is>
          <t>08:00~12:00</t>
        </is>
      </c>
      <c r="D11" s="21" t="n">
        <v>4</v>
      </c>
      <c r="E11" s="21" t="n">
        <v>4</v>
      </c>
      <c r="F11" s="19" t="n">
        <v>0</v>
      </c>
      <c r="G11" s="14" t="inlineStr">
        <is>
          <t>12:00~17:00</t>
        </is>
      </c>
      <c r="H11" s="14" t="inlineStr">
        <is>
          <t>반차</t>
        </is>
      </c>
      <c r="J11" s="33" t="inlineStr">
        <is>
          <t>근무 0730-2000</t>
        </is>
      </c>
      <c r="K11" s="33" t="inlineStr">
        <is>
          <t>오전반 1300-1600</t>
        </is>
      </c>
    </row>
    <row r="12">
      <c r="A12" s="33" t="inlineStr">
        <is>
          <t>오후반 0800-1300</t>
        </is>
      </c>
      <c r="B12" s="19" t="inlineStr">
        <is>
          <t>오후반</t>
        </is>
      </c>
      <c r="C12" s="14" t="inlineStr">
        <is>
          <t>08:00~13:00</t>
        </is>
      </c>
      <c r="D12" s="21" t="n">
        <v>4</v>
      </c>
      <c r="E12" s="21" t="n">
        <v>4</v>
      </c>
      <c r="F12" s="19" t="n">
        <v>0</v>
      </c>
      <c r="G12" s="14" t="inlineStr">
        <is>
          <t>13:00~17:00</t>
        </is>
      </c>
      <c r="H12" s="14" t="inlineStr">
        <is>
          <t>반차</t>
        </is>
      </c>
      <c r="J12" s="33" t="inlineStr">
        <is>
          <t>근무 0730-2030</t>
        </is>
      </c>
      <c r="K12" s="33" t="inlineStr">
        <is>
          <t>오전반 1300-1630</t>
        </is>
      </c>
    </row>
    <row r="13">
      <c r="A13" s="33" t="inlineStr">
        <is>
          <t>오후반 0800-1330</t>
        </is>
      </c>
      <c r="B13" s="19" t="inlineStr">
        <is>
          <t>오후반</t>
        </is>
      </c>
      <c r="C13" s="14" t="inlineStr">
        <is>
          <t>08:00~13:30</t>
        </is>
      </c>
      <c r="D13" s="21" t="n">
        <v>4.5</v>
      </c>
      <c r="E13" s="21" t="n">
        <v>4</v>
      </c>
      <c r="F13" s="19" t="n">
        <v>0</v>
      </c>
      <c r="G13" s="14" t="inlineStr">
        <is>
          <t>13:30~17:30</t>
        </is>
      </c>
      <c r="H13" s="14" t="inlineStr">
        <is>
          <t>반차</t>
        </is>
      </c>
      <c r="J13" s="33" t="inlineStr">
        <is>
          <t>근무 0800-1730</t>
        </is>
      </c>
      <c r="K13" s="33" t="inlineStr">
        <is>
          <t>오전반 1300-1700</t>
        </is>
      </c>
    </row>
    <row r="14">
      <c r="A14" s="33" t="inlineStr">
        <is>
          <t>오후반 0830-1200</t>
        </is>
      </c>
      <c r="B14" s="19" t="inlineStr">
        <is>
          <t>오후반</t>
        </is>
      </c>
      <c r="C14" s="14" t="inlineStr">
        <is>
          <t>08:30~12:00</t>
        </is>
      </c>
      <c r="D14" s="21" t="n">
        <v>3.5</v>
      </c>
      <c r="E14" s="21" t="n">
        <v>4</v>
      </c>
      <c r="F14" s="19" t="n">
        <v>0</v>
      </c>
      <c r="G14" s="14" t="inlineStr">
        <is>
          <t>12:00~17:00</t>
        </is>
      </c>
      <c r="H14" s="14" t="inlineStr">
        <is>
          <t>반차</t>
        </is>
      </c>
      <c r="J14" s="33" t="inlineStr">
        <is>
          <t>근무 0800-1800</t>
        </is>
      </c>
      <c r="K14" s="33" t="inlineStr">
        <is>
          <t>오전반 1300-1730</t>
        </is>
      </c>
    </row>
    <row r="15">
      <c r="A15" s="33" t="inlineStr">
        <is>
          <t>오후반 0830-1300</t>
        </is>
      </c>
      <c r="B15" s="19" t="inlineStr">
        <is>
          <t>오후반</t>
        </is>
      </c>
      <c r="C15" s="14" t="inlineStr">
        <is>
          <t>08:30~13:00</t>
        </is>
      </c>
      <c r="D15" s="21" t="n">
        <v>3.5</v>
      </c>
      <c r="E15" s="21" t="n">
        <v>4</v>
      </c>
      <c r="F15" s="19" t="n">
        <v>0</v>
      </c>
      <c r="G15" s="14" t="inlineStr">
        <is>
          <t>13:00~17:00</t>
        </is>
      </c>
      <c r="H15" s="14" t="inlineStr">
        <is>
          <t>반차</t>
        </is>
      </c>
      <c r="J15" s="33" t="inlineStr">
        <is>
          <t>근무 0800-1830</t>
        </is>
      </c>
      <c r="K15" s="33" t="inlineStr">
        <is>
          <t>오전반 1330-1630</t>
        </is>
      </c>
    </row>
    <row r="16">
      <c r="A16" s="33" t="inlineStr">
        <is>
          <t>오후반 0830-1330</t>
        </is>
      </c>
      <c r="B16" s="19" t="inlineStr">
        <is>
          <t>오후반</t>
        </is>
      </c>
      <c r="C16" s="14" t="inlineStr">
        <is>
          <t>08:30~13:30</t>
        </is>
      </c>
      <c r="D16" s="21" t="n">
        <v>4</v>
      </c>
      <c r="E16" s="21" t="n">
        <v>4</v>
      </c>
      <c r="F16" s="19" t="n">
        <v>0</v>
      </c>
      <c r="G16" s="14" t="inlineStr">
        <is>
          <t>13:30~17:30</t>
        </is>
      </c>
      <c r="H16" s="14" t="inlineStr">
        <is>
          <t>반차</t>
        </is>
      </c>
      <c r="J16" s="33" t="inlineStr">
        <is>
          <t>근무 0800-1900</t>
        </is>
      </c>
      <c r="K16" s="33" t="inlineStr">
        <is>
          <t>오전반 1330-1700</t>
        </is>
      </c>
    </row>
    <row r="17">
      <c r="A17" s="33" t="inlineStr">
        <is>
          <t>오후반 0830-1400</t>
        </is>
      </c>
      <c r="B17" s="19" t="inlineStr">
        <is>
          <t>오후반</t>
        </is>
      </c>
      <c r="C17" s="14" t="inlineStr">
        <is>
          <t>08:30~14:00</t>
        </is>
      </c>
      <c r="D17" s="21" t="n">
        <v>4.5</v>
      </c>
      <c r="E17" s="21" t="n">
        <v>4</v>
      </c>
      <c r="F17" s="19" t="n">
        <v>0</v>
      </c>
      <c r="G17" s="14" t="inlineStr">
        <is>
          <t>14:00~18:00</t>
        </is>
      </c>
      <c r="H17" s="14" t="inlineStr">
        <is>
          <t>반차</t>
        </is>
      </c>
      <c r="J17" s="33" t="inlineStr">
        <is>
          <t>근무 0800-1930</t>
        </is>
      </c>
      <c r="K17" s="33" t="inlineStr">
        <is>
          <t>오전반 1330-1730</t>
        </is>
      </c>
    </row>
    <row r="18">
      <c r="A18" s="33" t="inlineStr">
        <is>
          <t>오전반 1300-1600</t>
        </is>
      </c>
      <c r="B18" s="19" t="inlineStr">
        <is>
          <t>오전반</t>
        </is>
      </c>
      <c r="C18" s="14" t="inlineStr">
        <is>
          <t>13:00~16:00</t>
        </is>
      </c>
      <c r="D18" s="21" t="n">
        <v>3</v>
      </c>
      <c r="E18" s="21" t="n">
        <v>4</v>
      </c>
      <c r="F18" s="19" t="n">
        <v>0</v>
      </c>
      <c r="G18" s="14" t="inlineStr">
        <is>
          <t>08:00~13:00</t>
        </is>
      </c>
      <c r="H18" s="14" t="inlineStr">
        <is>
          <t>반차</t>
        </is>
      </c>
      <c r="J18" s="33" t="inlineStr">
        <is>
          <t>근무 0800-2000</t>
        </is>
      </c>
      <c r="K18" s="33" t="inlineStr">
        <is>
          <t>오전반 1330-1800</t>
        </is>
      </c>
    </row>
    <row r="19">
      <c r="A19" s="33" t="inlineStr">
        <is>
          <t>오전반 1300-1630</t>
        </is>
      </c>
      <c r="B19" s="19" t="inlineStr">
        <is>
          <t>오전반</t>
        </is>
      </c>
      <c r="C19" s="14" t="inlineStr">
        <is>
          <t>13:00~16:30</t>
        </is>
      </c>
      <c r="D19" s="21" t="n">
        <v>3.5</v>
      </c>
      <c r="E19" s="21" t="n">
        <v>4</v>
      </c>
      <c r="F19" s="19" t="n">
        <v>0</v>
      </c>
      <c r="G19" s="14" t="inlineStr">
        <is>
          <t>08:00~13:00</t>
        </is>
      </c>
      <c r="H19" s="14" t="inlineStr">
        <is>
          <t>반차</t>
        </is>
      </c>
      <c r="J19" s="33" t="inlineStr">
        <is>
          <t>근무 0800-2030</t>
        </is>
      </c>
      <c r="K19" s="33" t="inlineStr">
        <is>
          <t>오전반 1330-1830</t>
        </is>
      </c>
    </row>
    <row r="20">
      <c r="A20" s="33" t="inlineStr">
        <is>
          <t>오전반 1300-1700</t>
        </is>
      </c>
      <c r="B20" s="19" t="inlineStr">
        <is>
          <t>오전반</t>
        </is>
      </c>
      <c r="C20" s="14" t="inlineStr">
        <is>
          <t>13:00~17:00</t>
        </is>
      </c>
      <c r="D20" s="21" t="n">
        <v>4</v>
      </c>
      <c r="E20" s="21" t="n">
        <v>4</v>
      </c>
      <c r="F20" s="19" t="n">
        <v>0</v>
      </c>
      <c r="G20" s="14" t="inlineStr">
        <is>
          <t>08:00~13:00</t>
        </is>
      </c>
      <c r="H20" s="14" t="inlineStr">
        <is>
          <t>반차</t>
        </is>
      </c>
      <c r="J20" s="33" t="inlineStr">
        <is>
          <t>근무 0830-1800</t>
        </is>
      </c>
      <c r="K20" s="33" t="inlineStr">
        <is>
          <t>오후반반 0800-1530</t>
        </is>
      </c>
    </row>
    <row r="21">
      <c r="A21" s="33" t="inlineStr">
        <is>
          <t>오전반 1300-1730</t>
        </is>
      </c>
      <c r="B21" s="19" t="inlineStr">
        <is>
          <t>오전반</t>
        </is>
      </c>
      <c r="C21" s="14" t="inlineStr">
        <is>
          <t>13:00~17:30</t>
        </is>
      </c>
      <c r="D21" s="21" t="n">
        <v>4.5</v>
      </c>
      <c r="E21" s="21" t="n">
        <v>4</v>
      </c>
      <c r="F21" s="19" t="n">
        <v>0</v>
      </c>
      <c r="G21" s="14" t="inlineStr">
        <is>
          <t>08:00~13:00</t>
        </is>
      </c>
      <c r="H21" s="14" t="inlineStr">
        <is>
          <t>반차</t>
        </is>
      </c>
      <c r="J21" s="33" t="inlineStr">
        <is>
          <t>근무 0830-1830</t>
        </is>
      </c>
      <c r="K21" s="33" t="inlineStr">
        <is>
          <t>오후반반 0830-1530</t>
        </is>
      </c>
    </row>
    <row r="22">
      <c r="A22" s="33" t="inlineStr">
        <is>
          <t>오전반 1330-1630</t>
        </is>
      </c>
      <c r="B22" s="19" t="inlineStr">
        <is>
          <t>오전반</t>
        </is>
      </c>
      <c r="C22" s="14" t="inlineStr">
        <is>
          <t>13:30~16:30</t>
        </is>
      </c>
      <c r="D22" s="21" t="n">
        <v>3</v>
      </c>
      <c r="E22" s="21" t="n">
        <v>4</v>
      </c>
      <c r="F22" s="19" t="n">
        <v>0</v>
      </c>
      <c r="G22" s="14" t="inlineStr">
        <is>
          <t>08:30~13:30</t>
        </is>
      </c>
      <c r="H22" s="14" t="inlineStr">
        <is>
          <t>반차</t>
        </is>
      </c>
      <c r="J22" s="33" t="inlineStr">
        <is>
          <t>근무 0830-1900</t>
        </is>
      </c>
      <c r="K22" s="33" t="inlineStr">
        <is>
          <t>오전반반 1030-1430</t>
        </is>
      </c>
    </row>
    <row r="23">
      <c r="A23" s="33" t="inlineStr">
        <is>
          <t>오전반 1330-1700</t>
        </is>
      </c>
      <c r="B23" s="19" t="inlineStr">
        <is>
          <t>오전반</t>
        </is>
      </c>
      <c r="C23" s="14" t="inlineStr">
        <is>
          <t>13:30~17:00</t>
        </is>
      </c>
      <c r="D23" s="21" t="n">
        <v>3.5</v>
      </c>
      <c r="E23" s="21" t="n">
        <v>4</v>
      </c>
      <c r="F23" s="19" t="n">
        <v>0</v>
      </c>
      <c r="G23" s="14" t="inlineStr">
        <is>
          <t>08:30~13:30</t>
        </is>
      </c>
      <c r="H23" s="14" t="inlineStr">
        <is>
          <t>반차</t>
        </is>
      </c>
      <c r="J23" s="33" t="inlineStr">
        <is>
          <t>근무 0830-1930</t>
        </is>
      </c>
      <c r="K23" s="33" t="inlineStr">
        <is>
          <t>오전반반 1030-1500</t>
        </is>
      </c>
    </row>
    <row r="24">
      <c r="A24" s="33" t="inlineStr">
        <is>
          <t>오전반 1330-1730</t>
        </is>
      </c>
      <c r="B24" s="19" t="inlineStr">
        <is>
          <t>오전반</t>
        </is>
      </c>
      <c r="C24" s="14" t="inlineStr">
        <is>
          <t>13:30~17:30</t>
        </is>
      </c>
      <c r="D24" s="21" t="n">
        <v>4</v>
      </c>
      <c r="E24" s="21" t="n">
        <v>4</v>
      </c>
      <c r="F24" s="19" t="n">
        <v>0</v>
      </c>
      <c r="G24" s="14" t="inlineStr">
        <is>
          <t>08:30~13:30</t>
        </is>
      </c>
      <c r="H24" s="14" t="inlineStr">
        <is>
          <t>반차</t>
        </is>
      </c>
      <c r="J24" s="33" t="inlineStr">
        <is>
          <t>근무 0830-2000</t>
        </is>
      </c>
      <c r="K24" s="33" t="inlineStr">
        <is>
          <t>오전반반 1030-1530</t>
        </is>
      </c>
    </row>
    <row r="25">
      <c r="A25" s="33" t="inlineStr">
        <is>
          <t>오전반 1330-1800</t>
        </is>
      </c>
      <c r="B25" s="19" t="inlineStr">
        <is>
          <t>오전반</t>
        </is>
      </c>
      <c r="C25" s="14" t="inlineStr">
        <is>
          <t>13:30~18:00</t>
        </is>
      </c>
      <c r="D25" s="21" t="n">
        <v>4.5</v>
      </c>
      <c r="E25" s="21" t="n">
        <v>4</v>
      </c>
      <c r="F25" s="19" t="n">
        <v>0</v>
      </c>
      <c r="G25" s="14" t="inlineStr">
        <is>
          <t>08:30~13:30</t>
        </is>
      </c>
      <c r="H25" s="14" t="inlineStr">
        <is>
          <t>반차</t>
        </is>
      </c>
      <c r="J25" s="33" t="inlineStr">
        <is>
          <t>근무 0830-2030</t>
        </is>
      </c>
      <c r="K25" s="33" t="inlineStr">
        <is>
          <t>오전반반 1030-1600</t>
        </is>
      </c>
    </row>
    <row r="26">
      <c r="A26" s="33" t="inlineStr">
        <is>
          <t>오전반 1330-1830</t>
        </is>
      </c>
      <c r="B26" s="19" t="inlineStr">
        <is>
          <t>오전반</t>
        </is>
      </c>
      <c r="C26" s="14" t="inlineStr">
        <is>
          <t>13:30~18:30</t>
        </is>
      </c>
      <c r="D26" s="21" t="n">
        <v>4.5</v>
      </c>
      <c r="E26" s="21" t="n">
        <v>4</v>
      </c>
      <c r="F26" s="19" t="n">
        <v>0</v>
      </c>
      <c r="G26" s="14" t="inlineStr">
        <is>
          <t>08:30~13:30</t>
        </is>
      </c>
      <c r="H26" s="14" t="inlineStr">
        <is>
          <t>반차</t>
        </is>
      </c>
      <c r="K26" s="33" t="inlineStr">
        <is>
          <t>오전반반 1030-1630</t>
        </is>
      </c>
    </row>
    <row r="27">
      <c r="A27" s="33" t="inlineStr">
        <is>
          <t>오후반반 0800-1530</t>
        </is>
      </c>
      <c r="B27" s="19" t="inlineStr">
        <is>
          <t>오후반반</t>
        </is>
      </c>
      <c r="C27" s="14" t="inlineStr">
        <is>
          <t>08:00~15:30</t>
        </is>
      </c>
      <c r="D27" s="21" t="n">
        <v>6.5</v>
      </c>
      <c r="E27" s="21" t="n">
        <v>2</v>
      </c>
      <c r="F27" s="19" t="n">
        <v>0</v>
      </c>
      <c r="G27" s="14" t="inlineStr">
        <is>
          <t>15:30~17:30</t>
        </is>
      </c>
      <c r="H27" s="14" t="inlineStr">
        <is>
          <t>반반차</t>
        </is>
      </c>
      <c r="K27" s="33" t="inlineStr">
        <is>
          <t>오전반반 1030-1700</t>
        </is>
      </c>
    </row>
    <row r="28">
      <c r="A28" s="33" t="inlineStr">
        <is>
          <t>오후반반 0830-1530</t>
        </is>
      </c>
      <c r="B28" s="19" t="inlineStr">
        <is>
          <t>오후반반</t>
        </is>
      </c>
      <c r="C28" s="14" t="inlineStr">
        <is>
          <t>08:30~15:30</t>
        </is>
      </c>
      <c r="D28" s="21" t="n">
        <v>6</v>
      </c>
      <c r="E28" s="21" t="n">
        <v>2</v>
      </c>
      <c r="F28" s="19" t="n">
        <v>0</v>
      </c>
      <c r="G28" s="14" t="inlineStr">
        <is>
          <t>15:30~17:30</t>
        </is>
      </c>
      <c r="H28" s="14" t="inlineStr">
        <is>
          <t>반반차</t>
        </is>
      </c>
      <c r="K28" s="33" t="inlineStr">
        <is>
          <t>오전반반 1030-1730</t>
        </is>
      </c>
    </row>
    <row r="29">
      <c r="A29" s="33" t="inlineStr">
        <is>
          <t>오전반반 1030-1430</t>
        </is>
      </c>
      <c r="B29" s="19" t="inlineStr">
        <is>
          <t>오전반반</t>
        </is>
      </c>
      <c r="C29" s="14" t="inlineStr">
        <is>
          <t>10:30~14:30</t>
        </is>
      </c>
      <c r="D29" s="21" t="n">
        <v>3</v>
      </c>
      <c r="E29" s="21" t="n">
        <v>2</v>
      </c>
      <c r="F29" s="19" t="n">
        <v>0</v>
      </c>
      <c r="G29" s="14" t="inlineStr">
        <is>
          <t>08:30~10:30</t>
        </is>
      </c>
      <c r="H29" s="14" t="inlineStr">
        <is>
          <t>반반차</t>
        </is>
      </c>
      <c r="K29" s="33" t="inlineStr">
        <is>
          <t>오전반반 1030-1800</t>
        </is>
      </c>
    </row>
    <row r="30">
      <c r="A30" s="33" t="inlineStr">
        <is>
          <t>오전반반 1030-1500</t>
        </is>
      </c>
      <c r="B30" s="19" t="inlineStr">
        <is>
          <t>오전반반</t>
        </is>
      </c>
      <c r="C30" s="14" t="inlineStr">
        <is>
          <t>10:30~15:00</t>
        </is>
      </c>
      <c r="D30" s="21" t="n">
        <v>3.5</v>
      </c>
      <c r="E30" s="21" t="n">
        <v>2</v>
      </c>
      <c r="F30" s="19" t="n">
        <v>0</v>
      </c>
      <c r="G30" s="14" t="inlineStr">
        <is>
          <t>08:30~10:30</t>
        </is>
      </c>
      <c r="H30" s="14" t="inlineStr">
        <is>
          <t>반반차</t>
        </is>
      </c>
      <c r="K30" s="33" t="inlineStr">
        <is>
          <t>오전반반 1030-1830</t>
        </is>
      </c>
    </row>
    <row r="31">
      <c r="A31" s="33" t="inlineStr">
        <is>
          <t>오전반반 1030-1530</t>
        </is>
      </c>
      <c r="B31" s="19" t="inlineStr">
        <is>
          <t>오전반반</t>
        </is>
      </c>
      <c r="C31" s="14" t="inlineStr">
        <is>
          <t>10:30~15:30</t>
        </is>
      </c>
      <c r="D31" s="21" t="n">
        <v>4</v>
      </c>
      <c r="E31" s="21" t="n">
        <v>2</v>
      </c>
      <c r="F31" s="19" t="n">
        <v>0</v>
      </c>
      <c r="G31" s="14" t="inlineStr">
        <is>
          <t>08:30~10:30</t>
        </is>
      </c>
      <c r="H31" s="14" t="inlineStr">
        <is>
          <t>반반차</t>
        </is>
      </c>
      <c r="K31" s="33" t="inlineStr">
        <is>
          <t>근무 0730-1130</t>
        </is>
      </c>
    </row>
    <row r="32">
      <c r="A32" s="33" t="inlineStr">
        <is>
          <t>오전반반 1030-1600</t>
        </is>
      </c>
      <c r="B32" s="19" t="inlineStr">
        <is>
          <t>오전반반</t>
        </is>
      </c>
      <c r="C32" s="14" t="inlineStr">
        <is>
          <t>10:30~16:00</t>
        </is>
      </c>
      <c r="D32" s="21" t="n">
        <v>4.5</v>
      </c>
      <c r="E32" s="21" t="n">
        <v>2</v>
      </c>
      <c r="F32" s="19" t="n">
        <v>0</v>
      </c>
      <c r="G32" s="14" t="inlineStr">
        <is>
          <t>08:30~10:30</t>
        </is>
      </c>
      <c r="H32" s="14" t="inlineStr">
        <is>
          <t>반반차</t>
        </is>
      </c>
      <c r="K32" s="33" t="inlineStr">
        <is>
          <t>근무 0730-1200</t>
        </is>
      </c>
    </row>
    <row r="33">
      <c r="A33" s="33" t="inlineStr">
        <is>
          <t>오전반반 1030-1630</t>
        </is>
      </c>
      <c r="B33" s="19" t="inlineStr">
        <is>
          <t>오전반반</t>
        </is>
      </c>
      <c r="C33" s="14" t="inlineStr">
        <is>
          <t>10:30~16:30</t>
        </is>
      </c>
      <c r="D33" s="21" t="n">
        <v>5</v>
      </c>
      <c r="E33" s="21" t="n">
        <v>2</v>
      </c>
      <c r="F33" s="19" t="n">
        <v>0</v>
      </c>
      <c r="G33" s="14" t="inlineStr">
        <is>
          <t>08:30~10:30</t>
        </is>
      </c>
      <c r="H33" s="14" t="inlineStr">
        <is>
          <t>반반차</t>
        </is>
      </c>
      <c r="K33" s="33" t="inlineStr">
        <is>
          <t>근무 0730-1300</t>
        </is>
      </c>
    </row>
    <row r="34">
      <c r="A34" s="33" t="inlineStr">
        <is>
          <t>오전반반 1030-1700</t>
        </is>
      </c>
      <c r="B34" s="19" t="inlineStr">
        <is>
          <t>오전반반</t>
        </is>
      </c>
      <c r="C34" s="14" t="inlineStr">
        <is>
          <t>10:30~17:00</t>
        </is>
      </c>
      <c r="D34" s="21" t="n">
        <v>5.5</v>
      </c>
      <c r="E34" s="21" t="n">
        <v>2</v>
      </c>
      <c r="F34" s="19" t="n">
        <v>0</v>
      </c>
      <c r="G34" s="14" t="inlineStr">
        <is>
          <t>08:30~10:30</t>
        </is>
      </c>
      <c r="H34" s="14" t="inlineStr">
        <is>
          <t>반반차</t>
        </is>
      </c>
      <c r="K34" s="33" t="inlineStr">
        <is>
          <t>근무 0730-1330</t>
        </is>
      </c>
    </row>
    <row r="35">
      <c r="A35" s="33" t="inlineStr">
        <is>
          <t>오전반반 1030-1730</t>
        </is>
      </c>
      <c r="B35" s="19" t="inlineStr">
        <is>
          <t>오전반반</t>
        </is>
      </c>
      <c r="C35" s="14" t="inlineStr">
        <is>
          <t>10:30~17:30</t>
        </is>
      </c>
      <c r="D35" s="21" t="n">
        <v>6</v>
      </c>
      <c r="E35" s="21" t="n">
        <v>2</v>
      </c>
      <c r="F35" s="19" t="n">
        <v>0</v>
      </c>
      <c r="G35" s="14" t="inlineStr">
        <is>
          <t>08:30~10:30</t>
        </is>
      </c>
      <c r="H35" s="14" t="inlineStr">
        <is>
          <t>반반차</t>
        </is>
      </c>
      <c r="K35" s="33" t="inlineStr">
        <is>
          <t>근무 0730-1400</t>
        </is>
      </c>
    </row>
    <row r="36">
      <c r="A36" s="33" t="inlineStr">
        <is>
          <t>오전반반 1030-1800</t>
        </is>
      </c>
      <c r="B36" s="19" t="inlineStr">
        <is>
          <t>오전반반</t>
        </is>
      </c>
      <c r="C36" s="14" t="inlineStr">
        <is>
          <t>10:30~18:00</t>
        </is>
      </c>
      <c r="D36" s="21" t="n">
        <v>6.5</v>
      </c>
      <c r="E36" s="21" t="n">
        <v>2</v>
      </c>
      <c r="F36" s="19" t="n">
        <v>0</v>
      </c>
      <c r="G36" s="14" t="inlineStr">
        <is>
          <t>08:30~10:30</t>
        </is>
      </c>
      <c r="H36" s="14" t="inlineStr">
        <is>
          <t>반반차</t>
        </is>
      </c>
      <c r="K36" s="33" t="inlineStr">
        <is>
          <t>근무 0730-1430</t>
        </is>
      </c>
    </row>
    <row r="37">
      <c r="A37" s="33" t="inlineStr">
        <is>
          <t>오전반반 1030-1830</t>
        </is>
      </c>
      <c r="B37" s="19" t="inlineStr">
        <is>
          <t>오전반반</t>
        </is>
      </c>
      <c r="C37" s="14" t="inlineStr">
        <is>
          <t>10:30~18:30</t>
        </is>
      </c>
      <c r="D37" s="21" t="n">
        <v>6.5</v>
      </c>
      <c r="E37" s="21" t="n">
        <v>2</v>
      </c>
      <c r="F37" s="19" t="n">
        <v>0</v>
      </c>
      <c r="G37" s="14" t="inlineStr">
        <is>
          <t>08:30~10:30</t>
        </is>
      </c>
      <c r="H37" s="14" t="inlineStr">
        <is>
          <t>반반차</t>
        </is>
      </c>
      <c r="K37" s="33" t="inlineStr">
        <is>
          <t>근무 0730-1500</t>
        </is>
      </c>
    </row>
    <row r="38">
      <c r="A38" s="33" t="inlineStr">
        <is>
          <t>검진 0730-1200</t>
        </is>
      </c>
      <c r="B38" s="19" t="inlineStr">
        <is>
          <t>검진</t>
        </is>
      </c>
      <c r="C38" s="14" t="inlineStr">
        <is>
          <t>07:30~12:00</t>
        </is>
      </c>
      <c r="D38" s="21" t="n">
        <v>4.5</v>
      </c>
      <c r="E38" s="21" t="n">
        <v>4</v>
      </c>
      <c r="F38" s="19" t="n">
        <v>0</v>
      </c>
      <c r="G38" s="14" t="inlineStr">
        <is>
          <t>12:00~17:00</t>
        </is>
      </c>
      <c r="H38" s="14" t="inlineStr">
        <is>
          <t>건강검진</t>
        </is>
      </c>
      <c r="K38" s="33" t="inlineStr">
        <is>
          <t>근무 0730-1530</t>
        </is>
      </c>
    </row>
    <row r="39">
      <c r="A39" s="33" t="inlineStr">
        <is>
          <t>검진 0730-1300</t>
        </is>
      </c>
      <c r="B39" s="19" t="inlineStr">
        <is>
          <t>검진</t>
        </is>
      </c>
      <c r="C39" s="14" t="inlineStr">
        <is>
          <t>07:30~13:00</t>
        </is>
      </c>
      <c r="D39" s="21" t="n">
        <v>4.5</v>
      </c>
      <c r="E39" s="21" t="n">
        <v>4</v>
      </c>
      <c r="F39" s="19" t="n">
        <v>0</v>
      </c>
      <c r="G39" s="14" t="inlineStr">
        <is>
          <t>13:00~17:00</t>
        </is>
      </c>
      <c r="H39" s="14" t="inlineStr">
        <is>
          <t>건강검진</t>
        </is>
      </c>
      <c r="K39" s="33" t="inlineStr">
        <is>
          <t>근무 0730-1600</t>
        </is>
      </c>
    </row>
    <row r="40">
      <c r="A40" s="33" t="inlineStr">
        <is>
          <t>검진 0800-1200</t>
        </is>
      </c>
      <c r="B40" s="19" t="inlineStr">
        <is>
          <t>검진</t>
        </is>
      </c>
      <c r="C40" s="14" t="inlineStr">
        <is>
          <t>08:00~12:00</t>
        </is>
      </c>
      <c r="D40" s="21" t="n">
        <v>4</v>
      </c>
      <c r="E40" s="21" t="n">
        <v>4</v>
      </c>
      <c r="F40" s="19" t="n">
        <v>0</v>
      </c>
      <c r="G40" s="14" t="inlineStr">
        <is>
          <t>12:00~17:00</t>
        </is>
      </c>
      <c r="H40" s="14" t="inlineStr">
        <is>
          <t>건강검진</t>
        </is>
      </c>
      <c r="K40" s="33" t="inlineStr">
        <is>
          <t>근무 0800-1130</t>
        </is>
      </c>
    </row>
    <row r="41">
      <c r="A41" s="33" t="inlineStr">
        <is>
          <t>검진 0800-1300</t>
        </is>
      </c>
      <c r="B41" s="19" t="inlineStr">
        <is>
          <t>검진</t>
        </is>
      </c>
      <c r="C41" s="14" t="inlineStr">
        <is>
          <t>08:00~13:00</t>
        </is>
      </c>
      <c r="D41" s="21" t="n">
        <v>4</v>
      </c>
      <c r="E41" s="21" t="n">
        <v>4</v>
      </c>
      <c r="F41" s="19" t="n">
        <v>0</v>
      </c>
      <c r="G41" s="14" t="inlineStr">
        <is>
          <t>13:00~17:00</t>
        </is>
      </c>
      <c r="H41" s="14" t="inlineStr">
        <is>
          <t>건강검진</t>
        </is>
      </c>
      <c r="K41" s="33" t="inlineStr">
        <is>
          <t>근무 0800-1200</t>
        </is>
      </c>
    </row>
    <row r="42">
      <c r="A42" s="33" t="inlineStr">
        <is>
          <t>검진 0800-1330</t>
        </is>
      </c>
      <c r="B42" s="19" t="inlineStr">
        <is>
          <t>검진</t>
        </is>
      </c>
      <c r="C42" s="14" t="inlineStr">
        <is>
          <t>08:00~13:30</t>
        </is>
      </c>
      <c r="D42" s="21" t="n">
        <v>4.5</v>
      </c>
      <c r="E42" s="21" t="n">
        <v>4</v>
      </c>
      <c r="F42" s="19" t="n">
        <v>0</v>
      </c>
      <c r="G42" s="14" t="inlineStr">
        <is>
          <t>13:30~17:30</t>
        </is>
      </c>
      <c r="H42" s="14" t="inlineStr">
        <is>
          <t>건강검진</t>
        </is>
      </c>
      <c r="K42" s="33" t="inlineStr">
        <is>
          <t>근무 0800-1300</t>
        </is>
      </c>
    </row>
    <row r="43">
      <c r="A43" s="33" t="inlineStr">
        <is>
          <t>검진 0830-1200</t>
        </is>
      </c>
      <c r="B43" s="19" t="inlineStr">
        <is>
          <t>검진</t>
        </is>
      </c>
      <c r="C43" s="14" t="inlineStr">
        <is>
          <t>08:30~12:00</t>
        </is>
      </c>
      <c r="D43" s="21" t="n">
        <v>3.5</v>
      </c>
      <c r="E43" s="21" t="n">
        <v>4</v>
      </c>
      <c r="F43" s="19" t="n">
        <v>0</v>
      </c>
      <c r="G43" s="14" t="inlineStr">
        <is>
          <t>12:00~17:00</t>
        </is>
      </c>
      <c r="H43" s="14" t="inlineStr">
        <is>
          <t>건강검진</t>
        </is>
      </c>
      <c r="K43" s="33" t="inlineStr">
        <is>
          <t>근무 0800-1330</t>
        </is>
      </c>
    </row>
    <row r="44">
      <c r="A44" s="33" t="inlineStr">
        <is>
          <t>검진 0830-1300</t>
        </is>
      </c>
      <c r="B44" s="19" t="inlineStr">
        <is>
          <t>검진</t>
        </is>
      </c>
      <c r="C44" s="14" t="inlineStr">
        <is>
          <t>08:30~13:00</t>
        </is>
      </c>
      <c r="D44" s="21" t="n">
        <v>3.5</v>
      </c>
      <c r="E44" s="21" t="n">
        <v>4</v>
      </c>
      <c r="F44" s="19" t="n">
        <v>0</v>
      </c>
      <c r="G44" s="14" t="inlineStr">
        <is>
          <t>13:00~17:00</t>
        </is>
      </c>
      <c r="H44" s="14" t="inlineStr">
        <is>
          <t>건강검진</t>
        </is>
      </c>
      <c r="K44" s="33" t="inlineStr">
        <is>
          <t>근무 0800-1400</t>
        </is>
      </c>
    </row>
    <row r="45">
      <c r="A45" s="33" t="inlineStr">
        <is>
          <t>검진 0830-1330</t>
        </is>
      </c>
      <c r="B45" s="19" t="inlineStr">
        <is>
          <t>검진</t>
        </is>
      </c>
      <c r="C45" s="14" t="inlineStr">
        <is>
          <t>08:30~13:30</t>
        </is>
      </c>
      <c r="D45" s="21" t="n">
        <v>4</v>
      </c>
      <c r="E45" s="21" t="n">
        <v>4</v>
      </c>
      <c r="F45" s="19" t="n">
        <v>0</v>
      </c>
      <c r="G45" s="14" t="inlineStr">
        <is>
          <t>13:30~17:30</t>
        </is>
      </c>
      <c r="H45" s="14" t="inlineStr">
        <is>
          <t>건강검진</t>
        </is>
      </c>
      <c r="K45" s="33" t="inlineStr">
        <is>
          <t>근무 0800-1430</t>
        </is>
      </c>
    </row>
    <row r="46">
      <c r="A46" s="33" t="inlineStr">
        <is>
          <t>검진 0830-1400</t>
        </is>
      </c>
      <c r="B46" s="19" t="inlineStr">
        <is>
          <t>검진</t>
        </is>
      </c>
      <c r="C46" s="14" t="inlineStr">
        <is>
          <t>08:30~14:00</t>
        </is>
      </c>
      <c r="D46" s="21" t="n">
        <v>4.5</v>
      </c>
      <c r="E46" s="21" t="n">
        <v>4</v>
      </c>
      <c r="F46" s="19" t="n">
        <v>0</v>
      </c>
      <c r="G46" s="14" t="inlineStr">
        <is>
          <t>14:00~18:00</t>
        </is>
      </c>
      <c r="H46" s="14" t="inlineStr">
        <is>
          <t>건강검진</t>
        </is>
      </c>
      <c r="K46" s="33" t="inlineStr">
        <is>
          <t>근무 0800-1500</t>
        </is>
      </c>
    </row>
    <row r="47">
      <c r="A47" s="33" t="inlineStr">
        <is>
          <t>검진 1300-1600</t>
        </is>
      </c>
      <c r="B47" s="19" t="inlineStr">
        <is>
          <t>검진</t>
        </is>
      </c>
      <c r="C47" s="14" t="inlineStr">
        <is>
          <t>13:00~16:00</t>
        </is>
      </c>
      <c r="D47" s="21" t="n">
        <v>3</v>
      </c>
      <c r="E47" s="21" t="n">
        <v>4</v>
      </c>
      <c r="F47" s="19" t="n">
        <v>0</v>
      </c>
      <c r="G47" s="14" t="inlineStr">
        <is>
          <t>08:00~13:00</t>
        </is>
      </c>
      <c r="H47" s="14" t="inlineStr">
        <is>
          <t>건강검진</t>
        </is>
      </c>
      <c r="K47" s="33" t="inlineStr">
        <is>
          <t>근무 0800-1530</t>
        </is>
      </c>
    </row>
    <row r="48">
      <c r="A48" s="33" t="inlineStr">
        <is>
          <t>검진 1300-1630</t>
        </is>
      </c>
      <c r="B48" s="19" t="inlineStr">
        <is>
          <t>검진</t>
        </is>
      </c>
      <c r="C48" s="14" t="inlineStr">
        <is>
          <t>13:00~16:30</t>
        </is>
      </c>
      <c r="D48" s="21" t="n">
        <v>3.5</v>
      </c>
      <c r="E48" s="21" t="n">
        <v>4</v>
      </c>
      <c r="F48" s="19" t="n">
        <v>0</v>
      </c>
      <c r="G48" s="14" t="inlineStr">
        <is>
          <t>08:00~13:00</t>
        </is>
      </c>
      <c r="H48" s="14" t="inlineStr">
        <is>
          <t>건강검진</t>
        </is>
      </c>
      <c r="K48" s="33" t="inlineStr">
        <is>
          <t>근무 0800-1600</t>
        </is>
      </c>
    </row>
    <row r="49">
      <c r="A49" s="33" t="inlineStr">
        <is>
          <t>검진 1300-1700</t>
        </is>
      </c>
      <c r="B49" s="19" t="inlineStr">
        <is>
          <t>검진</t>
        </is>
      </c>
      <c r="C49" s="14" t="inlineStr">
        <is>
          <t>13:00~17:00</t>
        </is>
      </c>
      <c r="D49" s="21" t="n">
        <v>4</v>
      </c>
      <c r="E49" s="21" t="n">
        <v>4</v>
      </c>
      <c r="F49" s="19" t="n">
        <v>0</v>
      </c>
      <c r="G49" s="14" t="inlineStr">
        <is>
          <t>08:00~13:00</t>
        </is>
      </c>
      <c r="H49" s="14" t="inlineStr">
        <is>
          <t>건강검진</t>
        </is>
      </c>
      <c r="K49" s="33" t="inlineStr">
        <is>
          <t>근무 0800-1630</t>
        </is>
      </c>
    </row>
    <row r="50">
      <c r="A50" s="33" t="inlineStr">
        <is>
          <t>검진 1300-1730</t>
        </is>
      </c>
      <c r="B50" s="19" t="inlineStr">
        <is>
          <t>검진</t>
        </is>
      </c>
      <c r="C50" s="14" t="inlineStr">
        <is>
          <t>13:00~17:30</t>
        </is>
      </c>
      <c r="D50" s="21" t="n">
        <v>4.5</v>
      </c>
      <c r="E50" s="21" t="n">
        <v>4</v>
      </c>
      <c r="F50" s="19" t="n">
        <v>0</v>
      </c>
      <c r="G50" s="14" t="inlineStr">
        <is>
          <t>08:00~13:00</t>
        </is>
      </c>
      <c r="H50" s="14" t="inlineStr">
        <is>
          <t>건강검진</t>
        </is>
      </c>
      <c r="K50" s="33" t="inlineStr">
        <is>
          <t>근무 0830-1130</t>
        </is>
      </c>
    </row>
    <row r="51">
      <c r="A51" s="33" t="inlineStr">
        <is>
          <t>검진 1330-1630</t>
        </is>
      </c>
      <c r="B51" s="19" t="inlineStr">
        <is>
          <t>검진</t>
        </is>
      </c>
      <c r="C51" s="14" t="inlineStr">
        <is>
          <t>13:30~16:30</t>
        </is>
      </c>
      <c r="D51" s="21" t="n">
        <v>3</v>
      </c>
      <c r="E51" s="21" t="n">
        <v>4</v>
      </c>
      <c r="F51" s="19" t="n">
        <v>0</v>
      </c>
      <c r="G51" s="14" t="inlineStr">
        <is>
          <t>08:30~13:30</t>
        </is>
      </c>
      <c r="H51" s="14" t="inlineStr">
        <is>
          <t>건강검진</t>
        </is>
      </c>
      <c r="K51" s="33" t="inlineStr">
        <is>
          <t>근무 0830-1200</t>
        </is>
      </c>
    </row>
    <row r="52">
      <c r="A52" s="33" t="inlineStr">
        <is>
          <t>검진 1330-1700</t>
        </is>
      </c>
      <c r="B52" s="19" t="inlineStr">
        <is>
          <t>검진</t>
        </is>
      </c>
      <c r="C52" s="14" t="inlineStr">
        <is>
          <t>13:30~17:00</t>
        </is>
      </c>
      <c r="D52" s="21" t="n">
        <v>3.5</v>
      </c>
      <c r="E52" s="21" t="n">
        <v>4</v>
      </c>
      <c r="F52" s="19" t="n">
        <v>0</v>
      </c>
      <c r="G52" s="14" t="inlineStr">
        <is>
          <t>08:30~13:30</t>
        </is>
      </c>
      <c r="H52" s="14" t="inlineStr">
        <is>
          <t>건강검진</t>
        </is>
      </c>
      <c r="K52" s="33" t="inlineStr">
        <is>
          <t>근무 0830-1300</t>
        </is>
      </c>
    </row>
    <row r="53">
      <c r="A53" s="33" t="inlineStr">
        <is>
          <t>검진 1330-1730</t>
        </is>
      </c>
      <c r="B53" s="19" t="inlineStr">
        <is>
          <t>검진</t>
        </is>
      </c>
      <c r="C53" s="14" t="inlineStr">
        <is>
          <t>13:30~17:30</t>
        </is>
      </c>
      <c r="D53" s="21" t="n">
        <v>4</v>
      </c>
      <c r="E53" s="21" t="n">
        <v>4</v>
      </c>
      <c r="F53" s="19" t="n">
        <v>0</v>
      </c>
      <c r="G53" s="14" t="inlineStr">
        <is>
          <t>08:30~13:30</t>
        </is>
      </c>
      <c r="H53" s="14" t="inlineStr">
        <is>
          <t>건강검진</t>
        </is>
      </c>
      <c r="K53" s="33" t="inlineStr">
        <is>
          <t>근무 0830-1330</t>
        </is>
      </c>
    </row>
    <row r="54">
      <c r="A54" s="33" t="inlineStr">
        <is>
          <t>검진 1330-1800</t>
        </is>
      </c>
      <c r="B54" s="19" t="inlineStr">
        <is>
          <t>검진</t>
        </is>
      </c>
      <c r="C54" s="14" t="inlineStr">
        <is>
          <t>13:30~18:00</t>
        </is>
      </c>
      <c r="D54" s="21" t="n">
        <v>4.5</v>
      </c>
      <c r="E54" s="21" t="n">
        <v>4</v>
      </c>
      <c r="F54" s="19" t="n">
        <v>0</v>
      </c>
      <c r="G54" s="14" t="inlineStr">
        <is>
          <t>08:30~13:30</t>
        </is>
      </c>
      <c r="H54" s="14" t="inlineStr">
        <is>
          <t>건강검진</t>
        </is>
      </c>
      <c r="K54" s="33" t="inlineStr">
        <is>
          <t>근무 0830-1400</t>
        </is>
      </c>
    </row>
    <row r="55">
      <c r="A55" s="33" t="inlineStr">
        <is>
          <t>검진 1330-1830</t>
        </is>
      </c>
      <c r="B55" s="19" t="inlineStr">
        <is>
          <t>검진</t>
        </is>
      </c>
      <c r="C55" s="14" t="inlineStr">
        <is>
          <t>13:30~18:30</t>
        </is>
      </c>
      <c r="D55" s="21" t="n">
        <v>4.5</v>
      </c>
      <c r="E55" s="21" t="n">
        <v>4</v>
      </c>
      <c r="F55" s="19" t="n">
        <v>0</v>
      </c>
      <c r="G55" s="14" t="inlineStr">
        <is>
          <t>08:30~13:30</t>
        </is>
      </c>
      <c r="H55" s="14" t="inlineStr">
        <is>
          <t>건강검진</t>
        </is>
      </c>
      <c r="K55" s="33" t="inlineStr">
        <is>
          <t>근무 0830-1430</t>
        </is>
      </c>
    </row>
    <row r="56">
      <c r="A56" s="33" t="inlineStr">
        <is>
          <t>근무 0730-1130</t>
        </is>
      </c>
      <c r="B56" s="19" t="inlineStr">
        <is>
          <t>근무</t>
        </is>
      </c>
      <c r="C56" s="14" t="inlineStr">
        <is>
          <t>07:30~11:30</t>
        </is>
      </c>
      <c r="D56" s="21" t="n">
        <v>4</v>
      </c>
      <c r="E56" s="21" t="n">
        <v>0</v>
      </c>
      <c r="F56" s="19" t="n">
        <v>0</v>
      </c>
      <c r="G56" s="14" t="inlineStr"/>
      <c r="H56" s="14" t="inlineStr">
        <is>
          <t>근무</t>
        </is>
      </c>
      <c r="K56" s="33" t="inlineStr">
        <is>
          <t>근무 0830-1500</t>
        </is>
      </c>
    </row>
    <row r="57">
      <c r="A57" s="33" t="inlineStr">
        <is>
          <t>근무 0730-1200</t>
        </is>
      </c>
      <c r="B57" s="19" t="inlineStr">
        <is>
          <t>근무</t>
        </is>
      </c>
      <c r="C57" s="14" t="inlineStr">
        <is>
          <t>07:30~12:00</t>
        </is>
      </c>
      <c r="D57" s="21" t="n">
        <v>4.5</v>
      </c>
      <c r="E57" s="21" t="n">
        <v>0</v>
      </c>
      <c r="F57" s="19" t="n">
        <v>0</v>
      </c>
      <c r="G57" s="14" t="inlineStr"/>
      <c r="H57" s="14" t="inlineStr">
        <is>
          <t>근무</t>
        </is>
      </c>
      <c r="K57" s="33" t="inlineStr">
        <is>
          <t>근무 0830-1530</t>
        </is>
      </c>
    </row>
    <row r="58">
      <c r="A58" s="33" t="inlineStr">
        <is>
          <t>근무 0730-1300</t>
        </is>
      </c>
      <c r="B58" s="19" t="inlineStr">
        <is>
          <t>근무</t>
        </is>
      </c>
      <c r="C58" s="14" t="inlineStr">
        <is>
          <t>07:30~13:00</t>
        </is>
      </c>
      <c r="D58" s="21" t="n">
        <v>4.5</v>
      </c>
      <c r="E58" s="21" t="n">
        <v>0</v>
      </c>
      <c r="F58" s="19" t="n">
        <v>0</v>
      </c>
      <c r="G58" s="14" t="inlineStr"/>
      <c r="H58" s="14" t="inlineStr">
        <is>
          <t>근무</t>
        </is>
      </c>
      <c r="K58" s="33" t="inlineStr">
        <is>
          <t>근무 0830-1600</t>
        </is>
      </c>
    </row>
    <row r="59">
      <c r="A59" s="33" t="inlineStr">
        <is>
          <t>근무 0730-1330</t>
        </is>
      </c>
      <c r="B59" s="19" t="inlineStr">
        <is>
          <t>근무</t>
        </is>
      </c>
      <c r="C59" s="14" t="inlineStr">
        <is>
          <t>07:30~13:30</t>
        </is>
      </c>
      <c r="D59" s="21" t="n">
        <v>5</v>
      </c>
      <c r="E59" s="21" t="n">
        <v>0</v>
      </c>
      <c r="F59" s="19" t="n">
        <v>0</v>
      </c>
      <c r="G59" s="14" t="inlineStr"/>
      <c r="H59" s="14" t="inlineStr">
        <is>
          <t>근무</t>
        </is>
      </c>
      <c r="K59" s="33" t="inlineStr">
        <is>
          <t>근무 0830-1630</t>
        </is>
      </c>
    </row>
    <row r="60">
      <c r="A60" s="33" t="inlineStr">
        <is>
          <t>근무 0730-1400</t>
        </is>
      </c>
      <c r="B60" s="19" t="inlineStr">
        <is>
          <t>근무</t>
        </is>
      </c>
      <c r="C60" s="14" t="inlineStr">
        <is>
          <t>07:30~14:00</t>
        </is>
      </c>
      <c r="D60" s="21" t="n">
        <v>5.5</v>
      </c>
      <c r="E60" s="21" t="n">
        <v>0</v>
      </c>
      <c r="F60" s="19" t="n">
        <v>0</v>
      </c>
      <c r="G60" s="14" t="inlineStr"/>
      <c r="H60" s="14" t="inlineStr">
        <is>
          <t>근무</t>
        </is>
      </c>
      <c r="K60" s="33" t="inlineStr">
        <is>
          <t>근무 0830-1700</t>
        </is>
      </c>
    </row>
    <row r="61">
      <c r="A61" s="33" t="inlineStr">
        <is>
          <t>근무 0730-1430</t>
        </is>
      </c>
      <c r="B61" s="19" t="inlineStr">
        <is>
          <t>근무</t>
        </is>
      </c>
      <c r="C61" s="14" t="inlineStr">
        <is>
          <t>07:30~14:30</t>
        </is>
      </c>
      <c r="D61" s="21" t="n">
        <v>6</v>
      </c>
      <c r="E61" s="21" t="n">
        <v>0</v>
      </c>
      <c r="F61" s="19" t="n">
        <v>0</v>
      </c>
      <c r="G61" s="14" t="inlineStr"/>
      <c r="H61" s="14" t="inlineStr">
        <is>
          <t>근무</t>
        </is>
      </c>
    </row>
    <row r="62">
      <c r="A62" s="33" t="inlineStr">
        <is>
          <t>근무 0730-1500</t>
        </is>
      </c>
      <c r="B62" s="19" t="inlineStr">
        <is>
          <t>근무</t>
        </is>
      </c>
      <c r="C62" s="14" t="inlineStr">
        <is>
          <t>07:30~15:00</t>
        </is>
      </c>
      <c r="D62" s="21" t="n">
        <v>6.5</v>
      </c>
      <c r="E62" s="21" t="n">
        <v>0</v>
      </c>
      <c r="F62" s="19" t="n">
        <v>0</v>
      </c>
      <c r="G62" s="14" t="inlineStr"/>
      <c r="H62" s="14" t="inlineStr">
        <is>
          <t>근무</t>
        </is>
      </c>
    </row>
    <row r="63">
      <c r="A63" s="33" t="inlineStr">
        <is>
          <t>근무 0730-1530</t>
        </is>
      </c>
      <c r="B63" s="19" t="inlineStr">
        <is>
          <t>근무</t>
        </is>
      </c>
      <c r="C63" s="14" t="inlineStr">
        <is>
          <t>07:30~15:30</t>
        </is>
      </c>
      <c r="D63" s="21" t="n">
        <v>7</v>
      </c>
      <c r="E63" s="21" t="n">
        <v>0</v>
      </c>
      <c r="F63" s="19" t="n">
        <v>0</v>
      </c>
      <c r="G63" s="14" t="inlineStr"/>
      <c r="H63" s="14" t="inlineStr">
        <is>
          <t>근무</t>
        </is>
      </c>
    </row>
    <row r="64">
      <c r="A64" s="33" t="inlineStr">
        <is>
          <t>근무 0730-1600</t>
        </is>
      </c>
      <c r="B64" s="19" t="inlineStr">
        <is>
          <t>근무</t>
        </is>
      </c>
      <c r="C64" s="14" t="inlineStr">
        <is>
          <t>07:30~16:00</t>
        </is>
      </c>
      <c r="D64" s="21" t="n">
        <v>7.5</v>
      </c>
      <c r="E64" s="21" t="n">
        <v>0</v>
      </c>
      <c r="F64" s="19" t="n">
        <v>0</v>
      </c>
      <c r="G64" s="14" t="inlineStr"/>
      <c r="H64" s="14" t="inlineStr">
        <is>
          <t>근무</t>
        </is>
      </c>
    </row>
    <row r="65">
      <c r="A65" s="33" t="inlineStr">
        <is>
          <t>근무 0730-1700</t>
        </is>
      </c>
      <c r="B65" s="19" t="inlineStr">
        <is>
          <t>근무</t>
        </is>
      </c>
      <c r="C65" s="14" t="inlineStr">
        <is>
          <t>07:30~17:00</t>
        </is>
      </c>
      <c r="D65" s="21" t="n">
        <v>8.5</v>
      </c>
      <c r="E65" s="21" t="n">
        <v>0</v>
      </c>
      <c r="F65" s="19" t="n">
        <v>1</v>
      </c>
      <c r="G65" s="14" t="inlineStr"/>
      <c r="H65" s="14" t="inlineStr">
        <is>
          <t>근무</t>
        </is>
      </c>
    </row>
    <row r="66">
      <c r="A66" s="33" t="inlineStr">
        <is>
          <t>근무 0730-1730</t>
        </is>
      </c>
      <c r="B66" s="19" t="inlineStr">
        <is>
          <t>근무</t>
        </is>
      </c>
      <c r="C66" s="14" t="inlineStr">
        <is>
          <t>07:30~17:30</t>
        </is>
      </c>
      <c r="D66" s="21" t="n">
        <v>9</v>
      </c>
      <c r="E66" s="21" t="n">
        <v>0</v>
      </c>
      <c r="F66" s="19" t="n">
        <v>1</v>
      </c>
      <c r="G66" s="14" t="inlineStr"/>
      <c r="H66" s="14" t="inlineStr">
        <is>
          <t>근무</t>
        </is>
      </c>
    </row>
    <row r="67">
      <c r="A67" s="33" t="inlineStr">
        <is>
          <t>근무 0730-1800</t>
        </is>
      </c>
      <c r="B67" s="19" t="inlineStr">
        <is>
          <t>근무</t>
        </is>
      </c>
      <c r="C67" s="14" t="inlineStr">
        <is>
          <t>07:30~18:00</t>
        </is>
      </c>
      <c r="D67" s="21" t="n">
        <v>9.5</v>
      </c>
      <c r="E67" s="21" t="n">
        <v>0</v>
      </c>
      <c r="F67" s="19" t="n">
        <v>1</v>
      </c>
      <c r="G67" s="14" t="inlineStr"/>
      <c r="H67" s="14" t="inlineStr">
        <is>
          <t>근무</t>
        </is>
      </c>
    </row>
    <row r="68">
      <c r="A68" s="33" t="inlineStr">
        <is>
          <t>근무 0730-1830</t>
        </is>
      </c>
      <c r="B68" s="19" t="inlineStr">
        <is>
          <t>근무</t>
        </is>
      </c>
      <c r="C68" s="14" t="inlineStr">
        <is>
          <t>07:30~18:30</t>
        </is>
      </c>
      <c r="D68" s="21" t="n">
        <v>9.5</v>
      </c>
      <c r="E68" s="21" t="n">
        <v>0</v>
      </c>
      <c r="F68" s="19" t="n">
        <v>1</v>
      </c>
      <c r="G68" s="14" t="inlineStr"/>
      <c r="H68" s="14" t="inlineStr">
        <is>
          <t>근무</t>
        </is>
      </c>
    </row>
    <row r="69">
      <c r="A69" s="33" t="inlineStr">
        <is>
          <t>근무 0730-1900</t>
        </is>
      </c>
      <c r="B69" s="19" t="inlineStr">
        <is>
          <t>근무</t>
        </is>
      </c>
      <c r="C69" s="14" t="inlineStr">
        <is>
          <t>07:30~19:00</t>
        </is>
      </c>
      <c r="D69" s="21" t="n">
        <v>10</v>
      </c>
      <c r="E69" s="21" t="n">
        <v>0</v>
      </c>
      <c r="F69" s="19" t="n">
        <v>1</v>
      </c>
      <c r="G69" s="14" t="inlineStr"/>
      <c r="H69" s="14" t="inlineStr">
        <is>
          <t>근무</t>
        </is>
      </c>
    </row>
    <row r="70">
      <c r="A70" s="33" t="inlineStr">
        <is>
          <t>근무 0730-1930</t>
        </is>
      </c>
      <c r="B70" s="19" t="inlineStr">
        <is>
          <t>근무</t>
        </is>
      </c>
      <c r="C70" s="14" t="inlineStr">
        <is>
          <t>07:30~19:30</t>
        </is>
      </c>
      <c r="D70" s="21" t="n">
        <v>10.5</v>
      </c>
      <c r="E70" s="21" t="n">
        <v>0</v>
      </c>
      <c r="F70" s="19" t="n">
        <v>1</v>
      </c>
      <c r="G70" s="14" t="inlineStr"/>
      <c r="H70" s="14" t="inlineStr">
        <is>
          <t>근무</t>
        </is>
      </c>
    </row>
    <row r="71">
      <c r="A71" s="33" t="inlineStr">
        <is>
          <t>근무 0730-2000</t>
        </is>
      </c>
      <c r="B71" s="19" t="inlineStr">
        <is>
          <t>근무</t>
        </is>
      </c>
      <c r="C71" s="14" t="inlineStr">
        <is>
          <t>07:30~20:00</t>
        </is>
      </c>
      <c r="D71" s="21" t="n">
        <v>11</v>
      </c>
      <c r="E71" s="21" t="n">
        <v>0</v>
      </c>
      <c r="F71" s="19" t="n">
        <v>1</v>
      </c>
      <c r="G71" s="14" t="inlineStr"/>
      <c r="H71" s="14" t="inlineStr">
        <is>
          <t>근무</t>
        </is>
      </c>
    </row>
    <row r="72">
      <c r="A72" s="33" t="inlineStr">
        <is>
          <t>근무 0730-2030</t>
        </is>
      </c>
      <c r="B72" s="19" t="inlineStr">
        <is>
          <t>근무</t>
        </is>
      </c>
      <c r="C72" s="14" t="inlineStr">
        <is>
          <t>07:30~20:30</t>
        </is>
      </c>
      <c r="D72" s="21" t="n">
        <v>11.5</v>
      </c>
      <c r="E72" s="21" t="n">
        <v>0</v>
      </c>
      <c r="F72" s="19" t="n">
        <v>1</v>
      </c>
      <c r="G72" s="14" t="inlineStr"/>
      <c r="H72" s="14" t="inlineStr">
        <is>
          <t>근무</t>
        </is>
      </c>
    </row>
    <row r="73">
      <c r="A73" s="33" t="inlineStr">
        <is>
          <t>근무 0800-1130</t>
        </is>
      </c>
      <c r="B73" s="19" t="inlineStr">
        <is>
          <t>근무</t>
        </is>
      </c>
      <c r="C73" s="14" t="inlineStr">
        <is>
          <t>08:00~11:30</t>
        </is>
      </c>
      <c r="D73" s="21" t="n">
        <v>3.5</v>
      </c>
      <c r="E73" s="21" t="n">
        <v>0</v>
      </c>
      <c r="F73" s="19" t="n">
        <v>0</v>
      </c>
      <c r="G73" s="14" t="inlineStr"/>
      <c r="H73" s="14" t="inlineStr">
        <is>
          <t>근무</t>
        </is>
      </c>
    </row>
    <row r="74">
      <c r="A74" s="33" t="inlineStr">
        <is>
          <t>근무 0800-1200</t>
        </is>
      </c>
      <c r="B74" s="19" t="inlineStr">
        <is>
          <t>근무</t>
        </is>
      </c>
      <c r="C74" s="14" t="inlineStr">
        <is>
          <t>08:00~12:00</t>
        </is>
      </c>
      <c r="D74" s="21" t="n">
        <v>4</v>
      </c>
      <c r="E74" s="21" t="n">
        <v>0</v>
      </c>
      <c r="F74" s="19" t="n">
        <v>0</v>
      </c>
      <c r="G74" s="14" t="inlineStr"/>
      <c r="H74" s="14" t="inlineStr">
        <is>
          <t>근무</t>
        </is>
      </c>
    </row>
    <row r="75">
      <c r="A75" s="33" t="inlineStr">
        <is>
          <t>근무 0800-1300</t>
        </is>
      </c>
      <c r="B75" s="19" t="inlineStr">
        <is>
          <t>근무</t>
        </is>
      </c>
      <c r="C75" s="14" t="inlineStr">
        <is>
          <t>08:00~13:00</t>
        </is>
      </c>
      <c r="D75" s="21" t="n">
        <v>4</v>
      </c>
      <c r="E75" s="21" t="n">
        <v>0</v>
      </c>
      <c r="F75" s="19" t="n">
        <v>0</v>
      </c>
      <c r="G75" s="14" t="inlineStr"/>
      <c r="H75" s="14" t="inlineStr">
        <is>
          <t>근무</t>
        </is>
      </c>
    </row>
    <row r="76">
      <c r="A76" s="33" t="inlineStr">
        <is>
          <t>근무 0800-1330</t>
        </is>
      </c>
      <c r="B76" s="19" t="inlineStr">
        <is>
          <t>근무</t>
        </is>
      </c>
      <c r="C76" s="14" t="inlineStr">
        <is>
          <t>08:00~13:30</t>
        </is>
      </c>
      <c r="D76" s="21" t="n">
        <v>4.5</v>
      </c>
      <c r="E76" s="21" t="n">
        <v>0</v>
      </c>
      <c r="F76" s="19" t="n">
        <v>0</v>
      </c>
      <c r="G76" s="14" t="inlineStr"/>
      <c r="H76" s="14" t="inlineStr">
        <is>
          <t>근무</t>
        </is>
      </c>
    </row>
    <row r="77">
      <c r="A77" s="33" t="inlineStr">
        <is>
          <t>근무 0800-1400</t>
        </is>
      </c>
      <c r="B77" s="19" t="inlineStr">
        <is>
          <t>근무</t>
        </is>
      </c>
      <c r="C77" s="14" t="inlineStr">
        <is>
          <t>08:00~14:00</t>
        </is>
      </c>
      <c r="D77" s="21" t="n">
        <v>5</v>
      </c>
      <c r="E77" s="21" t="n">
        <v>0</v>
      </c>
      <c r="F77" s="19" t="n">
        <v>0</v>
      </c>
      <c r="G77" s="14" t="inlineStr"/>
      <c r="H77" s="14" t="inlineStr">
        <is>
          <t>근무</t>
        </is>
      </c>
    </row>
    <row r="78">
      <c r="A78" s="33" t="inlineStr">
        <is>
          <t>근무 0800-1430</t>
        </is>
      </c>
      <c r="B78" s="19" t="inlineStr">
        <is>
          <t>근무</t>
        </is>
      </c>
      <c r="C78" s="14" t="inlineStr">
        <is>
          <t>08:00~14:30</t>
        </is>
      </c>
      <c r="D78" s="21" t="n">
        <v>5.5</v>
      </c>
      <c r="E78" s="21" t="n">
        <v>0</v>
      </c>
      <c r="F78" s="19" t="n">
        <v>0</v>
      </c>
      <c r="G78" s="14" t="inlineStr"/>
      <c r="H78" s="14" t="inlineStr">
        <is>
          <t>근무</t>
        </is>
      </c>
    </row>
    <row r="79">
      <c r="A79" s="33" t="inlineStr">
        <is>
          <t>근무 0800-1500</t>
        </is>
      </c>
      <c r="B79" s="19" t="inlineStr">
        <is>
          <t>근무</t>
        </is>
      </c>
      <c r="C79" s="14" t="inlineStr">
        <is>
          <t>08:00~15:00</t>
        </is>
      </c>
      <c r="D79" s="21" t="n">
        <v>6</v>
      </c>
      <c r="E79" s="21" t="n">
        <v>0</v>
      </c>
      <c r="F79" s="19" t="n">
        <v>0</v>
      </c>
      <c r="G79" s="14" t="inlineStr"/>
      <c r="H79" s="14" t="inlineStr">
        <is>
          <t>근무</t>
        </is>
      </c>
    </row>
    <row r="80">
      <c r="A80" s="33" t="inlineStr">
        <is>
          <t>근무 0800-1530</t>
        </is>
      </c>
      <c r="B80" s="19" t="inlineStr">
        <is>
          <t>근무</t>
        </is>
      </c>
      <c r="C80" s="14" t="inlineStr">
        <is>
          <t>08:00~15:30</t>
        </is>
      </c>
      <c r="D80" s="21" t="n">
        <v>6.5</v>
      </c>
      <c r="E80" s="21" t="n">
        <v>0</v>
      </c>
      <c r="F80" s="19" t="n">
        <v>0</v>
      </c>
      <c r="G80" s="14" t="inlineStr"/>
      <c r="H80" s="14" t="inlineStr">
        <is>
          <t>근무</t>
        </is>
      </c>
    </row>
    <row r="81">
      <c r="A81" s="33" t="inlineStr">
        <is>
          <t>근무 0800-1600</t>
        </is>
      </c>
      <c r="B81" s="19" t="inlineStr">
        <is>
          <t>근무</t>
        </is>
      </c>
      <c r="C81" s="14" t="inlineStr">
        <is>
          <t>08:00~16:00</t>
        </is>
      </c>
      <c r="D81" s="21" t="n">
        <v>7</v>
      </c>
      <c r="E81" s="21" t="n">
        <v>0</v>
      </c>
      <c r="F81" s="19" t="n">
        <v>0</v>
      </c>
      <c r="G81" s="14" t="inlineStr"/>
      <c r="H81" s="14" t="inlineStr">
        <is>
          <t>근무</t>
        </is>
      </c>
    </row>
    <row r="82">
      <c r="A82" s="33" t="inlineStr">
        <is>
          <t>근무 0800-1630</t>
        </is>
      </c>
      <c r="B82" s="19" t="inlineStr">
        <is>
          <t>근무</t>
        </is>
      </c>
      <c r="C82" s="14" t="inlineStr">
        <is>
          <t>08:00~16:30</t>
        </is>
      </c>
      <c r="D82" s="21" t="n">
        <v>7.5</v>
      </c>
      <c r="E82" s="21" t="n">
        <v>0</v>
      </c>
      <c r="F82" s="19" t="n">
        <v>0</v>
      </c>
      <c r="G82" s="14" t="inlineStr"/>
      <c r="H82" s="14" t="inlineStr">
        <is>
          <t>근무</t>
        </is>
      </c>
    </row>
    <row r="83">
      <c r="A83" s="33" t="inlineStr">
        <is>
          <t>근무 0800-1730</t>
        </is>
      </c>
      <c r="B83" s="19" t="inlineStr">
        <is>
          <t>근무</t>
        </is>
      </c>
      <c r="C83" s="14" t="inlineStr">
        <is>
          <t>08:00~17:30</t>
        </is>
      </c>
      <c r="D83" s="21" t="n">
        <v>8.5</v>
      </c>
      <c r="E83" s="21" t="n">
        <v>0</v>
      </c>
      <c r="F83" s="19" t="n">
        <v>1</v>
      </c>
      <c r="G83" s="14" t="inlineStr"/>
      <c r="H83" s="14" t="inlineStr">
        <is>
          <t>근무</t>
        </is>
      </c>
    </row>
    <row r="84">
      <c r="A84" s="33" t="inlineStr">
        <is>
          <t>근무 0800-1800</t>
        </is>
      </c>
      <c r="B84" s="19" t="inlineStr">
        <is>
          <t>근무</t>
        </is>
      </c>
      <c r="C84" s="14" t="inlineStr">
        <is>
          <t>08:00~18:00</t>
        </is>
      </c>
      <c r="D84" s="21" t="n">
        <v>9</v>
      </c>
      <c r="E84" s="21" t="n">
        <v>0</v>
      </c>
      <c r="F84" s="19" t="n">
        <v>1</v>
      </c>
      <c r="G84" s="14" t="inlineStr"/>
      <c r="H84" s="14" t="inlineStr">
        <is>
          <t>근무</t>
        </is>
      </c>
    </row>
    <row r="85">
      <c r="A85" s="33" t="inlineStr">
        <is>
          <t>근무 0800-1830</t>
        </is>
      </c>
      <c r="B85" s="19" t="inlineStr">
        <is>
          <t>근무</t>
        </is>
      </c>
      <c r="C85" s="14" t="inlineStr">
        <is>
          <t>08:00~18:30</t>
        </is>
      </c>
      <c r="D85" s="21" t="n">
        <v>9</v>
      </c>
      <c r="E85" s="21" t="n">
        <v>0</v>
      </c>
      <c r="F85" s="19" t="n">
        <v>1</v>
      </c>
      <c r="G85" s="14" t="inlineStr"/>
      <c r="H85" s="14" t="inlineStr">
        <is>
          <t>근무</t>
        </is>
      </c>
    </row>
    <row r="86">
      <c r="A86" s="33" t="inlineStr">
        <is>
          <t>근무 0800-1900</t>
        </is>
      </c>
      <c r="B86" s="19" t="inlineStr">
        <is>
          <t>근무</t>
        </is>
      </c>
      <c r="C86" s="14" t="inlineStr">
        <is>
          <t>08:00~19:00</t>
        </is>
      </c>
      <c r="D86" s="21" t="n">
        <v>9.5</v>
      </c>
      <c r="E86" s="21" t="n">
        <v>0</v>
      </c>
      <c r="F86" s="19" t="n">
        <v>1</v>
      </c>
      <c r="G86" s="14" t="inlineStr"/>
      <c r="H86" s="14" t="inlineStr">
        <is>
          <t>근무</t>
        </is>
      </c>
    </row>
    <row r="87">
      <c r="A87" s="33" t="inlineStr">
        <is>
          <t>근무 0800-1930</t>
        </is>
      </c>
      <c r="B87" s="19" t="inlineStr">
        <is>
          <t>근무</t>
        </is>
      </c>
      <c r="C87" s="14" t="inlineStr">
        <is>
          <t>08:00~19:30</t>
        </is>
      </c>
      <c r="D87" s="21" t="n">
        <v>10</v>
      </c>
      <c r="E87" s="21" t="n">
        <v>0</v>
      </c>
      <c r="F87" s="19" t="n">
        <v>1</v>
      </c>
      <c r="G87" s="14" t="inlineStr"/>
      <c r="H87" s="14" t="inlineStr">
        <is>
          <t>근무</t>
        </is>
      </c>
    </row>
    <row r="88">
      <c r="A88" s="33" t="inlineStr">
        <is>
          <t>근무 0800-2000</t>
        </is>
      </c>
      <c r="B88" s="19" t="inlineStr">
        <is>
          <t>근무</t>
        </is>
      </c>
      <c r="C88" s="14" t="inlineStr">
        <is>
          <t>08:00~20:00</t>
        </is>
      </c>
      <c r="D88" s="21" t="n">
        <v>10.5</v>
      </c>
      <c r="E88" s="21" t="n">
        <v>0</v>
      </c>
      <c r="F88" s="19" t="n">
        <v>1</v>
      </c>
      <c r="G88" s="14" t="inlineStr"/>
      <c r="H88" s="14" t="inlineStr">
        <is>
          <t>근무</t>
        </is>
      </c>
    </row>
    <row r="89">
      <c r="A89" s="33" t="inlineStr">
        <is>
          <t>근무 0800-2030</t>
        </is>
      </c>
      <c r="B89" s="19" t="inlineStr">
        <is>
          <t>근무</t>
        </is>
      </c>
      <c r="C89" s="14" t="inlineStr">
        <is>
          <t>08:00~20:30</t>
        </is>
      </c>
      <c r="D89" s="21" t="n">
        <v>11</v>
      </c>
      <c r="E89" s="21" t="n">
        <v>0</v>
      </c>
      <c r="F89" s="19" t="n">
        <v>1</v>
      </c>
      <c r="G89" s="14" t="inlineStr"/>
      <c r="H89" s="14" t="inlineStr">
        <is>
          <t>근무</t>
        </is>
      </c>
    </row>
    <row r="90">
      <c r="A90" s="33" t="inlineStr">
        <is>
          <t>근무 0830-1130</t>
        </is>
      </c>
      <c r="B90" s="19" t="inlineStr">
        <is>
          <t>근무</t>
        </is>
      </c>
      <c r="C90" s="14" t="inlineStr">
        <is>
          <t>08:30~11:30</t>
        </is>
      </c>
      <c r="D90" s="21" t="n">
        <v>3</v>
      </c>
      <c r="E90" s="21" t="n">
        <v>0</v>
      </c>
      <c r="F90" s="19" t="n">
        <v>0</v>
      </c>
      <c r="G90" s="14" t="inlineStr"/>
      <c r="H90" s="14" t="inlineStr">
        <is>
          <t>근무</t>
        </is>
      </c>
    </row>
    <row r="91">
      <c r="A91" s="33" t="inlineStr">
        <is>
          <t>근무 0830-1200</t>
        </is>
      </c>
      <c r="B91" s="19" t="inlineStr">
        <is>
          <t>근무</t>
        </is>
      </c>
      <c r="C91" s="14" t="inlineStr">
        <is>
          <t>08:30~12:00</t>
        </is>
      </c>
      <c r="D91" s="21" t="n">
        <v>3.5</v>
      </c>
      <c r="E91" s="21" t="n">
        <v>0</v>
      </c>
      <c r="F91" s="19" t="n">
        <v>0</v>
      </c>
      <c r="G91" s="14" t="inlineStr"/>
      <c r="H91" s="14" t="inlineStr">
        <is>
          <t>근무</t>
        </is>
      </c>
    </row>
    <row r="92">
      <c r="A92" s="33" t="inlineStr">
        <is>
          <t>근무 0830-1300</t>
        </is>
      </c>
      <c r="B92" s="19" t="inlineStr">
        <is>
          <t>근무</t>
        </is>
      </c>
      <c r="C92" s="14" t="inlineStr">
        <is>
          <t>08:30~13:00</t>
        </is>
      </c>
      <c r="D92" s="21" t="n">
        <v>3.5</v>
      </c>
      <c r="E92" s="21" t="n">
        <v>0</v>
      </c>
      <c r="F92" s="19" t="n">
        <v>0</v>
      </c>
      <c r="G92" s="14" t="inlineStr"/>
      <c r="H92" s="14" t="inlineStr">
        <is>
          <t>근무</t>
        </is>
      </c>
    </row>
    <row r="93">
      <c r="A93" s="33" t="inlineStr">
        <is>
          <t>근무 0830-1330</t>
        </is>
      </c>
      <c r="B93" s="19" t="inlineStr">
        <is>
          <t>근무</t>
        </is>
      </c>
      <c r="C93" s="14" t="inlineStr">
        <is>
          <t>08:30~13:30</t>
        </is>
      </c>
      <c r="D93" s="21" t="n">
        <v>4</v>
      </c>
      <c r="E93" s="21" t="n">
        <v>0</v>
      </c>
      <c r="F93" s="19" t="n">
        <v>0</v>
      </c>
      <c r="G93" s="14" t="inlineStr"/>
      <c r="H93" s="14" t="inlineStr">
        <is>
          <t>근무</t>
        </is>
      </c>
    </row>
    <row r="94">
      <c r="A94" s="33" t="inlineStr">
        <is>
          <t>근무 0830-1400</t>
        </is>
      </c>
      <c r="B94" s="19" t="inlineStr">
        <is>
          <t>근무</t>
        </is>
      </c>
      <c r="C94" s="14" t="inlineStr">
        <is>
          <t>08:30~14:00</t>
        </is>
      </c>
      <c r="D94" s="21" t="n">
        <v>4.5</v>
      </c>
      <c r="E94" s="21" t="n">
        <v>0</v>
      </c>
      <c r="F94" s="19" t="n">
        <v>0</v>
      </c>
      <c r="G94" s="14" t="inlineStr"/>
      <c r="H94" s="14" t="inlineStr">
        <is>
          <t>근무</t>
        </is>
      </c>
    </row>
    <row r="95">
      <c r="A95" s="33" t="inlineStr">
        <is>
          <t>근무 0830-1430</t>
        </is>
      </c>
      <c r="B95" s="19" t="inlineStr">
        <is>
          <t>근무</t>
        </is>
      </c>
      <c r="C95" s="14" t="inlineStr">
        <is>
          <t>08:30~14:30</t>
        </is>
      </c>
      <c r="D95" s="21" t="n">
        <v>5</v>
      </c>
      <c r="E95" s="21" t="n">
        <v>0</v>
      </c>
      <c r="F95" s="19" t="n">
        <v>0</v>
      </c>
      <c r="G95" s="14" t="inlineStr"/>
      <c r="H95" s="14" t="inlineStr">
        <is>
          <t>근무</t>
        </is>
      </c>
    </row>
    <row r="96">
      <c r="A96" s="33" t="inlineStr">
        <is>
          <t>근무 0830-1500</t>
        </is>
      </c>
      <c r="B96" s="19" t="inlineStr">
        <is>
          <t>근무</t>
        </is>
      </c>
      <c r="C96" s="14" t="inlineStr">
        <is>
          <t>08:30~15:00</t>
        </is>
      </c>
      <c r="D96" s="21" t="n">
        <v>5.5</v>
      </c>
      <c r="E96" s="21" t="n">
        <v>0</v>
      </c>
      <c r="F96" s="19" t="n">
        <v>0</v>
      </c>
      <c r="G96" s="14" t="inlineStr"/>
      <c r="H96" s="14" t="inlineStr">
        <is>
          <t>근무</t>
        </is>
      </c>
    </row>
    <row r="97">
      <c r="A97" s="33" t="inlineStr">
        <is>
          <t>근무 0830-1530</t>
        </is>
      </c>
      <c r="B97" s="19" t="inlineStr">
        <is>
          <t>근무</t>
        </is>
      </c>
      <c r="C97" s="14" t="inlineStr">
        <is>
          <t>08:30~15:30</t>
        </is>
      </c>
      <c r="D97" s="21" t="n">
        <v>6</v>
      </c>
      <c r="E97" s="21" t="n">
        <v>0</v>
      </c>
      <c r="F97" s="19" t="n">
        <v>0</v>
      </c>
      <c r="G97" s="14" t="inlineStr"/>
      <c r="H97" s="14" t="inlineStr">
        <is>
          <t>근무</t>
        </is>
      </c>
    </row>
    <row r="98">
      <c r="A98" s="33" t="inlineStr">
        <is>
          <t>근무 0830-1600</t>
        </is>
      </c>
      <c r="B98" s="19" t="inlineStr">
        <is>
          <t>근무</t>
        </is>
      </c>
      <c r="C98" s="14" t="inlineStr">
        <is>
          <t>08:30~16:00</t>
        </is>
      </c>
      <c r="D98" s="21" t="n">
        <v>6.5</v>
      </c>
      <c r="E98" s="21" t="n">
        <v>0</v>
      </c>
      <c r="F98" s="19" t="n">
        <v>0</v>
      </c>
      <c r="G98" s="14" t="inlineStr"/>
      <c r="H98" s="14" t="inlineStr">
        <is>
          <t>근무</t>
        </is>
      </c>
    </row>
    <row r="99">
      <c r="A99" s="33" t="inlineStr">
        <is>
          <t>근무 0830-1630</t>
        </is>
      </c>
      <c r="B99" s="19" t="inlineStr">
        <is>
          <t>근무</t>
        </is>
      </c>
      <c r="C99" s="14" t="inlineStr">
        <is>
          <t>08:30~16:30</t>
        </is>
      </c>
      <c r="D99" s="21" t="n">
        <v>7</v>
      </c>
      <c r="E99" s="21" t="n">
        <v>0</v>
      </c>
      <c r="F99" s="19" t="n">
        <v>0</v>
      </c>
      <c r="G99" s="14" t="inlineStr"/>
      <c r="H99" s="14" t="inlineStr">
        <is>
          <t>근무</t>
        </is>
      </c>
    </row>
    <row r="100">
      <c r="A100" s="33" t="inlineStr">
        <is>
          <t>근무 0830-1700</t>
        </is>
      </c>
      <c r="B100" s="19" t="inlineStr">
        <is>
          <t>근무</t>
        </is>
      </c>
      <c r="C100" s="14" t="inlineStr">
        <is>
          <t>08:30~17:00</t>
        </is>
      </c>
      <c r="D100" s="21" t="n">
        <v>7.5</v>
      </c>
      <c r="E100" s="21" t="n">
        <v>0</v>
      </c>
      <c r="F100" s="19" t="n">
        <v>0</v>
      </c>
      <c r="G100" s="14" t="inlineStr"/>
      <c r="H100" s="14" t="inlineStr">
        <is>
          <t>근무</t>
        </is>
      </c>
    </row>
    <row r="101">
      <c r="A101" s="33" t="inlineStr">
        <is>
          <t>근무 0830-1800</t>
        </is>
      </c>
      <c r="B101" s="19" t="inlineStr">
        <is>
          <t>근무</t>
        </is>
      </c>
      <c r="C101" s="14" t="inlineStr">
        <is>
          <t>08:30~18:00</t>
        </is>
      </c>
      <c r="D101" s="21" t="n">
        <v>8.5</v>
      </c>
      <c r="E101" s="21" t="n">
        <v>0</v>
      </c>
      <c r="F101" s="19" t="n">
        <v>1</v>
      </c>
      <c r="G101" s="14" t="inlineStr"/>
      <c r="H101" s="14" t="inlineStr">
        <is>
          <t>근무</t>
        </is>
      </c>
    </row>
    <row r="102">
      <c r="A102" s="33" t="inlineStr">
        <is>
          <t>근무 0830-1830</t>
        </is>
      </c>
      <c r="B102" s="19" t="inlineStr">
        <is>
          <t>근무</t>
        </is>
      </c>
      <c r="C102" s="14" t="inlineStr">
        <is>
          <t>08:30~18:30</t>
        </is>
      </c>
      <c r="D102" s="21" t="n">
        <v>8.5</v>
      </c>
      <c r="E102" s="21" t="n">
        <v>0</v>
      </c>
      <c r="F102" s="19" t="n">
        <v>1</v>
      </c>
      <c r="G102" s="14" t="inlineStr"/>
      <c r="H102" s="14" t="inlineStr">
        <is>
          <t>근무</t>
        </is>
      </c>
    </row>
    <row r="103">
      <c r="A103" s="33" t="inlineStr">
        <is>
          <t>근무 0830-1900</t>
        </is>
      </c>
      <c r="B103" s="19" t="inlineStr">
        <is>
          <t>근무</t>
        </is>
      </c>
      <c r="C103" s="14" t="inlineStr">
        <is>
          <t>08:30~19:00</t>
        </is>
      </c>
      <c r="D103" s="21" t="n">
        <v>9</v>
      </c>
      <c r="E103" s="21" t="n">
        <v>0</v>
      </c>
      <c r="F103" s="19" t="n">
        <v>1</v>
      </c>
      <c r="G103" s="14" t="inlineStr"/>
      <c r="H103" s="14" t="inlineStr">
        <is>
          <t>근무</t>
        </is>
      </c>
    </row>
    <row r="104">
      <c r="A104" s="33" t="inlineStr">
        <is>
          <t>근무 0830-1930</t>
        </is>
      </c>
      <c r="B104" s="19" t="inlineStr">
        <is>
          <t>근무</t>
        </is>
      </c>
      <c r="C104" s="14" t="inlineStr">
        <is>
          <t>08:30~19:30</t>
        </is>
      </c>
      <c r="D104" s="21" t="n">
        <v>9.5</v>
      </c>
      <c r="E104" s="21" t="n">
        <v>0</v>
      </c>
      <c r="F104" s="19" t="n">
        <v>1</v>
      </c>
      <c r="G104" s="14" t="inlineStr"/>
      <c r="H104" s="14" t="inlineStr">
        <is>
          <t>근무</t>
        </is>
      </c>
    </row>
    <row r="105">
      <c r="A105" s="33" t="inlineStr">
        <is>
          <t>근무 0830-2000</t>
        </is>
      </c>
      <c r="B105" s="19" t="inlineStr">
        <is>
          <t>근무</t>
        </is>
      </c>
      <c r="C105" s="14" t="inlineStr">
        <is>
          <t>08:30~20:00</t>
        </is>
      </c>
      <c r="D105" s="21" t="n">
        <v>10</v>
      </c>
      <c r="E105" s="21" t="n">
        <v>0</v>
      </c>
      <c r="F105" s="19" t="n">
        <v>1</v>
      </c>
      <c r="G105" s="14" t="inlineStr"/>
      <c r="H105" s="14" t="inlineStr">
        <is>
          <t>근무</t>
        </is>
      </c>
    </row>
    <row r="106">
      <c r="A106" s="33" t="inlineStr">
        <is>
          <t>근무 0830-2030</t>
        </is>
      </c>
      <c r="B106" s="19" t="inlineStr">
        <is>
          <t>근무</t>
        </is>
      </c>
      <c r="C106" s="14" t="inlineStr">
        <is>
          <t>08:30~20:30</t>
        </is>
      </c>
      <c r="D106" s="21" t="n">
        <v>10.5</v>
      </c>
      <c r="E106" s="21" t="n">
        <v>0</v>
      </c>
      <c r="F106" s="19" t="n">
        <v>1</v>
      </c>
      <c r="G106" s="14" t="inlineStr"/>
      <c r="H106" s="14" t="inlineStr">
        <is>
          <t>근무</t>
        </is>
      </c>
    </row>
    <row r="107">
      <c r="A107" s="33" t="inlineStr">
        <is>
          <t>휴직</t>
        </is>
      </c>
      <c r="B107" s="19" t="inlineStr">
        <is>
          <t>휴직</t>
        </is>
      </c>
      <c r="C107" s="14" t="inlineStr"/>
      <c r="D107" s="21" t="n">
        <v>0</v>
      </c>
      <c r="E107" s="21" t="n">
        <v>0</v>
      </c>
      <c r="F107" s="19" t="n">
        <v>0</v>
      </c>
      <c r="G107" s="14" t="inlineStr"/>
      <c r="H107" s="14" t="inlineStr">
        <is>
          <t>휴가·사외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31"/>
  <sheetViews>
    <sheetView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>
      <c r="A1" s="6" t="inlineStr">
        <is>
          <t>연</t>
        </is>
      </c>
      <c r="B1" s="7" t="n">
        <v>2026</v>
      </c>
      <c r="D1" s="8" t="inlineStr">
        <is>
          <t>시간 (계산용) — 근태 시트의 코드를 실근로시간으로 바꾼 값입니다</t>
        </is>
      </c>
    </row>
    <row r="2">
      <c r="A2" s="6" t="inlineStr">
        <is>
          <t>월</t>
        </is>
      </c>
      <c r="B2" s="7" t="n">
        <v>9</v>
      </c>
      <c r="D2" s="5" t="inlineStr">
        <is>
          <t>이 시트는 직접 고치지 마세요</t>
        </is>
      </c>
    </row>
    <row r="3">
      <c r="A3" s="9" t="inlineStr">
        <is>
          <t>주</t>
        </is>
      </c>
      <c r="D3" s="9">
        <f>IF(D4="","",INT((D4-1+MOD(WEEKDAY(DATE($B$1,$B$2,1))+5,7))/7)+1)</f>
        <v/>
      </c>
      <c r="E3" s="9">
        <f>IF(E4="","",INT((E4-1+MOD(WEEKDAY(DATE($B$1,$B$2,1))+5,7))/7)+1)</f>
        <v/>
      </c>
      <c r="F3" s="9">
        <f>IF(F4="","",INT((F4-1+MOD(WEEKDAY(DATE($B$1,$B$2,1))+5,7))/7)+1)</f>
        <v/>
      </c>
      <c r="G3" s="9">
        <f>IF(G4="","",INT((G4-1+MOD(WEEKDAY(DATE($B$1,$B$2,1))+5,7))/7)+1)</f>
        <v/>
      </c>
      <c r="H3" s="9">
        <f>IF(H4="","",INT((H4-1+MOD(WEEKDAY(DATE($B$1,$B$2,1))+5,7))/7)+1)</f>
        <v/>
      </c>
      <c r="I3" s="9">
        <f>IF(I4="","",INT((I4-1+MOD(WEEKDAY(DATE($B$1,$B$2,1))+5,7))/7)+1)</f>
        <v/>
      </c>
      <c r="J3" s="9">
        <f>IF(J4="","",INT((J4-1+MOD(WEEKDAY(DATE($B$1,$B$2,1))+5,7))/7)+1)</f>
        <v/>
      </c>
      <c r="K3" s="9">
        <f>IF(K4="","",INT((K4-1+MOD(WEEKDAY(DATE($B$1,$B$2,1))+5,7))/7)+1)</f>
        <v/>
      </c>
      <c r="L3" s="9">
        <f>IF(L4="","",INT((L4-1+MOD(WEEKDAY(DATE($B$1,$B$2,1))+5,7))/7)+1)</f>
        <v/>
      </c>
      <c r="M3" s="9">
        <f>IF(M4="","",INT((M4-1+MOD(WEEKDAY(DATE($B$1,$B$2,1))+5,7))/7)+1)</f>
        <v/>
      </c>
      <c r="N3" s="9">
        <f>IF(N4="","",INT((N4-1+MOD(WEEKDAY(DATE($B$1,$B$2,1))+5,7))/7)+1)</f>
        <v/>
      </c>
      <c r="O3" s="9">
        <f>IF(O4="","",INT((O4-1+MOD(WEEKDAY(DATE($B$1,$B$2,1))+5,7))/7)+1)</f>
        <v/>
      </c>
      <c r="P3" s="9">
        <f>IF(P4="","",INT((P4-1+MOD(WEEKDAY(DATE($B$1,$B$2,1))+5,7))/7)+1)</f>
        <v/>
      </c>
      <c r="Q3" s="9">
        <f>IF(Q4="","",INT((Q4-1+MOD(WEEKDAY(DATE($B$1,$B$2,1))+5,7))/7)+1)</f>
        <v/>
      </c>
      <c r="R3" s="9">
        <f>IF(R4="","",INT((R4-1+MOD(WEEKDAY(DATE($B$1,$B$2,1))+5,7))/7)+1)</f>
        <v/>
      </c>
      <c r="S3" s="9">
        <f>IF(S4="","",INT((S4-1+MOD(WEEKDAY(DATE($B$1,$B$2,1))+5,7))/7)+1)</f>
        <v/>
      </c>
      <c r="T3" s="9">
        <f>IF(T4="","",INT((T4-1+MOD(WEEKDAY(DATE($B$1,$B$2,1))+5,7))/7)+1)</f>
        <v/>
      </c>
      <c r="U3" s="9">
        <f>IF(U4="","",INT((U4-1+MOD(WEEKDAY(DATE($B$1,$B$2,1))+5,7))/7)+1)</f>
        <v/>
      </c>
      <c r="V3" s="9">
        <f>IF(V4="","",INT((V4-1+MOD(WEEKDAY(DATE($B$1,$B$2,1))+5,7))/7)+1)</f>
        <v/>
      </c>
      <c r="W3" s="9">
        <f>IF(W4="","",INT((W4-1+MOD(WEEKDAY(DATE($B$1,$B$2,1))+5,7))/7)+1)</f>
        <v/>
      </c>
      <c r="X3" s="9">
        <f>IF(X4="","",INT((X4-1+MOD(WEEKDAY(DATE($B$1,$B$2,1))+5,7))/7)+1)</f>
        <v/>
      </c>
      <c r="Y3" s="9">
        <f>IF(Y4="","",INT((Y4-1+MOD(WEEKDAY(DATE($B$1,$B$2,1))+5,7))/7)+1)</f>
        <v/>
      </c>
      <c r="Z3" s="9">
        <f>IF(Z4="","",INT((Z4-1+MOD(WEEKDAY(DATE($B$1,$B$2,1))+5,7))/7)+1)</f>
        <v/>
      </c>
      <c r="AA3" s="9">
        <f>IF(AA4="","",INT((AA4-1+MOD(WEEKDAY(DATE($B$1,$B$2,1))+5,7))/7)+1)</f>
        <v/>
      </c>
      <c r="AB3" s="9">
        <f>IF(AB4="","",INT((AB4-1+MOD(WEEKDAY(DATE($B$1,$B$2,1))+5,7))/7)+1)</f>
        <v/>
      </c>
      <c r="AC3" s="9">
        <f>IF(AC4="","",INT((AC4-1+MOD(WEEKDAY(DATE($B$1,$B$2,1))+5,7))/7)+1)</f>
        <v/>
      </c>
      <c r="AD3" s="9">
        <f>IF(AD4="","",INT((AD4-1+MOD(WEEKDAY(DATE($B$1,$B$2,1))+5,7))/7)+1)</f>
        <v/>
      </c>
      <c r="AE3" s="9">
        <f>IF(AE4="","",INT((AE4-1+MOD(WEEKDAY(DATE($B$1,$B$2,1))+5,7))/7)+1)</f>
        <v/>
      </c>
      <c r="AF3" s="9">
        <f>IF(AF4="","",INT((AF4-1+MOD(WEEKDAY(DATE($B$1,$B$2,1))+5,7))/7)+1)</f>
        <v/>
      </c>
      <c r="AG3" s="9">
        <f>IF(AG4="","",INT((AG4-1+MOD(WEEKDAY(DATE($B$1,$B$2,1))+5,7))/7)+1)</f>
        <v/>
      </c>
      <c r="AH3" s="9">
        <f>IF(AH4="","",INT((AH4-1+MOD(WEEKDAY(DATE($B$1,$B$2,1))+5,7))/7)+1)</f>
        <v/>
      </c>
    </row>
    <row r="4">
      <c r="D4" s="10">
        <f>IF(MONTH(DATE($B$1,$B$2,COLUMN()-3))&lt;&gt;$B$2,"",COLUMN()-3)</f>
        <v/>
      </c>
      <c r="E4" s="10">
        <f>IF(MONTH(DATE($B$1,$B$2,COLUMN()-3))&lt;&gt;$B$2,"",COLUMN()-3)</f>
        <v/>
      </c>
      <c r="F4" s="10">
        <f>IF(MONTH(DATE($B$1,$B$2,COLUMN()-3))&lt;&gt;$B$2,"",COLUMN()-3)</f>
        <v/>
      </c>
      <c r="G4" s="10">
        <f>IF(MONTH(DATE($B$1,$B$2,COLUMN()-3))&lt;&gt;$B$2,"",COLUMN()-3)</f>
        <v/>
      </c>
      <c r="H4" s="10">
        <f>IF(MONTH(DATE($B$1,$B$2,COLUMN()-3))&lt;&gt;$B$2,"",COLUMN()-3)</f>
        <v/>
      </c>
      <c r="I4" s="10">
        <f>IF(MONTH(DATE($B$1,$B$2,COLUMN()-3))&lt;&gt;$B$2,"",COLUMN()-3)</f>
        <v/>
      </c>
      <c r="J4" s="10">
        <f>IF(MONTH(DATE($B$1,$B$2,COLUMN()-3))&lt;&gt;$B$2,"",COLUMN()-3)</f>
        <v/>
      </c>
      <c r="K4" s="10">
        <f>IF(MONTH(DATE($B$1,$B$2,COLUMN()-3))&lt;&gt;$B$2,"",COLUMN()-3)</f>
        <v/>
      </c>
      <c r="L4" s="10">
        <f>IF(MONTH(DATE($B$1,$B$2,COLUMN()-3))&lt;&gt;$B$2,"",COLUMN()-3)</f>
        <v/>
      </c>
      <c r="M4" s="10">
        <f>IF(MONTH(DATE($B$1,$B$2,COLUMN()-3))&lt;&gt;$B$2,"",COLUMN()-3)</f>
        <v/>
      </c>
      <c r="N4" s="10">
        <f>IF(MONTH(DATE($B$1,$B$2,COLUMN()-3))&lt;&gt;$B$2,"",COLUMN()-3)</f>
        <v/>
      </c>
      <c r="O4" s="10">
        <f>IF(MONTH(DATE($B$1,$B$2,COLUMN()-3))&lt;&gt;$B$2,"",COLUMN()-3)</f>
        <v/>
      </c>
      <c r="P4" s="10">
        <f>IF(MONTH(DATE($B$1,$B$2,COLUMN()-3))&lt;&gt;$B$2,"",COLUMN()-3)</f>
        <v/>
      </c>
      <c r="Q4" s="10">
        <f>IF(MONTH(DATE($B$1,$B$2,COLUMN()-3))&lt;&gt;$B$2,"",COLUMN()-3)</f>
        <v/>
      </c>
      <c r="R4" s="10">
        <f>IF(MONTH(DATE($B$1,$B$2,COLUMN()-3))&lt;&gt;$B$2,"",COLUMN()-3)</f>
        <v/>
      </c>
      <c r="S4" s="10">
        <f>IF(MONTH(DATE($B$1,$B$2,COLUMN()-3))&lt;&gt;$B$2,"",COLUMN()-3)</f>
        <v/>
      </c>
      <c r="T4" s="10">
        <f>IF(MONTH(DATE($B$1,$B$2,COLUMN()-3))&lt;&gt;$B$2,"",COLUMN()-3)</f>
        <v/>
      </c>
      <c r="U4" s="10">
        <f>IF(MONTH(DATE($B$1,$B$2,COLUMN()-3))&lt;&gt;$B$2,"",COLUMN()-3)</f>
        <v/>
      </c>
      <c r="V4" s="10">
        <f>IF(MONTH(DATE($B$1,$B$2,COLUMN()-3))&lt;&gt;$B$2,"",COLUMN()-3)</f>
        <v/>
      </c>
      <c r="W4" s="10">
        <f>IF(MONTH(DATE($B$1,$B$2,COLUMN()-3))&lt;&gt;$B$2,"",COLUMN()-3)</f>
        <v/>
      </c>
      <c r="X4" s="10">
        <f>IF(MONTH(DATE($B$1,$B$2,COLUMN()-3))&lt;&gt;$B$2,"",COLUMN()-3)</f>
        <v/>
      </c>
      <c r="Y4" s="10">
        <f>IF(MONTH(DATE($B$1,$B$2,COLUMN()-3))&lt;&gt;$B$2,"",COLUMN()-3)</f>
        <v/>
      </c>
      <c r="Z4" s="10">
        <f>IF(MONTH(DATE($B$1,$B$2,COLUMN()-3))&lt;&gt;$B$2,"",COLUMN()-3)</f>
        <v/>
      </c>
      <c r="AA4" s="10">
        <f>IF(MONTH(DATE($B$1,$B$2,COLUMN()-3))&lt;&gt;$B$2,"",COLUMN()-3)</f>
        <v/>
      </c>
      <c r="AB4" s="10">
        <f>IF(MONTH(DATE($B$1,$B$2,COLUMN()-3))&lt;&gt;$B$2,"",COLUMN()-3)</f>
        <v/>
      </c>
      <c r="AC4" s="10">
        <f>IF(MONTH(DATE($B$1,$B$2,COLUMN()-3))&lt;&gt;$B$2,"",COLUMN()-3)</f>
        <v/>
      </c>
      <c r="AD4" s="10">
        <f>IF(MONTH(DATE($B$1,$B$2,COLUMN()-3))&lt;&gt;$B$2,"",COLUMN()-3)</f>
        <v/>
      </c>
      <c r="AE4" s="10">
        <f>IF(MONTH(DATE($B$1,$B$2,COLUMN()-3))&lt;&gt;$B$2,"",COLUMN()-3)</f>
        <v/>
      </c>
      <c r="AF4" s="10">
        <f>IF(MONTH(DATE($B$1,$B$2,COLUMN()-3))&lt;&gt;$B$2,"",COLUMN()-3)</f>
        <v/>
      </c>
      <c r="AG4" s="10">
        <f>IF(MONTH(DATE($B$1,$B$2,COLUMN()-3))&lt;&gt;$B$2,"",COLUMN()-3)</f>
        <v/>
      </c>
      <c r="AH4" s="10">
        <f>IF(MONTH(DATE($B$1,$B$2,COLUMN()-3))&lt;&gt;$B$2,"",COLUMN()-3)</f>
        <v/>
      </c>
    </row>
    <row r="5">
      <c r="D5" s="11">
        <f>IF(D$4="","",INDEX(코드!$M$2:$M$8,WEEKDAY(DATE($B$1,$B$2,D$4))))</f>
        <v/>
      </c>
      <c r="E5" s="11">
        <f>IF(E$4="","",INDEX(코드!$M$2:$M$8,WEEKDAY(DATE($B$1,$B$2,E$4))))</f>
        <v/>
      </c>
      <c r="F5" s="11">
        <f>IF(F$4="","",INDEX(코드!$M$2:$M$8,WEEKDAY(DATE($B$1,$B$2,F$4))))</f>
        <v/>
      </c>
      <c r="G5" s="11">
        <f>IF(G$4="","",INDEX(코드!$M$2:$M$8,WEEKDAY(DATE($B$1,$B$2,G$4))))</f>
        <v/>
      </c>
      <c r="H5" s="11">
        <f>IF(H$4="","",INDEX(코드!$M$2:$M$8,WEEKDAY(DATE($B$1,$B$2,H$4))))</f>
        <v/>
      </c>
      <c r="I5" s="11">
        <f>IF(I$4="","",INDEX(코드!$M$2:$M$8,WEEKDAY(DATE($B$1,$B$2,I$4))))</f>
        <v/>
      </c>
      <c r="J5" s="11">
        <f>IF(J$4="","",INDEX(코드!$M$2:$M$8,WEEKDAY(DATE($B$1,$B$2,J$4))))</f>
        <v/>
      </c>
      <c r="K5" s="11">
        <f>IF(K$4="","",INDEX(코드!$M$2:$M$8,WEEKDAY(DATE($B$1,$B$2,K$4))))</f>
        <v/>
      </c>
      <c r="L5" s="11">
        <f>IF(L$4="","",INDEX(코드!$M$2:$M$8,WEEKDAY(DATE($B$1,$B$2,L$4))))</f>
        <v/>
      </c>
      <c r="M5" s="11">
        <f>IF(M$4="","",INDEX(코드!$M$2:$M$8,WEEKDAY(DATE($B$1,$B$2,M$4))))</f>
        <v/>
      </c>
      <c r="N5" s="11">
        <f>IF(N$4="","",INDEX(코드!$M$2:$M$8,WEEKDAY(DATE($B$1,$B$2,N$4))))</f>
        <v/>
      </c>
      <c r="O5" s="11">
        <f>IF(O$4="","",INDEX(코드!$M$2:$M$8,WEEKDAY(DATE($B$1,$B$2,O$4))))</f>
        <v/>
      </c>
      <c r="P5" s="11">
        <f>IF(P$4="","",INDEX(코드!$M$2:$M$8,WEEKDAY(DATE($B$1,$B$2,P$4))))</f>
        <v/>
      </c>
      <c r="Q5" s="11">
        <f>IF(Q$4="","",INDEX(코드!$M$2:$M$8,WEEKDAY(DATE($B$1,$B$2,Q$4))))</f>
        <v/>
      </c>
      <c r="R5" s="11">
        <f>IF(R$4="","",INDEX(코드!$M$2:$M$8,WEEKDAY(DATE($B$1,$B$2,R$4))))</f>
        <v/>
      </c>
      <c r="S5" s="11">
        <f>IF(S$4="","",INDEX(코드!$M$2:$M$8,WEEKDAY(DATE($B$1,$B$2,S$4))))</f>
        <v/>
      </c>
      <c r="T5" s="11">
        <f>IF(T$4="","",INDEX(코드!$M$2:$M$8,WEEKDAY(DATE($B$1,$B$2,T$4))))</f>
        <v/>
      </c>
      <c r="U5" s="11">
        <f>IF(U$4="","",INDEX(코드!$M$2:$M$8,WEEKDAY(DATE($B$1,$B$2,U$4))))</f>
        <v/>
      </c>
      <c r="V5" s="11">
        <f>IF(V$4="","",INDEX(코드!$M$2:$M$8,WEEKDAY(DATE($B$1,$B$2,V$4))))</f>
        <v/>
      </c>
      <c r="W5" s="11">
        <f>IF(W$4="","",INDEX(코드!$M$2:$M$8,WEEKDAY(DATE($B$1,$B$2,W$4))))</f>
        <v/>
      </c>
      <c r="X5" s="11">
        <f>IF(X$4="","",INDEX(코드!$M$2:$M$8,WEEKDAY(DATE($B$1,$B$2,X$4))))</f>
        <v/>
      </c>
      <c r="Y5" s="11">
        <f>IF(Y$4="","",INDEX(코드!$M$2:$M$8,WEEKDAY(DATE($B$1,$B$2,Y$4))))</f>
        <v/>
      </c>
      <c r="Z5" s="11">
        <f>IF(Z$4="","",INDEX(코드!$M$2:$M$8,WEEKDAY(DATE($B$1,$B$2,Z$4))))</f>
        <v/>
      </c>
      <c r="AA5" s="11">
        <f>IF(AA$4="","",INDEX(코드!$M$2:$M$8,WEEKDAY(DATE($B$1,$B$2,AA$4))))</f>
        <v/>
      </c>
      <c r="AB5" s="11">
        <f>IF(AB$4="","",INDEX(코드!$M$2:$M$8,WEEKDAY(DATE($B$1,$B$2,AB$4))))</f>
        <v/>
      </c>
      <c r="AC5" s="11">
        <f>IF(AC$4="","",INDEX(코드!$M$2:$M$8,WEEKDAY(DATE($B$1,$B$2,AC$4))))</f>
        <v/>
      </c>
      <c r="AD5" s="11">
        <f>IF(AD$4="","",INDEX(코드!$M$2:$M$8,WEEKDAY(DATE($B$1,$B$2,AD$4))))</f>
        <v/>
      </c>
      <c r="AE5" s="11">
        <f>IF(AE$4="","",INDEX(코드!$M$2:$M$8,WEEKDAY(DATE($B$1,$B$2,AE$4))))</f>
        <v/>
      </c>
      <c r="AF5" s="11">
        <f>IF(AF$4="","",INDEX(코드!$M$2:$M$8,WEEKDAY(DATE($B$1,$B$2,AF$4))))</f>
        <v/>
      </c>
      <c r="AG5" s="11">
        <f>IF(AG$4="","",INDEX(코드!$M$2:$M$8,WEEKDAY(DATE($B$1,$B$2,AG$4))))</f>
        <v/>
      </c>
      <c r="AH5" s="11">
        <f>IF(AH$4="","",INDEX(코드!$M$2:$M$8,WEEKDAY(DATE($B$1,$B$2,AH$4))))</f>
        <v/>
      </c>
    </row>
    <row r="6">
      <c r="D6" s="9">
        <f>IF(D$4="","",IF(OR(WEEKDAY(DATE($B$1,$B$2,D$4),2)&gt;5,COUNTIF(공휴일!$A$2:$A$400,DATE($B$1,$B$2,D$4))&gt;0),"휴일",""))</f>
        <v/>
      </c>
      <c r="E6" s="9">
        <f>IF(E$4="","",IF(OR(WEEKDAY(DATE($B$1,$B$2,E$4),2)&gt;5,COUNTIF(공휴일!$A$2:$A$400,DATE($B$1,$B$2,E$4))&gt;0),"휴일",""))</f>
        <v/>
      </c>
      <c r="F6" s="9">
        <f>IF(F$4="","",IF(OR(WEEKDAY(DATE($B$1,$B$2,F$4),2)&gt;5,COUNTIF(공휴일!$A$2:$A$400,DATE($B$1,$B$2,F$4))&gt;0),"휴일",""))</f>
        <v/>
      </c>
      <c r="G6" s="9">
        <f>IF(G$4="","",IF(OR(WEEKDAY(DATE($B$1,$B$2,G$4),2)&gt;5,COUNTIF(공휴일!$A$2:$A$400,DATE($B$1,$B$2,G$4))&gt;0),"휴일",""))</f>
        <v/>
      </c>
      <c r="H6" s="9">
        <f>IF(H$4="","",IF(OR(WEEKDAY(DATE($B$1,$B$2,H$4),2)&gt;5,COUNTIF(공휴일!$A$2:$A$400,DATE($B$1,$B$2,H$4))&gt;0),"휴일",""))</f>
        <v/>
      </c>
      <c r="I6" s="9">
        <f>IF(I$4="","",IF(OR(WEEKDAY(DATE($B$1,$B$2,I$4),2)&gt;5,COUNTIF(공휴일!$A$2:$A$400,DATE($B$1,$B$2,I$4))&gt;0),"휴일",""))</f>
        <v/>
      </c>
      <c r="J6" s="9">
        <f>IF(J$4="","",IF(OR(WEEKDAY(DATE($B$1,$B$2,J$4),2)&gt;5,COUNTIF(공휴일!$A$2:$A$400,DATE($B$1,$B$2,J$4))&gt;0),"휴일",""))</f>
        <v/>
      </c>
      <c r="K6" s="9">
        <f>IF(K$4="","",IF(OR(WEEKDAY(DATE($B$1,$B$2,K$4),2)&gt;5,COUNTIF(공휴일!$A$2:$A$400,DATE($B$1,$B$2,K$4))&gt;0),"휴일",""))</f>
        <v/>
      </c>
      <c r="L6" s="9">
        <f>IF(L$4="","",IF(OR(WEEKDAY(DATE($B$1,$B$2,L$4),2)&gt;5,COUNTIF(공휴일!$A$2:$A$400,DATE($B$1,$B$2,L$4))&gt;0),"휴일",""))</f>
        <v/>
      </c>
      <c r="M6" s="9">
        <f>IF(M$4="","",IF(OR(WEEKDAY(DATE($B$1,$B$2,M$4),2)&gt;5,COUNTIF(공휴일!$A$2:$A$400,DATE($B$1,$B$2,M$4))&gt;0),"휴일",""))</f>
        <v/>
      </c>
      <c r="N6" s="9">
        <f>IF(N$4="","",IF(OR(WEEKDAY(DATE($B$1,$B$2,N$4),2)&gt;5,COUNTIF(공휴일!$A$2:$A$400,DATE($B$1,$B$2,N$4))&gt;0),"휴일",""))</f>
        <v/>
      </c>
      <c r="O6" s="9">
        <f>IF(O$4="","",IF(OR(WEEKDAY(DATE($B$1,$B$2,O$4),2)&gt;5,COUNTIF(공휴일!$A$2:$A$400,DATE($B$1,$B$2,O$4))&gt;0),"휴일",""))</f>
        <v/>
      </c>
      <c r="P6" s="9">
        <f>IF(P$4="","",IF(OR(WEEKDAY(DATE($B$1,$B$2,P$4),2)&gt;5,COUNTIF(공휴일!$A$2:$A$400,DATE($B$1,$B$2,P$4))&gt;0),"휴일",""))</f>
        <v/>
      </c>
      <c r="Q6" s="9">
        <f>IF(Q$4="","",IF(OR(WEEKDAY(DATE($B$1,$B$2,Q$4),2)&gt;5,COUNTIF(공휴일!$A$2:$A$400,DATE($B$1,$B$2,Q$4))&gt;0),"휴일",""))</f>
        <v/>
      </c>
      <c r="R6" s="9">
        <f>IF(R$4="","",IF(OR(WEEKDAY(DATE($B$1,$B$2,R$4),2)&gt;5,COUNTIF(공휴일!$A$2:$A$400,DATE($B$1,$B$2,R$4))&gt;0),"휴일",""))</f>
        <v/>
      </c>
      <c r="S6" s="9">
        <f>IF(S$4="","",IF(OR(WEEKDAY(DATE($B$1,$B$2,S$4),2)&gt;5,COUNTIF(공휴일!$A$2:$A$400,DATE($B$1,$B$2,S$4))&gt;0),"휴일",""))</f>
        <v/>
      </c>
      <c r="T6" s="9">
        <f>IF(T$4="","",IF(OR(WEEKDAY(DATE($B$1,$B$2,T$4),2)&gt;5,COUNTIF(공휴일!$A$2:$A$400,DATE($B$1,$B$2,T$4))&gt;0),"휴일",""))</f>
        <v/>
      </c>
      <c r="U6" s="9">
        <f>IF(U$4="","",IF(OR(WEEKDAY(DATE($B$1,$B$2,U$4),2)&gt;5,COUNTIF(공휴일!$A$2:$A$400,DATE($B$1,$B$2,U$4))&gt;0),"휴일",""))</f>
        <v/>
      </c>
      <c r="V6" s="9">
        <f>IF(V$4="","",IF(OR(WEEKDAY(DATE($B$1,$B$2,V$4),2)&gt;5,COUNTIF(공휴일!$A$2:$A$400,DATE($B$1,$B$2,V$4))&gt;0),"휴일",""))</f>
        <v/>
      </c>
      <c r="W6" s="9">
        <f>IF(W$4="","",IF(OR(WEEKDAY(DATE($B$1,$B$2,W$4),2)&gt;5,COUNTIF(공휴일!$A$2:$A$400,DATE($B$1,$B$2,W$4))&gt;0),"휴일",""))</f>
        <v/>
      </c>
      <c r="X6" s="9">
        <f>IF(X$4="","",IF(OR(WEEKDAY(DATE($B$1,$B$2,X$4),2)&gt;5,COUNTIF(공휴일!$A$2:$A$400,DATE($B$1,$B$2,X$4))&gt;0),"휴일",""))</f>
        <v/>
      </c>
      <c r="Y6" s="9">
        <f>IF(Y$4="","",IF(OR(WEEKDAY(DATE($B$1,$B$2,Y$4),2)&gt;5,COUNTIF(공휴일!$A$2:$A$400,DATE($B$1,$B$2,Y$4))&gt;0),"휴일",""))</f>
        <v/>
      </c>
      <c r="Z6" s="9">
        <f>IF(Z$4="","",IF(OR(WEEKDAY(DATE($B$1,$B$2,Z$4),2)&gt;5,COUNTIF(공휴일!$A$2:$A$400,DATE($B$1,$B$2,Z$4))&gt;0),"휴일",""))</f>
        <v/>
      </c>
      <c r="AA6" s="9">
        <f>IF(AA$4="","",IF(OR(WEEKDAY(DATE($B$1,$B$2,AA$4),2)&gt;5,COUNTIF(공휴일!$A$2:$A$400,DATE($B$1,$B$2,AA$4))&gt;0),"휴일",""))</f>
        <v/>
      </c>
      <c r="AB6" s="9">
        <f>IF(AB$4="","",IF(OR(WEEKDAY(DATE($B$1,$B$2,AB$4),2)&gt;5,COUNTIF(공휴일!$A$2:$A$400,DATE($B$1,$B$2,AB$4))&gt;0),"휴일",""))</f>
        <v/>
      </c>
      <c r="AC6" s="9">
        <f>IF(AC$4="","",IF(OR(WEEKDAY(DATE($B$1,$B$2,AC$4),2)&gt;5,COUNTIF(공휴일!$A$2:$A$400,DATE($B$1,$B$2,AC$4))&gt;0),"휴일",""))</f>
        <v/>
      </c>
      <c r="AD6" s="9">
        <f>IF(AD$4="","",IF(OR(WEEKDAY(DATE($B$1,$B$2,AD$4),2)&gt;5,COUNTIF(공휴일!$A$2:$A$400,DATE($B$1,$B$2,AD$4))&gt;0),"휴일",""))</f>
        <v/>
      </c>
      <c r="AE6" s="9">
        <f>IF(AE$4="","",IF(OR(WEEKDAY(DATE($B$1,$B$2,AE$4),2)&gt;5,COUNTIF(공휴일!$A$2:$A$400,DATE($B$1,$B$2,AE$4))&gt;0),"휴일",""))</f>
        <v/>
      </c>
      <c r="AF6" s="9">
        <f>IF(AF$4="","",IF(OR(WEEKDAY(DATE($B$1,$B$2,AF$4),2)&gt;5,COUNTIF(공휴일!$A$2:$A$400,DATE($B$1,$B$2,AF$4))&gt;0),"휴일",""))</f>
        <v/>
      </c>
      <c r="AG6" s="9">
        <f>IF(AG$4="","",IF(OR(WEEKDAY(DATE($B$1,$B$2,AG$4),2)&gt;5,COUNTIF(공휴일!$A$2:$A$400,DATE($B$1,$B$2,AG$4))&gt;0),"휴일",""))</f>
        <v/>
      </c>
      <c r="AH6" s="9">
        <f>IF(AH$4="","",IF(OR(WEEKDAY(DATE($B$1,$B$2,AH$4),2)&gt;5,COUNTIF(공휴일!$A$2:$A$400,DATE($B$1,$B$2,AH$4))&gt;0),"휴일",""))</f>
        <v/>
      </c>
    </row>
    <row r="7">
      <c r="A7" s="10" t="inlineStr">
        <is>
          <t>이름</t>
        </is>
      </c>
      <c r="B7" s="10" t="inlineStr">
        <is>
          <t>파트</t>
        </is>
      </c>
      <c r="C7" s="10" t="inlineStr">
        <is>
          <t>그룹</t>
        </is>
      </c>
    </row>
    <row r="8">
      <c r="A8" s="12">
        <f>IF(명부!A2="","",명부!A2)</f>
        <v/>
      </c>
      <c r="B8" s="13">
        <f>IF(명부!C2="","",명부!C2)</f>
        <v/>
      </c>
      <c r="C8" s="14">
        <f>IF(명부!E2="","",명부!E2)</f>
        <v/>
      </c>
      <c r="D8" s="21">
        <f>IF(근태!D$4="",0,IF(근태!D8="",IF(근태!D$6="휴일",0,8),IFERROR(INDEX(코드!$D$2:$D$107,MATCH(근태!D8,코드!$A$2:$A$107,0)),0)))</f>
        <v/>
      </c>
      <c r="E8" s="21">
        <f>IF(근태!E$4="",0,IF(근태!E8="",IF(근태!E$6="휴일",0,8),IFERROR(INDEX(코드!$D$2:$D$107,MATCH(근태!E8,코드!$A$2:$A$107,0)),0)))</f>
        <v/>
      </c>
      <c r="F8" s="21">
        <f>IF(근태!F$4="",0,IF(근태!F8="",IF(근태!F$6="휴일",0,8),IFERROR(INDEX(코드!$D$2:$D$107,MATCH(근태!F8,코드!$A$2:$A$107,0)),0)))</f>
        <v/>
      </c>
      <c r="G8" s="21">
        <f>IF(근태!G$4="",0,IF(근태!G8="",IF(근태!G$6="휴일",0,8),IFERROR(INDEX(코드!$D$2:$D$107,MATCH(근태!G8,코드!$A$2:$A$107,0)),0)))</f>
        <v/>
      </c>
      <c r="H8" s="21">
        <f>IF(근태!H$4="",0,IF(근태!H8="",IF(근태!H$6="휴일",0,8),IFERROR(INDEX(코드!$D$2:$D$107,MATCH(근태!H8,코드!$A$2:$A$107,0)),0)))</f>
        <v/>
      </c>
      <c r="I8" s="21">
        <f>IF(근태!I$4="",0,IF(근태!I8="",IF(근태!I$6="휴일",0,8),IFERROR(INDEX(코드!$D$2:$D$107,MATCH(근태!I8,코드!$A$2:$A$107,0)),0)))</f>
        <v/>
      </c>
      <c r="J8" s="21">
        <f>IF(근태!J$4="",0,IF(근태!J8="",IF(근태!J$6="휴일",0,8),IFERROR(INDEX(코드!$D$2:$D$107,MATCH(근태!J8,코드!$A$2:$A$107,0)),0)))</f>
        <v/>
      </c>
      <c r="K8" s="21">
        <f>IF(근태!K$4="",0,IF(근태!K8="",IF(근태!K$6="휴일",0,8),IFERROR(INDEX(코드!$D$2:$D$107,MATCH(근태!K8,코드!$A$2:$A$107,0)),0)))</f>
        <v/>
      </c>
      <c r="L8" s="21">
        <f>IF(근태!L$4="",0,IF(근태!L8="",IF(근태!L$6="휴일",0,8),IFERROR(INDEX(코드!$D$2:$D$107,MATCH(근태!L8,코드!$A$2:$A$107,0)),0)))</f>
        <v/>
      </c>
      <c r="M8" s="21">
        <f>IF(근태!M$4="",0,IF(근태!M8="",IF(근태!M$6="휴일",0,8),IFERROR(INDEX(코드!$D$2:$D$107,MATCH(근태!M8,코드!$A$2:$A$107,0)),0)))</f>
        <v/>
      </c>
      <c r="N8" s="21">
        <f>IF(근태!N$4="",0,IF(근태!N8="",IF(근태!N$6="휴일",0,8),IFERROR(INDEX(코드!$D$2:$D$107,MATCH(근태!N8,코드!$A$2:$A$107,0)),0)))</f>
        <v/>
      </c>
      <c r="O8" s="21">
        <f>IF(근태!O$4="",0,IF(근태!O8="",IF(근태!O$6="휴일",0,8),IFERROR(INDEX(코드!$D$2:$D$107,MATCH(근태!O8,코드!$A$2:$A$107,0)),0)))</f>
        <v/>
      </c>
      <c r="P8" s="21">
        <f>IF(근태!P$4="",0,IF(근태!P8="",IF(근태!P$6="휴일",0,8),IFERROR(INDEX(코드!$D$2:$D$107,MATCH(근태!P8,코드!$A$2:$A$107,0)),0)))</f>
        <v/>
      </c>
      <c r="Q8" s="21">
        <f>IF(근태!Q$4="",0,IF(근태!Q8="",IF(근태!Q$6="휴일",0,8),IFERROR(INDEX(코드!$D$2:$D$107,MATCH(근태!Q8,코드!$A$2:$A$107,0)),0)))</f>
        <v/>
      </c>
      <c r="R8" s="21">
        <f>IF(근태!R$4="",0,IF(근태!R8="",IF(근태!R$6="휴일",0,8),IFERROR(INDEX(코드!$D$2:$D$107,MATCH(근태!R8,코드!$A$2:$A$107,0)),0)))</f>
        <v/>
      </c>
      <c r="S8" s="21">
        <f>IF(근태!S$4="",0,IF(근태!S8="",IF(근태!S$6="휴일",0,8),IFERROR(INDEX(코드!$D$2:$D$107,MATCH(근태!S8,코드!$A$2:$A$107,0)),0)))</f>
        <v/>
      </c>
      <c r="T8" s="21">
        <f>IF(근태!T$4="",0,IF(근태!T8="",IF(근태!T$6="휴일",0,8),IFERROR(INDEX(코드!$D$2:$D$107,MATCH(근태!T8,코드!$A$2:$A$107,0)),0)))</f>
        <v/>
      </c>
      <c r="U8" s="21">
        <f>IF(근태!U$4="",0,IF(근태!U8="",IF(근태!U$6="휴일",0,8),IFERROR(INDEX(코드!$D$2:$D$107,MATCH(근태!U8,코드!$A$2:$A$107,0)),0)))</f>
        <v/>
      </c>
      <c r="V8" s="21">
        <f>IF(근태!V$4="",0,IF(근태!V8="",IF(근태!V$6="휴일",0,8),IFERROR(INDEX(코드!$D$2:$D$107,MATCH(근태!V8,코드!$A$2:$A$107,0)),0)))</f>
        <v/>
      </c>
      <c r="W8" s="21">
        <f>IF(근태!W$4="",0,IF(근태!W8="",IF(근태!W$6="휴일",0,8),IFERROR(INDEX(코드!$D$2:$D$107,MATCH(근태!W8,코드!$A$2:$A$107,0)),0)))</f>
        <v/>
      </c>
      <c r="X8" s="21">
        <f>IF(근태!X$4="",0,IF(근태!X8="",IF(근태!X$6="휴일",0,8),IFERROR(INDEX(코드!$D$2:$D$107,MATCH(근태!X8,코드!$A$2:$A$107,0)),0)))</f>
        <v/>
      </c>
      <c r="Y8" s="21">
        <f>IF(근태!Y$4="",0,IF(근태!Y8="",IF(근태!Y$6="휴일",0,8),IFERROR(INDEX(코드!$D$2:$D$107,MATCH(근태!Y8,코드!$A$2:$A$107,0)),0)))</f>
        <v/>
      </c>
      <c r="Z8" s="21">
        <f>IF(근태!Z$4="",0,IF(근태!Z8="",IF(근태!Z$6="휴일",0,8),IFERROR(INDEX(코드!$D$2:$D$107,MATCH(근태!Z8,코드!$A$2:$A$107,0)),0)))</f>
        <v/>
      </c>
      <c r="AA8" s="21">
        <f>IF(근태!AA$4="",0,IF(근태!AA8="",IF(근태!AA$6="휴일",0,8),IFERROR(INDEX(코드!$D$2:$D$107,MATCH(근태!AA8,코드!$A$2:$A$107,0)),0)))</f>
        <v/>
      </c>
      <c r="AB8" s="21">
        <f>IF(근태!AB$4="",0,IF(근태!AB8="",IF(근태!AB$6="휴일",0,8),IFERROR(INDEX(코드!$D$2:$D$107,MATCH(근태!AB8,코드!$A$2:$A$107,0)),0)))</f>
        <v/>
      </c>
      <c r="AC8" s="21">
        <f>IF(근태!AC$4="",0,IF(근태!AC8="",IF(근태!AC$6="휴일",0,8),IFERROR(INDEX(코드!$D$2:$D$107,MATCH(근태!AC8,코드!$A$2:$A$107,0)),0)))</f>
        <v/>
      </c>
      <c r="AD8" s="21">
        <f>IF(근태!AD$4="",0,IF(근태!AD8="",IF(근태!AD$6="휴일",0,8),IFERROR(INDEX(코드!$D$2:$D$107,MATCH(근태!AD8,코드!$A$2:$A$107,0)),0)))</f>
        <v/>
      </c>
      <c r="AE8" s="21">
        <f>IF(근태!AE$4="",0,IF(근태!AE8="",IF(근태!AE$6="휴일",0,8),IFERROR(INDEX(코드!$D$2:$D$107,MATCH(근태!AE8,코드!$A$2:$A$107,0)),0)))</f>
        <v/>
      </c>
      <c r="AF8" s="21">
        <f>IF(근태!AF$4="",0,IF(근태!AF8="",IF(근태!AF$6="휴일",0,8),IFERROR(INDEX(코드!$D$2:$D$107,MATCH(근태!AF8,코드!$A$2:$A$107,0)),0)))</f>
        <v/>
      </c>
      <c r="AG8" s="21">
        <f>IF(근태!AG$4="",0,IF(근태!AG8="",IF(근태!AG$6="휴일",0,8),IFERROR(INDEX(코드!$D$2:$D$107,MATCH(근태!AG8,코드!$A$2:$A$107,0)),0)))</f>
        <v/>
      </c>
      <c r="AH8" s="21">
        <f>IF(근태!AH$4="",0,IF(근태!AH8="",IF(근태!AH$6="휴일",0,8),IFERROR(INDEX(코드!$D$2:$D$107,MATCH(근태!AH8,코드!$A$2:$A$107,0)),0)))</f>
        <v/>
      </c>
    </row>
    <row r="9">
      <c r="A9" s="12">
        <f>IF(명부!A3="","",명부!A3)</f>
        <v/>
      </c>
      <c r="B9" s="13">
        <f>IF(명부!C3="","",명부!C3)</f>
        <v/>
      </c>
      <c r="C9" s="14">
        <f>IF(명부!E3="","",명부!E3)</f>
        <v/>
      </c>
      <c r="D9" s="21">
        <f>IF(근태!D$4="",0,IF(근태!D9="",IF(근태!D$6="휴일",0,8),IFERROR(INDEX(코드!$D$2:$D$107,MATCH(근태!D9,코드!$A$2:$A$107,0)),0)))</f>
        <v/>
      </c>
      <c r="E9" s="21">
        <f>IF(근태!E$4="",0,IF(근태!E9="",IF(근태!E$6="휴일",0,8),IFERROR(INDEX(코드!$D$2:$D$107,MATCH(근태!E9,코드!$A$2:$A$107,0)),0)))</f>
        <v/>
      </c>
      <c r="F9" s="21">
        <f>IF(근태!F$4="",0,IF(근태!F9="",IF(근태!F$6="휴일",0,8),IFERROR(INDEX(코드!$D$2:$D$107,MATCH(근태!F9,코드!$A$2:$A$107,0)),0)))</f>
        <v/>
      </c>
      <c r="G9" s="21">
        <f>IF(근태!G$4="",0,IF(근태!G9="",IF(근태!G$6="휴일",0,8),IFERROR(INDEX(코드!$D$2:$D$107,MATCH(근태!G9,코드!$A$2:$A$107,0)),0)))</f>
        <v/>
      </c>
      <c r="H9" s="21">
        <f>IF(근태!H$4="",0,IF(근태!H9="",IF(근태!H$6="휴일",0,8),IFERROR(INDEX(코드!$D$2:$D$107,MATCH(근태!H9,코드!$A$2:$A$107,0)),0)))</f>
        <v/>
      </c>
      <c r="I9" s="21">
        <f>IF(근태!I$4="",0,IF(근태!I9="",IF(근태!I$6="휴일",0,8),IFERROR(INDEX(코드!$D$2:$D$107,MATCH(근태!I9,코드!$A$2:$A$107,0)),0)))</f>
        <v/>
      </c>
      <c r="J9" s="21">
        <f>IF(근태!J$4="",0,IF(근태!J9="",IF(근태!J$6="휴일",0,8),IFERROR(INDEX(코드!$D$2:$D$107,MATCH(근태!J9,코드!$A$2:$A$107,0)),0)))</f>
        <v/>
      </c>
      <c r="K9" s="21">
        <f>IF(근태!K$4="",0,IF(근태!K9="",IF(근태!K$6="휴일",0,8),IFERROR(INDEX(코드!$D$2:$D$107,MATCH(근태!K9,코드!$A$2:$A$107,0)),0)))</f>
        <v/>
      </c>
      <c r="L9" s="21">
        <f>IF(근태!L$4="",0,IF(근태!L9="",IF(근태!L$6="휴일",0,8),IFERROR(INDEX(코드!$D$2:$D$107,MATCH(근태!L9,코드!$A$2:$A$107,0)),0)))</f>
        <v/>
      </c>
      <c r="M9" s="21">
        <f>IF(근태!M$4="",0,IF(근태!M9="",IF(근태!M$6="휴일",0,8),IFERROR(INDEX(코드!$D$2:$D$107,MATCH(근태!M9,코드!$A$2:$A$107,0)),0)))</f>
        <v/>
      </c>
      <c r="N9" s="21">
        <f>IF(근태!N$4="",0,IF(근태!N9="",IF(근태!N$6="휴일",0,8),IFERROR(INDEX(코드!$D$2:$D$107,MATCH(근태!N9,코드!$A$2:$A$107,0)),0)))</f>
        <v/>
      </c>
      <c r="O9" s="21">
        <f>IF(근태!O$4="",0,IF(근태!O9="",IF(근태!O$6="휴일",0,8),IFERROR(INDEX(코드!$D$2:$D$107,MATCH(근태!O9,코드!$A$2:$A$107,0)),0)))</f>
        <v/>
      </c>
      <c r="P9" s="21">
        <f>IF(근태!P$4="",0,IF(근태!P9="",IF(근태!P$6="휴일",0,8),IFERROR(INDEX(코드!$D$2:$D$107,MATCH(근태!P9,코드!$A$2:$A$107,0)),0)))</f>
        <v/>
      </c>
      <c r="Q9" s="21">
        <f>IF(근태!Q$4="",0,IF(근태!Q9="",IF(근태!Q$6="휴일",0,8),IFERROR(INDEX(코드!$D$2:$D$107,MATCH(근태!Q9,코드!$A$2:$A$107,0)),0)))</f>
        <v/>
      </c>
      <c r="R9" s="21">
        <f>IF(근태!R$4="",0,IF(근태!R9="",IF(근태!R$6="휴일",0,8),IFERROR(INDEX(코드!$D$2:$D$107,MATCH(근태!R9,코드!$A$2:$A$107,0)),0)))</f>
        <v/>
      </c>
      <c r="S9" s="21">
        <f>IF(근태!S$4="",0,IF(근태!S9="",IF(근태!S$6="휴일",0,8),IFERROR(INDEX(코드!$D$2:$D$107,MATCH(근태!S9,코드!$A$2:$A$107,0)),0)))</f>
        <v/>
      </c>
      <c r="T9" s="21">
        <f>IF(근태!T$4="",0,IF(근태!T9="",IF(근태!T$6="휴일",0,8),IFERROR(INDEX(코드!$D$2:$D$107,MATCH(근태!T9,코드!$A$2:$A$107,0)),0)))</f>
        <v/>
      </c>
      <c r="U9" s="21">
        <f>IF(근태!U$4="",0,IF(근태!U9="",IF(근태!U$6="휴일",0,8),IFERROR(INDEX(코드!$D$2:$D$107,MATCH(근태!U9,코드!$A$2:$A$107,0)),0)))</f>
        <v/>
      </c>
      <c r="V9" s="21">
        <f>IF(근태!V$4="",0,IF(근태!V9="",IF(근태!V$6="휴일",0,8),IFERROR(INDEX(코드!$D$2:$D$107,MATCH(근태!V9,코드!$A$2:$A$107,0)),0)))</f>
        <v/>
      </c>
      <c r="W9" s="21">
        <f>IF(근태!W$4="",0,IF(근태!W9="",IF(근태!W$6="휴일",0,8),IFERROR(INDEX(코드!$D$2:$D$107,MATCH(근태!W9,코드!$A$2:$A$107,0)),0)))</f>
        <v/>
      </c>
      <c r="X9" s="21">
        <f>IF(근태!X$4="",0,IF(근태!X9="",IF(근태!X$6="휴일",0,8),IFERROR(INDEX(코드!$D$2:$D$107,MATCH(근태!X9,코드!$A$2:$A$107,0)),0)))</f>
        <v/>
      </c>
      <c r="Y9" s="21">
        <f>IF(근태!Y$4="",0,IF(근태!Y9="",IF(근태!Y$6="휴일",0,8),IFERROR(INDEX(코드!$D$2:$D$107,MATCH(근태!Y9,코드!$A$2:$A$107,0)),0)))</f>
        <v/>
      </c>
      <c r="Z9" s="21">
        <f>IF(근태!Z$4="",0,IF(근태!Z9="",IF(근태!Z$6="휴일",0,8),IFERROR(INDEX(코드!$D$2:$D$107,MATCH(근태!Z9,코드!$A$2:$A$107,0)),0)))</f>
        <v/>
      </c>
      <c r="AA9" s="21">
        <f>IF(근태!AA$4="",0,IF(근태!AA9="",IF(근태!AA$6="휴일",0,8),IFERROR(INDEX(코드!$D$2:$D$107,MATCH(근태!AA9,코드!$A$2:$A$107,0)),0)))</f>
        <v/>
      </c>
      <c r="AB9" s="21">
        <f>IF(근태!AB$4="",0,IF(근태!AB9="",IF(근태!AB$6="휴일",0,8),IFERROR(INDEX(코드!$D$2:$D$107,MATCH(근태!AB9,코드!$A$2:$A$107,0)),0)))</f>
        <v/>
      </c>
      <c r="AC9" s="21">
        <f>IF(근태!AC$4="",0,IF(근태!AC9="",IF(근태!AC$6="휴일",0,8),IFERROR(INDEX(코드!$D$2:$D$107,MATCH(근태!AC9,코드!$A$2:$A$107,0)),0)))</f>
        <v/>
      </c>
      <c r="AD9" s="21">
        <f>IF(근태!AD$4="",0,IF(근태!AD9="",IF(근태!AD$6="휴일",0,8),IFERROR(INDEX(코드!$D$2:$D$107,MATCH(근태!AD9,코드!$A$2:$A$107,0)),0)))</f>
        <v/>
      </c>
      <c r="AE9" s="21">
        <f>IF(근태!AE$4="",0,IF(근태!AE9="",IF(근태!AE$6="휴일",0,8),IFERROR(INDEX(코드!$D$2:$D$107,MATCH(근태!AE9,코드!$A$2:$A$107,0)),0)))</f>
        <v/>
      </c>
      <c r="AF9" s="21">
        <f>IF(근태!AF$4="",0,IF(근태!AF9="",IF(근태!AF$6="휴일",0,8),IFERROR(INDEX(코드!$D$2:$D$107,MATCH(근태!AF9,코드!$A$2:$A$107,0)),0)))</f>
        <v/>
      </c>
      <c r="AG9" s="21">
        <f>IF(근태!AG$4="",0,IF(근태!AG9="",IF(근태!AG$6="휴일",0,8),IFERROR(INDEX(코드!$D$2:$D$107,MATCH(근태!AG9,코드!$A$2:$A$107,0)),0)))</f>
        <v/>
      </c>
      <c r="AH9" s="21">
        <f>IF(근태!AH$4="",0,IF(근태!AH9="",IF(근태!AH$6="휴일",0,8),IFERROR(INDEX(코드!$D$2:$D$107,MATCH(근태!AH9,코드!$A$2:$A$107,0)),0)))</f>
        <v/>
      </c>
    </row>
    <row r="10">
      <c r="A10" s="12">
        <f>IF(명부!A4="","",명부!A4)</f>
        <v/>
      </c>
      <c r="B10" s="13">
        <f>IF(명부!C4="","",명부!C4)</f>
        <v/>
      </c>
      <c r="C10" s="14">
        <f>IF(명부!E4="","",명부!E4)</f>
        <v/>
      </c>
      <c r="D10" s="21">
        <f>IF(근태!D$4="",0,IF(근태!D10="",IF(근태!D$6="휴일",0,8),IFERROR(INDEX(코드!$D$2:$D$107,MATCH(근태!D10,코드!$A$2:$A$107,0)),0)))</f>
        <v/>
      </c>
      <c r="E10" s="21">
        <f>IF(근태!E$4="",0,IF(근태!E10="",IF(근태!E$6="휴일",0,8),IFERROR(INDEX(코드!$D$2:$D$107,MATCH(근태!E10,코드!$A$2:$A$107,0)),0)))</f>
        <v/>
      </c>
      <c r="F10" s="21">
        <f>IF(근태!F$4="",0,IF(근태!F10="",IF(근태!F$6="휴일",0,8),IFERROR(INDEX(코드!$D$2:$D$107,MATCH(근태!F10,코드!$A$2:$A$107,0)),0)))</f>
        <v/>
      </c>
      <c r="G10" s="21">
        <f>IF(근태!G$4="",0,IF(근태!G10="",IF(근태!G$6="휴일",0,8),IFERROR(INDEX(코드!$D$2:$D$107,MATCH(근태!G10,코드!$A$2:$A$107,0)),0)))</f>
        <v/>
      </c>
      <c r="H10" s="21">
        <f>IF(근태!H$4="",0,IF(근태!H10="",IF(근태!H$6="휴일",0,8),IFERROR(INDEX(코드!$D$2:$D$107,MATCH(근태!H10,코드!$A$2:$A$107,0)),0)))</f>
        <v/>
      </c>
      <c r="I10" s="21">
        <f>IF(근태!I$4="",0,IF(근태!I10="",IF(근태!I$6="휴일",0,8),IFERROR(INDEX(코드!$D$2:$D$107,MATCH(근태!I10,코드!$A$2:$A$107,0)),0)))</f>
        <v/>
      </c>
      <c r="J10" s="21">
        <f>IF(근태!J$4="",0,IF(근태!J10="",IF(근태!J$6="휴일",0,8),IFERROR(INDEX(코드!$D$2:$D$107,MATCH(근태!J10,코드!$A$2:$A$107,0)),0)))</f>
        <v/>
      </c>
      <c r="K10" s="21">
        <f>IF(근태!K$4="",0,IF(근태!K10="",IF(근태!K$6="휴일",0,8),IFERROR(INDEX(코드!$D$2:$D$107,MATCH(근태!K10,코드!$A$2:$A$107,0)),0)))</f>
        <v/>
      </c>
      <c r="L10" s="21">
        <f>IF(근태!L$4="",0,IF(근태!L10="",IF(근태!L$6="휴일",0,8),IFERROR(INDEX(코드!$D$2:$D$107,MATCH(근태!L10,코드!$A$2:$A$107,0)),0)))</f>
        <v/>
      </c>
      <c r="M10" s="21">
        <f>IF(근태!M$4="",0,IF(근태!M10="",IF(근태!M$6="휴일",0,8),IFERROR(INDEX(코드!$D$2:$D$107,MATCH(근태!M10,코드!$A$2:$A$107,0)),0)))</f>
        <v/>
      </c>
      <c r="N10" s="21">
        <f>IF(근태!N$4="",0,IF(근태!N10="",IF(근태!N$6="휴일",0,8),IFERROR(INDEX(코드!$D$2:$D$107,MATCH(근태!N10,코드!$A$2:$A$107,0)),0)))</f>
        <v/>
      </c>
      <c r="O10" s="21">
        <f>IF(근태!O$4="",0,IF(근태!O10="",IF(근태!O$6="휴일",0,8),IFERROR(INDEX(코드!$D$2:$D$107,MATCH(근태!O10,코드!$A$2:$A$107,0)),0)))</f>
        <v/>
      </c>
      <c r="P10" s="21">
        <f>IF(근태!P$4="",0,IF(근태!P10="",IF(근태!P$6="휴일",0,8),IFERROR(INDEX(코드!$D$2:$D$107,MATCH(근태!P10,코드!$A$2:$A$107,0)),0)))</f>
        <v/>
      </c>
      <c r="Q10" s="21">
        <f>IF(근태!Q$4="",0,IF(근태!Q10="",IF(근태!Q$6="휴일",0,8),IFERROR(INDEX(코드!$D$2:$D$107,MATCH(근태!Q10,코드!$A$2:$A$107,0)),0)))</f>
        <v/>
      </c>
      <c r="R10" s="21">
        <f>IF(근태!R$4="",0,IF(근태!R10="",IF(근태!R$6="휴일",0,8),IFERROR(INDEX(코드!$D$2:$D$107,MATCH(근태!R10,코드!$A$2:$A$107,0)),0)))</f>
        <v/>
      </c>
      <c r="S10" s="21">
        <f>IF(근태!S$4="",0,IF(근태!S10="",IF(근태!S$6="휴일",0,8),IFERROR(INDEX(코드!$D$2:$D$107,MATCH(근태!S10,코드!$A$2:$A$107,0)),0)))</f>
        <v/>
      </c>
      <c r="T10" s="21">
        <f>IF(근태!T$4="",0,IF(근태!T10="",IF(근태!T$6="휴일",0,8),IFERROR(INDEX(코드!$D$2:$D$107,MATCH(근태!T10,코드!$A$2:$A$107,0)),0)))</f>
        <v/>
      </c>
      <c r="U10" s="21">
        <f>IF(근태!U$4="",0,IF(근태!U10="",IF(근태!U$6="휴일",0,8),IFERROR(INDEX(코드!$D$2:$D$107,MATCH(근태!U10,코드!$A$2:$A$107,0)),0)))</f>
        <v/>
      </c>
      <c r="V10" s="21">
        <f>IF(근태!V$4="",0,IF(근태!V10="",IF(근태!V$6="휴일",0,8),IFERROR(INDEX(코드!$D$2:$D$107,MATCH(근태!V10,코드!$A$2:$A$107,0)),0)))</f>
        <v/>
      </c>
      <c r="W10" s="21">
        <f>IF(근태!W$4="",0,IF(근태!W10="",IF(근태!W$6="휴일",0,8),IFERROR(INDEX(코드!$D$2:$D$107,MATCH(근태!W10,코드!$A$2:$A$107,0)),0)))</f>
        <v/>
      </c>
      <c r="X10" s="21">
        <f>IF(근태!X$4="",0,IF(근태!X10="",IF(근태!X$6="휴일",0,8),IFERROR(INDEX(코드!$D$2:$D$107,MATCH(근태!X10,코드!$A$2:$A$107,0)),0)))</f>
        <v/>
      </c>
      <c r="Y10" s="21">
        <f>IF(근태!Y$4="",0,IF(근태!Y10="",IF(근태!Y$6="휴일",0,8),IFERROR(INDEX(코드!$D$2:$D$107,MATCH(근태!Y10,코드!$A$2:$A$107,0)),0)))</f>
        <v/>
      </c>
      <c r="Z10" s="21">
        <f>IF(근태!Z$4="",0,IF(근태!Z10="",IF(근태!Z$6="휴일",0,8),IFERROR(INDEX(코드!$D$2:$D$107,MATCH(근태!Z10,코드!$A$2:$A$107,0)),0)))</f>
        <v/>
      </c>
      <c r="AA10" s="21">
        <f>IF(근태!AA$4="",0,IF(근태!AA10="",IF(근태!AA$6="휴일",0,8),IFERROR(INDEX(코드!$D$2:$D$107,MATCH(근태!AA10,코드!$A$2:$A$107,0)),0)))</f>
        <v/>
      </c>
      <c r="AB10" s="21">
        <f>IF(근태!AB$4="",0,IF(근태!AB10="",IF(근태!AB$6="휴일",0,8),IFERROR(INDEX(코드!$D$2:$D$107,MATCH(근태!AB10,코드!$A$2:$A$107,0)),0)))</f>
        <v/>
      </c>
      <c r="AC10" s="21">
        <f>IF(근태!AC$4="",0,IF(근태!AC10="",IF(근태!AC$6="휴일",0,8),IFERROR(INDEX(코드!$D$2:$D$107,MATCH(근태!AC10,코드!$A$2:$A$107,0)),0)))</f>
        <v/>
      </c>
      <c r="AD10" s="21">
        <f>IF(근태!AD$4="",0,IF(근태!AD10="",IF(근태!AD$6="휴일",0,8),IFERROR(INDEX(코드!$D$2:$D$107,MATCH(근태!AD10,코드!$A$2:$A$107,0)),0)))</f>
        <v/>
      </c>
      <c r="AE10" s="21">
        <f>IF(근태!AE$4="",0,IF(근태!AE10="",IF(근태!AE$6="휴일",0,8),IFERROR(INDEX(코드!$D$2:$D$107,MATCH(근태!AE10,코드!$A$2:$A$107,0)),0)))</f>
        <v/>
      </c>
      <c r="AF10" s="21">
        <f>IF(근태!AF$4="",0,IF(근태!AF10="",IF(근태!AF$6="휴일",0,8),IFERROR(INDEX(코드!$D$2:$D$107,MATCH(근태!AF10,코드!$A$2:$A$107,0)),0)))</f>
        <v/>
      </c>
      <c r="AG10" s="21">
        <f>IF(근태!AG$4="",0,IF(근태!AG10="",IF(근태!AG$6="휴일",0,8),IFERROR(INDEX(코드!$D$2:$D$107,MATCH(근태!AG10,코드!$A$2:$A$107,0)),0)))</f>
        <v/>
      </c>
      <c r="AH10" s="21">
        <f>IF(근태!AH$4="",0,IF(근태!AH10="",IF(근태!AH$6="휴일",0,8),IFERROR(INDEX(코드!$D$2:$D$107,MATCH(근태!AH10,코드!$A$2:$A$107,0)),0)))</f>
        <v/>
      </c>
    </row>
    <row r="11">
      <c r="A11" s="12">
        <f>IF(명부!A5="","",명부!A5)</f>
        <v/>
      </c>
      <c r="B11" s="13">
        <f>IF(명부!C5="","",명부!C5)</f>
        <v/>
      </c>
      <c r="C11" s="14">
        <f>IF(명부!E5="","",명부!E5)</f>
        <v/>
      </c>
      <c r="D11" s="21">
        <f>IF(근태!D$4="",0,IF(근태!D11="",IF(근태!D$6="휴일",0,8),IFERROR(INDEX(코드!$D$2:$D$107,MATCH(근태!D11,코드!$A$2:$A$107,0)),0)))</f>
        <v/>
      </c>
      <c r="E11" s="21">
        <f>IF(근태!E$4="",0,IF(근태!E11="",IF(근태!E$6="휴일",0,8),IFERROR(INDEX(코드!$D$2:$D$107,MATCH(근태!E11,코드!$A$2:$A$107,0)),0)))</f>
        <v/>
      </c>
      <c r="F11" s="21">
        <f>IF(근태!F$4="",0,IF(근태!F11="",IF(근태!F$6="휴일",0,8),IFERROR(INDEX(코드!$D$2:$D$107,MATCH(근태!F11,코드!$A$2:$A$107,0)),0)))</f>
        <v/>
      </c>
      <c r="G11" s="21">
        <f>IF(근태!G$4="",0,IF(근태!G11="",IF(근태!G$6="휴일",0,8),IFERROR(INDEX(코드!$D$2:$D$107,MATCH(근태!G11,코드!$A$2:$A$107,0)),0)))</f>
        <v/>
      </c>
      <c r="H11" s="21">
        <f>IF(근태!H$4="",0,IF(근태!H11="",IF(근태!H$6="휴일",0,8),IFERROR(INDEX(코드!$D$2:$D$107,MATCH(근태!H11,코드!$A$2:$A$107,0)),0)))</f>
        <v/>
      </c>
      <c r="I11" s="21">
        <f>IF(근태!I$4="",0,IF(근태!I11="",IF(근태!I$6="휴일",0,8),IFERROR(INDEX(코드!$D$2:$D$107,MATCH(근태!I11,코드!$A$2:$A$107,0)),0)))</f>
        <v/>
      </c>
      <c r="J11" s="21">
        <f>IF(근태!J$4="",0,IF(근태!J11="",IF(근태!J$6="휴일",0,8),IFERROR(INDEX(코드!$D$2:$D$107,MATCH(근태!J11,코드!$A$2:$A$107,0)),0)))</f>
        <v/>
      </c>
      <c r="K11" s="21">
        <f>IF(근태!K$4="",0,IF(근태!K11="",IF(근태!K$6="휴일",0,8),IFERROR(INDEX(코드!$D$2:$D$107,MATCH(근태!K11,코드!$A$2:$A$107,0)),0)))</f>
        <v/>
      </c>
      <c r="L11" s="21">
        <f>IF(근태!L$4="",0,IF(근태!L11="",IF(근태!L$6="휴일",0,8),IFERROR(INDEX(코드!$D$2:$D$107,MATCH(근태!L11,코드!$A$2:$A$107,0)),0)))</f>
        <v/>
      </c>
      <c r="M11" s="21">
        <f>IF(근태!M$4="",0,IF(근태!M11="",IF(근태!M$6="휴일",0,8),IFERROR(INDEX(코드!$D$2:$D$107,MATCH(근태!M11,코드!$A$2:$A$107,0)),0)))</f>
        <v/>
      </c>
      <c r="N11" s="21">
        <f>IF(근태!N$4="",0,IF(근태!N11="",IF(근태!N$6="휴일",0,8),IFERROR(INDEX(코드!$D$2:$D$107,MATCH(근태!N11,코드!$A$2:$A$107,0)),0)))</f>
        <v/>
      </c>
      <c r="O11" s="21">
        <f>IF(근태!O$4="",0,IF(근태!O11="",IF(근태!O$6="휴일",0,8),IFERROR(INDEX(코드!$D$2:$D$107,MATCH(근태!O11,코드!$A$2:$A$107,0)),0)))</f>
        <v/>
      </c>
      <c r="P11" s="21">
        <f>IF(근태!P$4="",0,IF(근태!P11="",IF(근태!P$6="휴일",0,8),IFERROR(INDEX(코드!$D$2:$D$107,MATCH(근태!P11,코드!$A$2:$A$107,0)),0)))</f>
        <v/>
      </c>
      <c r="Q11" s="21">
        <f>IF(근태!Q$4="",0,IF(근태!Q11="",IF(근태!Q$6="휴일",0,8),IFERROR(INDEX(코드!$D$2:$D$107,MATCH(근태!Q11,코드!$A$2:$A$107,0)),0)))</f>
        <v/>
      </c>
      <c r="R11" s="21">
        <f>IF(근태!R$4="",0,IF(근태!R11="",IF(근태!R$6="휴일",0,8),IFERROR(INDEX(코드!$D$2:$D$107,MATCH(근태!R11,코드!$A$2:$A$107,0)),0)))</f>
        <v/>
      </c>
      <c r="S11" s="21">
        <f>IF(근태!S$4="",0,IF(근태!S11="",IF(근태!S$6="휴일",0,8),IFERROR(INDEX(코드!$D$2:$D$107,MATCH(근태!S11,코드!$A$2:$A$107,0)),0)))</f>
        <v/>
      </c>
      <c r="T11" s="21">
        <f>IF(근태!T$4="",0,IF(근태!T11="",IF(근태!T$6="휴일",0,8),IFERROR(INDEX(코드!$D$2:$D$107,MATCH(근태!T11,코드!$A$2:$A$107,0)),0)))</f>
        <v/>
      </c>
      <c r="U11" s="21">
        <f>IF(근태!U$4="",0,IF(근태!U11="",IF(근태!U$6="휴일",0,8),IFERROR(INDEX(코드!$D$2:$D$107,MATCH(근태!U11,코드!$A$2:$A$107,0)),0)))</f>
        <v/>
      </c>
      <c r="V11" s="21">
        <f>IF(근태!V$4="",0,IF(근태!V11="",IF(근태!V$6="휴일",0,8),IFERROR(INDEX(코드!$D$2:$D$107,MATCH(근태!V11,코드!$A$2:$A$107,0)),0)))</f>
        <v/>
      </c>
      <c r="W11" s="21">
        <f>IF(근태!W$4="",0,IF(근태!W11="",IF(근태!W$6="휴일",0,8),IFERROR(INDEX(코드!$D$2:$D$107,MATCH(근태!W11,코드!$A$2:$A$107,0)),0)))</f>
        <v/>
      </c>
      <c r="X11" s="21">
        <f>IF(근태!X$4="",0,IF(근태!X11="",IF(근태!X$6="휴일",0,8),IFERROR(INDEX(코드!$D$2:$D$107,MATCH(근태!X11,코드!$A$2:$A$107,0)),0)))</f>
        <v/>
      </c>
      <c r="Y11" s="21">
        <f>IF(근태!Y$4="",0,IF(근태!Y11="",IF(근태!Y$6="휴일",0,8),IFERROR(INDEX(코드!$D$2:$D$107,MATCH(근태!Y11,코드!$A$2:$A$107,0)),0)))</f>
        <v/>
      </c>
      <c r="Z11" s="21">
        <f>IF(근태!Z$4="",0,IF(근태!Z11="",IF(근태!Z$6="휴일",0,8),IFERROR(INDEX(코드!$D$2:$D$107,MATCH(근태!Z11,코드!$A$2:$A$107,0)),0)))</f>
        <v/>
      </c>
      <c r="AA11" s="21">
        <f>IF(근태!AA$4="",0,IF(근태!AA11="",IF(근태!AA$6="휴일",0,8),IFERROR(INDEX(코드!$D$2:$D$107,MATCH(근태!AA11,코드!$A$2:$A$107,0)),0)))</f>
        <v/>
      </c>
      <c r="AB11" s="21">
        <f>IF(근태!AB$4="",0,IF(근태!AB11="",IF(근태!AB$6="휴일",0,8),IFERROR(INDEX(코드!$D$2:$D$107,MATCH(근태!AB11,코드!$A$2:$A$107,0)),0)))</f>
        <v/>
      </c>
      <c r="AC11" s="21">
        <f>IF(근태!AC$4="",0,IF(근태!AC11="",IF(근태!AC$6="휴일",0,8),IFERROR(INDEX(코드!$D$2:$D$107,MATCH(근태!AC11,코드!$A$2:$A$107,0)),0)))</f>
        <v/>
      </c>
      <c r="AD11" s="21">
        <f>IF(근태!AD$4="",0,IF(근태!AD11="",IF(근태!AD$6="휴일",0,8),IFERROR(INDEX(코드!$D$2:$D$107,MATCH(근태!AD11,코드!$A$2:$A$107,0)),0)))</f>
        <v/>
      </c>
      <c r="AE11" s="21">
        <f>IF(근태!AE$4="",0,IF(근태!AE11="",IF(근태!AE$6="휴일",0,8),IFERROR(INDEX(코드!$D$2:$D$107,MATCH(근태!AE11,코드!$A$2:$A$107,0)),0)))</f>
        <v/>
      </c>
      <c r="AF11" s="21">
        <f>IF(근태!AF$4="",0,IF(근태!AF11="",IF(근태!AF$6="휴일",0,8),IFERROR(INDEX(코드!$D$2:$D$107,MATCH(근태!AF11,코드!$A$2:$A$107,0)),0)))</f>
        <v/>
      </c>
      <c r="AG11" s="21">
        <f>IF(근태!AG$4="",0,IF(근태!AG11="",IF(근태!AG$6="휴일",0,8),IFERROR(INDEX(코드!$D$2:$D$107,MATCH(근태!AG11,코드!$A$2:$A$107,0)),0)))</f>
        <v/>
      </c>
      <c r="AH11" s="21">
        <f>IF(근태!AH$4="",0,IF(근태!AH11="",IF(근태!AH$6="휴일",0,8),IFERROR(INDEX(코드!$D$2:$D$107,MATCH(근태!AH11,코드!$A$2:$A$107,0)),0)))</f>
        <v/>
      </c>
    </row>
    <row r="12">
      <c r="A12" s="12">
        <f>IF(명부!A6="","",명부!A6)</f>
        <v/>
      </c>
      <c r="B12" s="13">
        <f>IF(명부!C6="","",명부!C6)</f>
        <v/>
      </c>
      <c r="C12" s="14">
        <f>IF(명부!E6="","",명부!E6)</f>
        <v/>
      </c>
      <c r="D12" s="21">
        <f>IF(근태!D$4="",0,IF(근태!D12="",IF(근태!D$6="휴일",0,8),IFERROR(INDEX(코드!$D$2:$D$107,MATCH(근태!D12,코드!$A$2:$A$107,0)),0)))</f>
        <v/>
      </c>
      <c r="E12" s="21">
        <f>IF(근태!E$4="",0,IF(근태!E12="",IF(근태!E$6="휴일",0,8),IFERROR(INDEX(코드!$D$2:$D$107,MATCH(근태!E12,코드!$A$2:$A$107,0)),0)))</f>
        <v/>
      </c>
      <c r="F12" s="21">
        <f>IF(근태!F$4="",0,IF(근태!F12="",IF(근태!F$6="휴일",0,8),IFERROR(INDEX(코드!$D$2:$D$107,MATCH(근태!F12,코드!$A$2:$A$107,0)),0)))</f>
        <v/>
      </c>
      <c r="G12" s="21">
        <f>IF(근태!G$4="",0,IF(근태!G12="",IF(근태!G$6="휴일",0,8),IFERROR(INDEX(코드!$D$2:$D$107,MATCH(근태!G12,코드!$A$2:$A$107,0)),0)))</f>
        <v/>
      </c>
      <c r="H12" s="21">
        <f>IF(근태!H$4="",0,IF(근태!H12="",IF(근태!H$6="휴일",0,8),IFERROR(INDEX(코드!$D$2:$D$107,MATCH(근태!H12,코드!$A$2:$A$107,0)),0)))</f>
        <v/>
      </c>
      <c r="I12" s="21">
        <f>IF(근태!I$4="",0,IF(근태!I12="",IF(근태!I$6="휴일",0,8),IFERROR(INDEX(코드!$D$2:$D$107,MATCH(근태!I12,코드!$A$2:$A$107,0)),0)))</f>
        <v/>
      </c>
      <c r="J12" s="21">
        <f>IF(근태!J$4="",0,IF(근태!J12="",IF(근태!J$6="휴일",0,8),IFERROR(INDEX(코드!$D$2:$D$107,MATCH(근태!J12,코드!$A$2:$A$107,0)),0)))</f>
        <v/>
      </c>
      <c r="K12" s="21">
        <f>IF(근태!K$4="",0,IF(근태!K12="",IF(근태!K$6="휴일",0,8),IFERROR(INDEX(코드!$D$2:$D$107,MATCH(근태!K12,코드!$A$2:$A$107,0)),0)))</f>
        <v/>
      </c>
      <c r="L12" s="21">
        <f>IF(근태!L$4="",0,IF(근태!L12="",IF(근태!L$6="휴일",0,8),IFERROR(INDEX(코드!$D$2:$D$107,MATCH(근태!L12,코드!$A$2:$A$107,0)),0)))</f>
        <v/>
      </c>
      <c r="M12" s="21">
        <f>IF(근태!M$4="",0,IF(근태!M12="",IF(근태!M$6="휴일",0,8),IFERROR(INDEX(코드!$D$2:$D$107,MATCH(근태!M12,코드!$A$2:$A$107,0)),0)))</f>
        <v/>
      </c>
      <c r="N12" s="21">
        <f>IF(근태!N$4="",0,IF(근태!N12="",IF(근태!N$6="휴일",0,8),IFERROR(INDEX(코드!$D$2:$D$107,MATCH(근태!N12,코드!$A$2:$A$107,0)),0)))</f>
        <v/>
      </c>
      <c r="O12" s="21">
        <f>IF(근태!O$4="",0,IF(근태!O12="",IF(근태!O$6="휴일",0,8),IFERROR(INDEX(코드!$D$2:$D$107,MATCH(근태!O12,코드!$A$2:$A$107,0)),0)))</f>
        <v/>
      </c>
      <c r="P12" s="21">
        <f>IF(근태!P$4="",0,IF(근태!P12="",IF(근태!P$6="휴일",0,8),IFERROR(INDEX(코드!$D$2:$D$107,MATCH(근태!P12,코드!$A$2:$A$107,0)),0)))</f>
        <v/>
      </c>
      <c r="Q12" s="21">
        <f>IF(근태!Q$4="",0,IF(근태!Q12="",IF(근태!Q$6="휴일",0,8),IFERROR(INDEX(코드!$D$2:$D$107,MATCH(근태!Q12,코드!$A$2:$A$107,0)),0)))</f>
        <v/>
      </c>
      <c r="R12" s="21">
        <f>IF(근태!R$4="",0,IF(근태!R12="",IF(근태!R$6="휴일",0,8),IFERROR(INDEX(코드!$D$2:$D$107,MATCH(근태!R12,코드!$A$2:$A$107,0)),0)))</f>
        <v/>
      </c>
      <c r="S12" s="21">
        <f>IF(근태!S$4="",0,IF(근태!S12="",IF(근태!S$6="휴일",0,8),IFERROR(INDEX(코드!$D$2:$D$107,MATCH(근태!S12,코드!$A$2:$A$107,0)),0)))</f>
        <v/>
      </c>
      <c r="T12" s="21">
        <f>IF(근태!T$4="",0,IF(근태!T12="",IF(근태!T$6="휴일",0,8),IFERROR(INDEX(코드!$D$2:$D$107,MATCH(근태!T12,코드!$A$2:$A$107,0)),0)))</f>
        <v/>
      </c>
      <c r="U12" s="21">
        <f>IF(근태!U$4="",0,IF(근태!U12="",IF(근태!U$6="휴일",0,8),IFERROR(INDEX(코드!$D$2:$D$107,MATCH(근태!U12,코드!$A$2:$A$107,0)),0)))</f>
        <v/>
      </c>
      <c r="V12" s="21">
        <f>IF(근태!V$4="",0,IF(근태!V12="",IF(근태!V$6="휴일",0,8),IFERROR(INDEX(코드!$D$2:$D$107,MATCH(근태!V12,코드!$A$2:$A$107,0)),0)))</f>
        <v/>
      </c>
      <c r="W12" s="21">
        <f>IF(근태!W$4="",0,IF(근태!W12="",IF(근태!W$6="휴일",0,8),IFERROR(INDEX(코드!$D$2:$D$107,MATCH(근태!W12,코드!$A$2:$A$107,0)),0)))</f>
        <v/>
      </c>
      <c r="X12" s="21">
        <f>IF(근태!X$4="",0,IF(근태!X12="",IF(근태!X$6="휴일",0,8),IFERROR(INDEX(코드!$D$2:$D$107,MATCH(근태!X12,코드!$A$2:$A$107,0)),0)))</f>
        <v/>
      </c>
      <c r="Y12" s="21">
        <f>IF(근태!Y$4="",0,IF(근태!Y12="",IF(근태!Y$6="휴일",0,8),IFERROR(INDEX(코드!$D$2:$D$107,MATCH(근태!Y12,코드!$A$2:$A$107,0)),0)))</f>
        <v/>
      </c>
      <c r="Z12" s="21">
        <f>IF(근태!Z$4="",0,IF(근태!Z12="",IF(근태!Z$6="휴일",0,8),IFERROR(INDEX(코드!$D$2:$D$107,MATCH(근태!Z12,코드!$A$2:$A$107,0)),0)))</f>
        <v/>
      </c>
      <c r="AA12" s="21">
        <f>IF(근태!AA$4="",0,IF(근태!AA12="",IF(근태!AA$6="휴일",0,8),IFERROR(INDEX(코드!$D$2:$D$107,MATCH(근태!AA12,코드!$A$2:$A$107,0)),0)))</f>
        <v/>
      </c>
      <c r="AB12" s="21">
        <f>IF(근태!AB$4="",0,IF(근태!AB12="",IF(근태!AB$6="휴일",0,8),IFERROR(INDEX(코드!$D$2:$D$107,MATCH(근태!AB12,코드!$A$2:$A$107,0)),0)))</f>
        <v/>
      </c>
      <c r="AC12" s="21">
        <f>IF(근태!AC$4="",0,IF(근태!AC12="",IF(근태!AC$6="휴일",0,8),IFERROR(INDEX(코드!$D$2:$D$107,MATCH(근태!AC12,코드!$A$2:$A$107,0)),0)))</f>
        <v/>
      </c>
      <c r="AD12" s="21">
        <f>IF(근태!AD$4="",0,IF(근태!AD12="",IF(근태!AD$6="휴일",0,8),IFERROR(INDEX(코드!$D$2:$D$107,MATCH(근태!AD12,코드!$A$2:$A$107,0)),0)))</f>
        <v/>
      </c>
      <c r="AE12" s="21">
        <f>IF(근태!AE$4="",0,IF(근태!AE12="",IF(근태!AE$6="휴일",0,8),IFERROR(INDEX(코드!$D$2:$D$107,MATCH(근태!AE12,코드!$A$2:$A$107,0)),0)))</f>
        <v/>
      </c>
      <c r="AF12" s="21">
        <f>IF(근태!AF$4="",0,IF(근태!AF12="",IF(근태!AF$6="휴일",0,8),IFERROR(INDEX(코드!$D$2:$D$107,MATCH(근태!AF12,코드!$A$2:$A$107,0)),0)))</f>
        <v/>
      </c>
      <c r="AG12" s="21">
        <f>IF(근태!AG$4="",0,IF(근태!AG12="",IF(근태!AG$6="휴일",0,8),IFERROR(INDEX(코드!$D$2:$D$107,MATCH(근태!AG12,코드!$A$2:$A$107,0)),0)))</f>
        <v/>
      </c>
      <c r="AH12" s="21">
        <f>IF(근태!AH$4="",0,IF(근태!AH12="",IF(근태!AH$6="휴일",0,8),IFERROR(INDEX(코드!$D$2:$D$107,MATCH(근태!AH12,코드!$A$2:$A$107,0)),0)))</f>
        <v/>
      </c>
    </row>
    <row r="13">
      <c r="A13" s="12">
        <f>IF(명부!A7="","",명부!A7)</f>
        <v/>
      </c>
      <c r="B13" s="13">
        <f>IF(명부!C7="","",명부!C7)</f>
        <v/>
      </c>
      <c r="C13" s="14">
        <f>IF(명부!E7="","",명부!E7)</f>
        <v/>
      </c>
      <c r="D13" s="21">
        <f>IF(근태!D$4="",0,IF(근태!D13="",IF(근태!D$6="휴일",0,8),IFERROR(INDEX(코드!$D$2:$D$107,MATCH(근태!D13,코드!$A$2:$A$107,0)),0)))</f>
        <v/>
      </c>
      <c r="E13" s="21">
        <f>IF(근태!E$4="",0,IF(근태!E13="",IF(근태!E$6="휴일",0,8),IFERROR(INDEX(코드!$D$2:$D$107,MATCH(근태!E13,코드!$A$2:$A$107,0)),0)))</f>
        <v/>
      </c>
      <c r="F13" s="21">
        <f>IF(근태!F$4="",0,IF(근태!F13="",IF(근태!F$6="휴일",0,8),IFERROR(INDEX(코드!$D$2:$D$107,MATCH(근태!F13,코드!$A$2:$A$107,0)),0)))</f>
        <v/>
      </c>
      <c r="G13" s="21">
        <f>IF(근태!G$4="",0,IF(근태!G13="",IF(근태!G$6="휴일",0,8),IFERROR(INDEX(코드!$D$2:$D$107,MATCH(근태!G13,코드!$A$2:$A$107,0)),0)))</f>
        <v/>
      </c>
      <c r="H13" s="21">
        <f>IF(근태!H$4="",0,IF(근태!H13="",IF(근태!H$6="휴일",0,8),IFERROR(INDEX(코드!$D$2:$D$107,MATCH(근태!H13,코드!$A$2:$A$107,0)),0)))</f>
        <v/>
      </c>
      <c r="I13" s="21">
        <f>IF(근태!I$4="",0,IF(근태!I13="",IF(근태!I$6="휴일",0,8),IFERROR(INDEX(코드!$D$2:$D$107,MATCH(근태!I13,코드!$A$2:$A$107,0)),0)))</f>
        <v/>
      </c>
      <c r="J13" s="21">
        <f>IF(근태!J$4="",0,IF(근태!J13="",IF(근태!J$6="휴일",0,8),IFERROR(INDEX(코드!$D$2:$D$107,MATCH(근태!J13,코드!$A$2:$A$107,0)),0)))</f>
        <v/>
      </c>
      <c r="K13" s="21">
        <f>IF(근태!K$4="",0,IF(근태!K13="",IF(근태!K$6="휴일",0,8),IFERROR(INDEX(코드!$D$2:$D$107,MATCH(근태!K13,코드!$A$2:$A$107,0)),0)))</f>
        <v/>
      </c>
      <c r="L13" s="21">
        <f>IF(근태!L$4="",0,IF(근태!L13="",IF(근태!L$6="휴일",0,8),IFERROR(INDEX(코드!$D$2:$D$107,MATCH(근태!L13,코드!$A$2:$A$107,0)),0)))</f>
        <v/>
      </c>
      <c r="M13" s="21">
        <f>IF(근태!M$4="",0,IF(근태!M13="",IF(근태!M$6="휴일",0,8),IFERROR(INDEX(코드!$D$2:$D$107,MATCH(근태!M13,코드!$A$2:$A$107,0)),0)))</f>
        <v/>
      </c>
      <c r="N13" s="21">
        <f>IF(근태!N$4="",0,IF(근태!N13="",IF(근태!N$6="휴일",0,8),IFERROR(INDEX(코드!$D$2:$D$107,MATCH(근태!N13,코드!$A$2:$A$107,0)),0)))</f>
        <v/>
      </c>
      <c r="O13" s="21">
        <f>IF(근태!O$4="",0,IF(근태!O13="",IF(근태!O$6="휴일",0,8),IFERROR(INDEX(코드!$D$2:$D$107,MATCH(근태!O13,코드!$A$2:$A$107,0)),0)))</f>
        <v/>
      </c>
      <c r="P13" s="21">
        <f>IF(근태!P$4="",0,IF(근태!P13="",IF(근태!P$6="휴일",0,8),IFERROR(INDEX(코드!$D$2:$D$107,MATCH(근태!P13,코드!$A$2:$A$107,0)),0)))</f>
        <v/>
      </c>
      <c r="Q13" s="21">
        <f>IF(근태!Q$4="",0,IF(근태!Q13="",IF(근태!Q$6="휴일",0,8),IFERROR(INDEX(코드!$D$2:$D$107,MATCH(근태!Q13,코드!$A$2:$A$107,0)),0)))</f>
        <v/>
      </c>
      <c r="R13" s="21">
        <f>IF(근태!R$4="",0,IF(근태!R13="",IF(근태!R$6="휴일",0,8),IFERROR(INDEX(코드!$D$2:$D$107,MATCH(근태!R13,코드!$A$2:$A$107,0)),0)))</f>
        <v/>
      </c>
      <c r="S13" s="21">
        <f>IF(근태!S$4="",0,IF(근태!S13="",IF(근태!S$6="휴일",0,8),IFERROR(INDEX(코드!$D$2:$D$107,MATCH(근태!S13,코드!$A$2:$A$107,0)),0)))</f>
        <v/>
      </c>
      <c r="T13" s="21">
        <f>IF(근태!T$4="",0,IF(근태!T13="",IF(근태!T$6="휴일",0,8),IFERROR(INDEX(코드!$D$2:$D$107,MATCH(근태!T13,코드!$A$2:$A$107,0)),0)))</f>
        <v/>
      </c>
      <c r="U13" s="21">
        <f>IF(근태!U$4="",0,IF(근태!U13="",IF(근태!U$6="휴일",0,8),IFERROR(INDEX(코드!$D$2:$D$107,MATCH(근태!U13,코드!$A$2:$A$107,0)),0)))</f>
        <v/>
      </c>
      <c r="V13" s="21">
        <f>IF(근태!V$4="",0,IF(근태!V13="",IF(근태!V$6="휴일",0,8),IFERROR(INDEX(코드!$D$2:$D$107,MATCH(근태!V13,코드!$A$2:$A$107,0)),0)))</f>
        <v/>
      </c>
      <c r="W13" s="21">
        <f>IF(근태!W$4="",0,IF(근태!W13="",IF(근태!W$6="휴일",0,8),IFERROR(INDEX(코드!$D$2:$D$107,MATCH(근태!W13,코드!$A$2:$A$107,0)),0)))</f>
        <v/>
      </c>
      <c r="X13" s="21">
        <f>IF(근태!X$4="",0,IF(근태!X13="",IF(근태!X$6="휴일",0,8),IFERROR(INDEX(코드!$D$2:$D$107,MATCH(근태!X13,코드!$A$2:$A$107,0)),0)))</f>
        <v/>
      </c>
      <c r="Y13" s="21">
        <f>IF(근태!Y$4="",0,IF(근태!Y13="",IF(근태!Y$6="휴일",0,8),IFERROR(INDEX(코드!$D$2:$D$107,MATCH(근태!Y13,코드!$A$2:$A$107,0)),0)))</f>
        <v/>
      </c>
      <c r="Z13" s="21">
        <f>IF(근태!Z$4="",0,IF(근태!Z13="",IF(근태!Z$6="휴일",0,8),IFERROR(INDEX(코드!$D$2:$D$107,MATCH(근태!Z13,코드!$A$2:$A$107,0)),0)))</f>
        <v/>
      </c>
      <c r="AA13" s="21">
        <f>IF(근태!AA$4="",0,IF(근태!AA13="",IF(근태!AA$6="휴일",0,8),IFERROR(INDEX(코드!$D$2:$D$107,MATCH(근태!AA13,코드!$A$2:$A$107,0)),0)))</f>
        <v/>
      </c>
      <c r="AB13" s="21">
        <f>IF(근태!AB$4="",0,IF(근태!AB13="",IF(근태!AB$6="휴일",0,8),IFERROR(INDEX(코드!$D$2:$D$107,MATCH(근태!AB13,코드!$A$2:$A$107,0)),0)))</f>
        <v/>
      </c>
      <c r="AC13" s="21">
        <f>IF(근태!AC$4="",0,IF(근태!AC13="",IF(근태!AC$6="휴일",0,8),IFERROR(INDEX(코드!$D$2:$D$107,MATCH(근태!AC13,코드!$A$2:$A$107,0)),0)))</f>
        <v/>
      </c>
      <c r="AD13" s="21">
        <f>IF(근태!AD$4="",0,IF(근태!AD13="",IF(근태!AD$6="휴일",0,8),IFERROR(INDEX(코드!$D$2:$D$107,MATCH(근태!AD13,코드!$A$2:$A$107,0)),0)))</f>
        <v/>
      </c>
      <c r="AE13" s="21">
        <f>IF(근태!AE$4="",0,IF(근태!AE13="",IF(근태!AE$6="휴일",0,8),IFERROR(INDEX(코드!$D$2:$D$107,MATCH(근태!AE13,코드!$A$2:$A$107,0)),0)))</f>
        <v/>
      </c>
      <c r="AF13" s="21">
        <f>IF(근태!AF$4="",0,IF(근태!AF13="",IF(근태!AF$6="휴일",0,8),IFERROR(INDEX(코드!$D$2:$D$107,MATCH(근태!AF13,코드!$A$2:$A$107,0)),0)))</f>
        <v/>
      </c>
      <c r="AG13" s="21">
        <f>IF(근태!AG$4="",0,IF(근태!AG13="",IF(근태!AG$6="휴일",0,8),IFERROR(INDEX(코드!$D$2:$D$107,MATCH(근태!AG13,코드!$A$2:$A$107,0)),0)))</f>
        <v/>
      </c>
      <c r="AH13" s="21">
        <f>IF(근태!AH$4="",0,IF(근태!AH13="",IF(근태!AH$6="휴일",0,8),IFERROR(INDEX(코드!$D$2:$D$107,MATCH(근태!AH13,코드!$A$2:$A$107,0)),0)))</f>
        <v/>
      </c>
    </row>
    <row r="14">
      <c r="A14" s="12">
        <f>IF(명부!A8="","",명부!A8)</f>
        <v/>
      </c>
      <c r="B14" s="13">
        <f>IF(명부!C8="","",명부!C8)</f>
        <v/>
      </c>
      <c r="C14" s="14">
        <f>IF(명부!E8="","",명부!E8)</f>
        <v/>
      </c>
      <c r="D14" s="21">
        <f>IF(근태!D$4="",0,IF(근태!D14="",IF(근태!D$6="휴일",0,8),IFERROR(INDEX(코드!$D$2:$D$107,MATCH(근태!D14,코드!$A$2:$A$107,0)),0)))</f>
        <v/>
      </c>
      <c r="E14" s="21">
        <f>IF(근태!E$4="",0,IF(근태!E14="",IF(근태!E$6="휴일",0,8),IFERROR(INDEX(코드!$D$2:$D$107,MATCH(근태!E14,코드!$A$2:$A$107,0)),0)))</f>
        <v/>
      </c>
      <c r="F14" s="21">
        <f>IF(근태!F$4="",0,IF(근태!F14="",IF(근태!F$6="휴일",0,8),IFERROR(INDEX(코드!$D$2:$D$107,MATCH(근태!F14,코드!$A$2:$A$107,0)),0)))</f>
        <v/>
      </c>
      <c r="G14" s="21">
        <f>IF(근태!G$4="",0,IF(근태!G14="",IF(근태!G$6="휴일",0,8),IFERROR(INDEX(코드!$D$2:$D$107,MATCH(근태!G14,코드!$A$2:$A$107,0)),0)))</f>
        <v/>
      </c>
      <c r="H14" s="21">
        <f>IF(근태!H$4="",0,IF(근태!H14="",IF(근태!H$6="휴일",0,8),IFERROR(INDEX(코드!$D$2:$D$107,MATCH(근태!H14,코드!$A$2:$A$107,0)),0)))</f>
        <v/>
      </c>
      <c r="I14" s="21">
        <f>IF(근태!I$4="",0,IF(근태!I14="",IF(근태!I$6="휴일",0,8),IFERROR(INDEX(코드!$D$2:$D$107,MATCH(근태!I14,코드!$A$2:$A$107,0)),0)))</f>
        <v/>
      </c>
      <c r="J14" s="21">
        <f>IF(근태!J$4="",0,IF(근태!J14="",IF(근태!J$6="휴일",0,8),IFERROR(INDEX(코드!$D$2:$D$107,MATCH(근태!J14,코드!$A$2:$A$107,0)),0)))</f>
        <v/>
      </c>
      <c r="K14" s="21">
        <f>IF(근태!K$4="",0,IF(근태!K14="",IF(근태!K$6="휴일",0,8),IFERROR(INDEX(코드!$D$2:$D$107,MATCH(근태!K14,코드!$A$2:$A$107,0)),0)))</f>
        <v/>
      </c>
      <c r="L14" s="21">
        <f>IF(근태!L$4="",0,IF(근태!L14="",IF(근태!L$6="휴일",0,8),IFERROR(INDEX(코드!$D$2:$D$107,MATCH(근태!L14,코드!$A$2:$A$107,0)),0)))</f>
        <v/>
      </c>
      <c r="M14" s="21">
        <f>IF(근태!M$4="",0,IF(근태!M14="",IF(근태!M$6="휴일",0,8),IFERROR(INDEX(코드!$D$2:$D$107,MATCH(근태!M14,코드!$A$2:$A$107,0)),0)))</f>
        <v/>
      </c>
      <c r="N14" s="21">
        <f>IF(근태!N$4="",0,IF(근태!N14="",IF(근태!N$6="휴일",0,8),IFERROR(INDEX(코드!$D$2:$D$107,MATCH(근태!N14,코드!$A$2:$A$107,0)),0)))</f>
        <v/>
      </c>
      <c r="O14" s="21">
        <f>IF(근태!O$4="",0,IF(근태!O14="",IF(근태!O$6="휴일",0,8),IFERROR(INDEX(코드!$D$2:$D$107,MATCH(근태!O14,코드!$A$2:$A$107,0)),0)))</f>
        <v/>
      </c>
      <c r="P14" s="21">
        <f>IF(근태!P$4="",0,IF(근태!P14="",IF(근태!P$6="휴일",0,8),IFERROR(INDEX(코드!$D$2:$D$107,MATCH(근태!P14,코드!$A$2:$A$107,0)),0)))</f>
        <v/>
      </c>
      <c r="Q14" s="21">
        <f>IF(근태!Q$4="",0,IF(근태!Q14="",IF(근태!Q$6="휴일",0,8),IFERROR(INDEX(코드!$D$2:$D$107,MATCH(근태!Q14,코드!$A$2:$A$107,0)),0)))</f>
        <v/>
      </c>
      <c r="R14" s="21">
        <f>IF(근태!R$4="",0,IF(근태!R14="",IF(근태!R$6="휴일",0,8),IFERROR(INDEX(코드!$D$2:$D$107,MATCH(근태!R14,코드!$A$2:$A$107,0)),0)))</f>
        <v/>
      </c>
      <c r="S14" s="21">
        <f>IF(근태!S$4="",0,IF(근태!S14="",IF(근태!S$6="휴일",0,8),IFERROR(INDEX(코드!$D$2:$D$107,MATCH(근태!S14,코드!$A$2:$A$107,0)),0)))</f>
        <v/>
      </c>
      <c r="T14" s="21">
        <f>IF(근태!T$4="",0,IF(근태!T14="",IF(근태!T$6="휴일",0,8),IFERROR(INDEX(코드!$D$2:$D$107,MATCH(근태!T14,코드!$A$2:$A$107,0)),0)))</f>
        <v/>
      </c>
      <c r="U14" s="21">
        <f>IF(근태!U$4="",0,IF(근태!U14="",IF(근태!U$6="휴일",0,8),IFERROR(INDEX(코드!$D$2:$D$107,MATCH(근태!U14,코드!$A$2:$A$107,0)),0)))</f>
        <v/>
      </c>
      <c r="V14" s="21">
        <f>IF(근태!V$4="",0,IF(근태!V14="",IF(근태!V$6="휴일",0,8),IFERROR(INDEX(코드!$D$2:$D$107,MATCH(근태!V14,코드!$A$2:$A$107,0)),0)))</f>
        <v/>
      </c>
      <c r="W14" s="21">
        <f>IF(근태!W$4="",0,IF(근태!W14="",IF(근태!W$6="휴일",0,8),IFERROR(INDEX(코드!$D$2:$D$107,MATCH(근태!W14,코드!$A$2:$A$107,0)),0)))</f>
        <v/>
      </c>
      <c r="X14" s="21">
        <f>IF(근태!X$4="",0,IF(근태!X14="",IF(근태!X$6="휴일",0,8),IFERROR(INDEX(코드!$D$2:$D$107,MATCH(근태!X14,코드!$A$2:$A$107,0)),0)))</f>
        <v/>
      </c>
      <c r="Y14" s="21">
        <f>IF(근태!Y$4="",0,IF(근태!Y14="",IF(근태!Y$6="휴일",0,8),IFERROR(INDEX(코드!$D$2:$D$107,MATCH(근태!Y14,코드!$A$2:$A$107,0)),0)))</f>
        <v/>
      </c>
      <c r="Z14" s="21">
        <f>IF(근태!Z$4="",0,IF(근태!Z14="",IF(근태!Z$6="휴일",0,8),IFERROR(INDEX(코드!$D$2:$D$107,MATCH(근태!Z14,코드!$A$2:$A$107,0)),0)))</f>
        <v/>
      </c>
      <c r="AA14" s="21">
        <f>IF(근태!AA$4="",0,IF(근태!AA14="",IF(근태!AA$6="휴일",0,8),IFERROR(INDEX(코드!$D$2:$D$107,MATCH(근태!AA14,코드!$A$2:$A$107,0)),0)))</f>
        <v/>
      </c>
      <c r="AB14" s="21">
        <f>IF(근태!AB$4="",0,IF(근태!AB14="",IF(근태!AB$6="휴일",0,8),IFERROR(INDEX(코드!$D$2:$D$107,MATCH(근태!AB14,코드!$A$2:$A$107,0)),0)))</f>
        <v/>
      </c>
      <c r="AC14" s="21">
        <f>IF(근태!AC$4="",0,IF(근태!AC14="",IF(근태!AC$6="휴일",0,8),IFERROR(INDEX(코드!$D$2:$D$107,MATCH(근태!AC14,코드!$A$2:$A$107,0)),0)))</f>
        <v/>
      </c>
      <c r="AD14" s="21">
        <f>IF(근태!AD$4="",0,IF(근태!AD14="",IF(근태!AD$6="휴일",0,8),IFERROR(INDEX(코드!$D$2:$D$107,MATCH(근태!AD14,코드!$A$2:$A$107,0)),0)))</f>
        <v/>
      </c>
      <c r="AE14" s="21">
        <f>IF(근태!AE$4="",0,IF(근태!AE14="",IF(근태!AE$6="휴일",0,8),IFERROR(INDEX(코드!$D$2:$D$107,MATCH(근태!AE14,코드!$A$2:$A$107,0)),0)))</f>
        <v/>
      </c>
      <c r="AF14" s="21">
        <f>IF(근태!AF$4="",0,IF(근태!AF14="",IF(근태!AF$6="휴일",0,8),IFERROR(INDEX(코드!$D$2:$D$107,MATCH(근태!AF14,코드!$A$2:$A$107,0)),0)))</f>
        <v/>
      </c>
      <c r="AG14" s="21">
        <f>IF(근태!AG$4="",0,IF(근태!AG14="",IF(근태!AG$6="휴일",0,8),IFERROR(INDEX(코드!$D$2:$D$107,MATCH(근태!AG14,코드!$A$2:$A$107,0)),0)))</f>
        <v/>
      </c>
      <c r="AH14" s="21">
        <f>IF(근태!AH$4="",0,IF(근태!AH14="",IF(근태!AH$6="휴일",0,8),IFERROR(INDEX(코드!$D$2:$D$107,MATCH(근태!AH14,코드!$A$2:$A$107,0)),0)))</f>
        <v/>
      </c>
    </row>
    <row r="15">
      <c r="A15" s="12">
        <f>IF(명부!A9="","",명부!A9)</f>
        <v/>
      </c>
      <c r="B15" s="13">
        <f>IF(명부!C9="","",명부!C9)</f>
        <v/>
      </c>
      <c r="C15" s="14">
        <f>IF(명부!E9="","",명부!E9)</f>
        <v/>
      </c>
      <c r="D15" s="21">
        <f>IF(근태!D$4="",0,IF(근태!D15="",IF(근태!D$6="휴일",0,8),IFERROR(INDEX(코드!$D$2:$D$107,MATCH(근태!D15,코드!$A$2:$A$107,0)),0)))</f>
        <v/>
      </c>
      <c r="E15" s="21">
        <f>IF(근태!E$4="",0,IF(근태!E15="",IF(근태!E$6="휴일",0,8),IFERROR(INDEX(코드!$D$2:$D$107,MATCH(근태!E15,코드!$A$2:$A$107,0)),0)))</f>
        <v/>
      </c>
      <c r="F15" s="21">
        <f>IF(근태!F$4="",0,IF(근태!F15="",IF(근태!F$6="휴일",0,8),IFERROR(INDEX(코드!$D$2:$D$107,MATCH(근태!F15,코드!$A$2:$A$107,0)),0)))</f>
        <v/>
      </c>
      <c r="G15" s="21">
        <f>IF(근태!G$4="",0,IF(근태!G15="",IF(근태!G$6="휴일",0,8),IFERROR(INDEX(코드!$D$2:$D$107,MATCH(근태!G15,코드!$A$2:$A$107,0)),0)))</f>
        <v/>
      </c>
      <c r="H15" s="21">
        <f>IF(근태!H$4="",0,IF(근태!H15="",IF(근태!H$6="휴일",0,8),IFERROR(INDEX(코드!$D$2:$D$107,MATCH(근태!H15,코드!$A$2:$A$107,0)),0)))</f>
        <v/>
      </c>
      <c r="I15" s="21">
        <f>IF(근태!I$4="",0,IF(근태!I15="",IF(근태!I$6="휴일",0,8),IFERROR(INDEX(코드!$D$2:$D$107,MATCH(근태!I15,코드!$A$2:$A$107,0)),0)))</f>
        <v/>
      </c>
      <c r="J15" s="21">
        <f>IF(근태!J$4="",0,IF(근태!J15="",IF(근태!J$6="휴일",0,8),IFERROR(INDEX(코드!$D$2:$D$107,MATCH(근태!J15,코드!$A$2:$A$107,0)),0)))</f>
        <v/>
      </c>
      <c r="K15" s="21">
        <f>IF(근태!K$4="",0,IF(근태!K15="",IF(근태!K$6="휴일",0,8),IFERROR(INDEX(코드!$D$2:$D$107,MATCH(근태!K15,코드!$A$2:$A$107,0)),0)))</f>
        <v/>
      </c>
      <c r="L15" s="21">
        <f>IF(근태!L$4="",0,IF(근태!L15="",IF(근태!L$6="휴일",0,8),IFERROR(INDEX(코드!$D$2:$D$107,MATCH(근태!L15,코드!$A$2:$A$107,0)),0)))</f>
        <v/>
      </c>
      <c r="M15" s="21">
        <f>IF(근태!M$4="",0,IF(근태!M15="",IF(근태!M$6="휴일",0,8),IFERROR(INDEX(코드!$D$2:$D$107,MATCH(근태!M15,코드!$A$2:$A$107,0)),0)))</f>
        <v/>
      </c>
      <c r="N15" s="21">
        <f>IF(근태!N$4="",0,IF(근태!N15="",IF(근태!N$6="휴일",0,8),IFERROR(INDEX(코드!$D$2:$D$107,MATCH(근태!N15,코드!$A$2:$A$107,0)),0)))</f>
        <v/>
      </c>
      <c r="O15" s="21">
        <f>IF(근태!O$4="",0,IF(근태!O15="",IF(근태!O$6="휴일",0,8),IFERROR(INDEX(코드!$D$2:$D$107,MATCH(근태!O15,코드!$A$2:$A$107,0)),0)))</f>
        <v/>
      </c>
      <c r="P15" s="21">
        <f>IF(근태!P$4="",0,IF(근태!P15="",IF(근태!P$6="휴일",0,8),IFERROR(INDEX(코드!$D$2:$D$107,MATCH(근태!P15,코드!$A$2:$A$107,0)),0)))</f>
        <v/>
      </c>
      <c r="Q15" s="21">
        <f>IF(근태!Q$4="",0,IF(근태!Q15="",IF(근태!Q$6="휴일",0,8),IFERROR(INDEX(코드!$D$2:$D$107,MATCH(근태!Q15,코드!$A$2:$A$107,0)),0)))</f>
        <v/>
      </c>
      <c r="R15" s="21">
        <f>IF(근태!R$4="",0,IF(근태!R15="",IF(근태!R$6="휴일",0,8),IFERROR(INDEX(코드!$D$2:$D$107,MATCH(근태!R15,코드!$A$2:$A$107,0)),0)))</f>
        <v/>
      </c>
      <c r="S15" s="21">
        <f>IF(근태!S$4="",0,IF(근태!S15="",IF(근태!S$6="휴일",0,8),IFERROR(INDEX(코드!$D$2:$D$107,MATCH(근태!S15,코드!$A$2:$A$107,0)),0)))</f>
        <v/>
      </c>
      <c r="T15" s="21">
        <f>IF(근태!T$4="",0,IF(근태!T15="",IF(근태!T$6="휴일",0,8),IFERROR(INDEX(코드!$D$2:$D$107,MATCH(근태!T15,코드!$A$2:$A$107,0)),0)))</f>
        <v/>
      </c>
      <c r="U15" s="21">
        <f>IF(근태!U$4="",0,IF(근태!U15="",IF(근태!U$6="휴일",0,8),IFERROR(INDEX(코드!$D$2:$D$107,MATCH(근태!U15,코드!$A$2:$A$107,0)),0)))</f>
        <v/>
      </c>
      <c r="V15" s="21">
        <f>IF(근태!V$4="",0,IF(근태!V15="",IF(근태!V$6="휴일",0,8),IFERROR(INDEX(코드!$D$2:$D$107,MATCH(근태!V15,코드!$A$2:$A$107,0)),0)))</f>
        <v/>
      </c>
      <c r="W15" s="21">
        <f>IF(근태!W$4="",0,IF(근태!W15="",IF(근태!W$6="휴일",0,8),IFERROR(INDEX(코드!$D$2:$D$107,MATCH(근태!W15,코드!$A$2:$A$107,0)),0)))</f>
        <v/>
      </c>
      <c r="X15" s="21">
        <f>IF(근태!X$4="",0,IF(근태!X15="",IF(근태!X$6="휴일",0,8),IFERROR(INDEX(코드!$D$2:$D$107,MATCH(근태!X15,코드!$A$2:$A$107,0)),0)))</f>
        <v/>
      </c>
      <c r="Y15" s="21">
        <f>IF(근태!Y$4="",0,IF(근태!Y15="",IF(근태!Y$6="휴일",0,8),IFERROR(INDEX(코드!$D$2:$D$107,MATCH(근태!Y15,코드!$A$2:$A$107,0)),0)))</f>
        <v/>
      </c>
      <c r="Z15" s="21">
        <f>IF(근태!Z$4="",0,IF(근태!Z15="",IF(근태!Z$6="휴일",0,8),IFERROR(INDEX(코드!$D$2:$D$107,MATCH(근태!Z15,코드!$A$2:$A$107,0)),0)))</f>
        <v/>
      </c>
      <c r="AA15" s="21">
        <f>IF(근태!AA$4="",0,IF(근태!AA15="",IF(근태!AA$6="휴일",0,8),IFERROR(INDEX(코드!$D$2:$D$107,MATCH(근태!AA15,코드!$A$2:$A$107,0)),0)))</f>
        <v/>
      </c>
      <c r="AB15" s="21">
        <f>IF(근태!AB$4="",0,IF(근태!AB15="",IF(근태!AB$6="휴일",0,8),IFERROR(INDEX(코드!$D$2:$D$107,MATCH(근태!AB15,코드!$A$2:$A$107,0)),0)))</f>
        <v/>
      </c>
      <c r="AC15" s="21">
        <f>IF(근태!AC$4="",0,IF(근태!AC15="",IF(근태!AC$6="휴일",0,8),IFERROR(INDEX(코드!$D$2:$D$107,MATCH(근태!AC15,코드!$A$2:$A$107,0)),0)))</f>
        <v/>
      </c>
      <c r="AD15" s="21">
        <f>IF(근태!AD$4="",0,IF(근태!AD15="",IF(근태!AD$6="휴일",0,8),IFERROR(INDEX(코드!$D$2:$D$107,MATCH(근태!AD15,코드!$A$2:$A$107,0)),0)))</f>
        <v/>
      </c>
      <c r="AE15" s="21">
        <f>IF(근태!AE$4="",0,IF(근태!AE15="",IF(근태!AE$6="휴일",0,8),IFERROR(INDEX(코드!$D$2:$D$107,MATCH(근태!AE15,코드!$A$2:$A$107,0)),0)))</f>
        <v/>
      </c>
      <c r="AF15" s="21">
        <f>IF(근태!AF$4="",0,IF(근태!AF15="",IF(근태!AF$6="휴일",0,8),IFERROR(INDEX(코드!$D$2:$D$107,MATCH(근태!AF15,코드!$A$2:$A$107,0)),0)))</f>
        <v/>
      </c>
      <c r="AG15" s="21">
        <f>IF(근태!AG$4="",0,IF(근태!AG15="",IF(근태!AG$6="휴일",0,8),IFERROR(INDEX(코드!$D$2:$D$107,MATCH(근태!AG15,코드!$A$2:$A$107,0)),0)))</f>
        <v/>
      </c>
      <c r="AH15" s="21">
        <f>IF(근태!AH$4="",0,IF(근태!AH15="",IF(근태!AH$6="휴일",0,8),IFERROR(INDEX(코드!$D$2:$D$107,MATCH(근태!AH15,코드!$A$2:$A$107,0)),0)))</f>
        <v/>
      </c>
    </row>
    <row r="16">
      <c r="A16" s="12">
        <f>IF(명부!A10="","",명부!A10)</f>
        <v/>
      </c>
      <c r="B16" s="13">
        <f>IF(명부!C10="","",명부!C10)</f>
        <v/>
      </c>
      <c r="C16" s="14">
        <f>IF(명부!E10="","",명부!E10)</f>
        <v/>
      </c>
      <c r="D16" s="21">
        <f>IF(근태!D$4="",0,IF(근태!D16="",IF(근태!D$6="휴일",0,8),IFERROR(INDEX(코드!$D$2:$D$107,MATCH(근태!D16,코드!$A$2:$A$107,0)),0)))</f>
        <v/>
      </c>
      <c r="E16" s="21">
        <f>IF(근태!E$4="",0,IF(근태!E16="",IF(근태!E$6="휴일",0,8),IFERROR(INDEX(코드!$D$2:$D$107,MATCH(근태!E16,코드!$A$2:$A$107,0)),0)))</f>
        <v/>
      </c>
      <c r="F16" s="21">
        <f>IF(근태!F$4="",0,IF(근태!F16="",IF(근태!F$6="휴일",0,8),IFERROR(INDEX(코드!$D$2:$D$107,MATCH(근태!F16,코드!$A$2:$A$107,0)),0)))</f>
        <v/>
      </c>
      <c r="G16" s="21">
        <f>IF(근태!G$4="",0,IF(근태!G16="",IF(근태!G$6="휴일",0,8),IFERROR(INDEX(코드!$D$2:$D$107,MATCH(근태!G16,코드!$A$2:$A$107,0)),0)))</f>
        <v/>
      </c>
      <c r="H16" s="21">
        <f>IF(근태!H$4="",0,IF(근태!H16="",IF(근태!H$6="휴일",0,8),IFERROR(INDEX(코드!$D$2:$D$107,MATCH(근태!H16,코드!$A$2:$A$107,0)),0)))</f>
        <v/>
      </c>
      <c r="I16" s="21">
        <f>IF(근태!I$4="",0,IF(근태!I16="",IF(근태!I$6="휴일",0,8),IFERROR(INDEX(코드!$D$2:$D$107,MATCH(근태!I16,코드!$A$2:$A$107,0)),0)))</f>
        <v/>
      </c>
      <c r="J16" s="21">
        <f>IF(근태!J$4="",0,IF(근태!J16="",IF(근태!J$6="휴일",0,8),IFERROR(INDEX(코드!$D$2:$D$107,MATCH(근태!J16,코드!$A$2:$A$107,0)),0)))</f>
        <v/>
      </c>
      <c r="K16" s="21">
        <f>IF(근태!K$4="",0,IF(근태!K16="",IF(근태!K$6="휴일",0,8),IFERROR(INDEX(코드!$D$2:$D$107,MATCH(근태!K16,코드!$A$2:$A$107,0)),0)))</f>
        <v/>
      </c>
      <c r="L16" s="21">
        <f>IF(근태!L$4="",0,IF(근태!L16="",IF(근태!L$6="휴일",0,8),IFERROR(INDEX(코드!$D$2:$D$107,MATCH(근태!L16,코드!$A$2:$A$107,0)),0)))</f>
        <v/>
      </c>
      <c r="M16" s="21">
        <f>IF(근태!M$4="",0,IF(근태!M16="",IF(근태!M$6="휴일",0,8),IFERROR(INDEX(코드!$D$2:$D$107,MATCH(근태!M16,코드!$A$2:$A$107,0)),0)))</f>
        <v/>
      </c>
      <c r="N16" s="21">
        <f>IF(근태!N$4="",0,IF(근태!N16="",IF(근태!N$6="휴일",0,8),IFERROR(INDEX(코드!$D$2:$D$107,MATCH(근태!N16,코드!$A$2:$A$107,0)),0)))</f>
        <v/>
      </c>
      <c r="O16" s="21">
        <f>IF(근태!O$4="",0,IF(근태!O16="",IF(근태!O$6="휴일",0,8),IFERROR(INDEX(코드!$D$2:$D$107,MATCH(근태!O16,코드!$A$2:$A$107,0)),0)))</f>
        <v/>
      </c>
      <c r="P16" s="21">
        <f>IF(근태!P$4="",0,IF(근태!P16="",IF(근태!P$6="휴일",0,8),IFERROR(INDEX(코드!$D$2:$D$107,MATCH(근태!P16,코드!$A$2:$A$107,0)),0)))</f>
        <v/>
      </c>
      <c r="Q16" s="21">
        <f>IF(근태!Q$4="",0,IF(근태!Q16="",IF(근태!Q$6="휴일",0,8),IFERROR(INDEX(코드!$D$2:$D$107,MATCH(근태!Q16,코드!$A$2:$A$107,0)),0)))</f>
        <v/>
      </c>
      <c r="R16" s="21">
        <f>IF(근태!R$4="",0,IF(근태!R16="",IF(근태!R$6="휴일",0,8),IFERROR(INDEX(코드!$D$2:$D$107,MATCH(근태!R16,코드!$A$2:$A$107,0)),0)))</f>
        <v/>
      </c>
      <c r="S16" s="21">
        <f>IF(근태!S$4="",0,IF(근태!S16="",IF(근태!S$6="휴일",0,8),IFERROR(INDEX(코드!$D$2:$D$107,MATCH(근태!S16,코드!$A$2:$A$107,0)),0)))</f>
        <v/>
      </c>
      <c r="T16" s="21">
        <f>IF(근태!T$4="",0,IF(근태!T16="",IF(근태!T$6="휴일",0,8),IFERROR(INDEX(코드!$D$2:$D$107,MATCH(근태!T16,코드!$A$2:$A$107,0)),0)))</f>
        <v/>
      </c>
      <c r="U16" s="21">
        <f>IF(근태!U$4="",0,IF(근태!U16="",IF(근태!U$6="휴일",0,8),IFERROR(INDEX(코드!$D$2:$D$107,MATCH(근태!U16,코드!$A$2:$A$107,0)),0)))</f>
        <v/>
      </c>
      <c r="V16" s="21">
        <f>IF(근태!V$4="",0,IF(근태!V16="",IF(근태!V$6="휴일",0,8),IFERROR(INDEX(코드!$D$2:$D$107,MATCH(근태!V16,코드!$A$2:$A$107,0)),0)))</f>
        <v/>
      </c>
      <c r="W16" s="21">
        <f>IF(근태!W$4="",0,IF(근태!W16="",IF(근태!W$6="휴일",0,8),IFERROR(INDEX(코드!$D$2:$D$107,MATCH(근태!W16,코드!$A$2:$A$107,0)),0)))</f>
        <v/>
      </c>
      <c r="X16" s="21">
        <f>IF(근태!X$4="",0,IF(근태!X16="",IF(근태!X$6="휴일",0,8),IFERROR(INDEX(코드!$D$2:$D$107,MATCH(근태!X16,코드!$A$2:$A$107,0)),0)))</f>
        <v/>
      </c>
      <c r="Y16" s="21">
        <f>IF(근태!Y$4="",0,IF(근태!Y16="",IF(근태!Y$6="휴일",0,8),IFERROR(INDEX(코드!$D$2:$D$107,MATCH(근태!Y16,코드!$A$2:$A$107,0)),0)))</f>
        <v/>
      </c>
      <c r="Z16" s="21">
        <f>IF(근태!Z$4="",0,IF(근태!Z16="",IF(근태!Z$6="휴일",0,8),IFERROR(INDEX(코드!$D$2:$D$107,MATCH(근태!Z16,코드!$A$2:$A$107,0)),0)))</f>
        <v/>
      </c>
      <c r="AA16" s="21">
        <f>IF(근태!AA$4="",0,IF(근태!AA16="",IF(근태!AA$6="휴일",0,8),IFERROR(INDEX(코드!$D$2:$D$107,MATCH(근태!AA16,코드!$A$2:$A$107,0)),0)))</f>
        <v/>
      </c>
      <c r="AB16" s="21">
        <f>IF(근태!AB$4="",0,IF(근태!AB16="",IF(근태!AB$6="휴일",0,8),IFERROR(INDEX(코드!$D$2:$D$107,MATCH(근태!AB16,코드!$A$2:$A$107,0)),0)))</f>
        <v/>
      </c>
      <c r="AC16" s="21">
        <f>IF(근태!AC$4="",0,IF(근태!AC16="",IF(근태!AC$6="휴일",0,8),IFERROR(INDEX(코드!$D$2:$D$107,MATCH(근태!AC16,코드!$A$2:$A$107,0)),0)))</f>
        <v/>
      </c>
      <c r="AD16" s="21">
        <f>IF(근태!AD$4="",0,IF(근태!AD16="",IF(근태!AD$6="휴일",0,8),IFERROR(INDEX(코드!$D$2:$D$107,MATCH(근태!AD16,코드!$A$2:$A$107,0)),0)))</f>
        <v/>
      </c>
      <c r="AE16" s="21">
        <f>IF(근태!AE$4="",0,IF(근태!AE16="",IF(근태!AE$6="휴일",0,8),IFERROR(INDEX(코드!$D$2:$D$107,MATCH(근태!AE16,코드!$A$2:$A$107,0)),0)))</f>
        <v/>
      </c>
      <c r="AF16" s="21">
        <f>IF(근태!AF$4="",0,IF(근태!AF16="",IF(근태!AF$6="휴일",0,8),IFERROR(INDEX(코드!$D$2:$D$107,MATCH(근태!AF16,코드!$A$2:$A$107,0)),0)))</f>
        <v/>
      </c>
      <c r="AG16" s="21">
        <f>IF(근태!AG$4="",0,IF(근태!AG16="",IF(근태!AG$6="휴일",0,8),IFERROR(INDEX(코드!$D$2:$D$107,MATCH(근태!AG16,코드!$A$2:$A$107,0)),0)))</f>
        <v/>
      </c>
      <c r="AH16" s="21">
        <f>IF(근태!AH$4="",0,IF(근태!AH16="",IF(근태!AH$6="휴일",0,8),IFERROR(INDEX(코드!$D$2:$D$107,MATCH(근태!AH16,코드!$A$2:$A$107,0)),0)))</f>
        <v/>
      </c>
    </row>
    <row r="17">
      <c r="A17" s="12">
        <f>IF(명부!A11="","",명부!A11)</f>
        <v/>
      </c>
      <c r="B17" s="13">
        <f>IF(명부!C11="","",명부!C11)</f>
        <v/>
      </c>
      <c r="C17" s="14">
        <f>IF(명부!E11="","",명부!E11)</f>
        <v/>
      </c>
      <c r="D17" s="21">
        <f>IF(근태!D$4="",0,IF(근태!D17="",IF(근태!D$6="휴일",0,8),IFERROR(INDEX(코드!$D$2:$D$107,MATCH(근태!D17,코드!$A$2:$A$107,0)),0)))</f>
        <v/>
      </c>
      <c r="E17" s="21">
        <f>IF(근태!E$4="",0,IF(근태!E17="",IF(근태!E$6="휴일",0,8),IFERROR(INDEX(코드!$D$2:$D$107,MATCH(근태!E17,코드!$A$2:$A$107,0)),0)))</f>
        <v/>
      </c>
      <c r="F17" s="21">
        <f>IF(근태!F$4="",0,IF(근태!F17="",IF(근태!F$6="휴일",0,8),IFERROR(INDEX(코드!$D$2:$D$107,MATCH(근태!F17,코드!$A$2:$A$107,0)),0)))</f>
        <v/>
      </c>
      <c r="G17" s="21">
        <f>IF(근태!G$4="",0,IF(근태!G17="",IF(근태!G$6="휴일",0,8),IFERROR(INDEX(코드!$D$2:$D$107,MATCH(근태!G17,코드!$A$2:$A$107,0)),0)))</f>
        <v/>
      </c>
      <c r="H17" s="21">
        <f>IF(근태!H$4="",0,IF(근태!H17="",IF(근태!H$6="휴일",0,8),IFERROR(INDEX(코드!$D$2:$D$107,MATCH(근태!H17,코드!$A$2:$A$107,0)),0)))</f>
        <v/>
      </c>
      <c r="I17" s="21">
        <f>IF(근태!I$4="",0,IF(근태!I17="",IF(근태!I$6="휴일",0,8),IFERROR(INDEX(코드!$D$2:$D$107,MATCH(근태!I17,코드!$A$2:$A$107,0)),0)))</f>
        <v/>
      </c>
      <c r="J17" s="21">
        <f>IF(근태!J$4="",0,IF(근태!J17="",IF(근태!J$6="휴일",0,8),IFERROR(INDEX(코드!$D$2:$D$107,MATCH(근태!J17,코드!$A$2:$A$107,0)),0)))</f>
        <v/>
      </c>
      <c r="K17" s="21">
        <f>IF(근태!K$4="",0,IF(근태!K17="",IF(근태!K$6="휴일",0,8),IFERROR(INDEX(코드!$D$2:$D$107,MATCH(근태!K17,코드!$A$2:$A$107,0)),0)))</f>
        <v/>
      </c>
      <c r="L17" s="21">
        <f>IF(근태!L$4="",0,IF(근태!L17="",IF(근태!L$6="휴일",0,8),IFERROR(INDEX(코드!$D$2:$D$107,MATCH(근태!L17,코드!$A$2:$A$107,0)),0)))</f>
        <v/>
      </c>
      <c r="M17" s="21">
        <f>IF(근태!M$4="",0,IF(근태!M17="",IF(근태!M$6="휴일",0,8),IFERROR(INDEX(코드!$D$2:$D$107,MATCH(근태!M17,코드!$A$2:$A$107,0)),0)))</f>
        <v/>
      </c>
      <c r="N17" s="21">
        <f>IF(근태!N$4="",0,IF(근태!N17="",IF(근태!N$6="휴일",0,8),IFERROR(INDEX(코드!$D$2:$D$107,MATCH(근태!N17,코드!$A$2:$A$107,0)),0)))</f>
        <v/>
      </c>
      <c r="O17" s="21">
        <f>IF(근태!O$4="",0,IF(근태!O17="",IF(근태!O$6="휴일",0,8),IFERROR(INDEX(코드!$D$2:$D$107,MATCH(근태!O17,코드!$A$2:$A$107,0)),0)))</f>
        <v/>
      </c>
      <c r="P17" s="21">
        <f>IF(근태!P$4="",0,IF(근태!P17="",IF(근태!P$6="휴일",0,8),IFERROR(INDEX(코드!$D$2:$D$107,MATCH(근태!P17,코드!$A$2:$A$107,0)),0)))</f>
        <v/>
      </c>
      <c r="Q17" s="21">
        <f>IF(근태!Q$4="",0,IF(근태!Q17="",IF(근태!Q$6="휴일",0,8),IFERROR(INDEX(코드!$D$2:$D$107,MATCH(근태!Q17,코드!$A$2:$A$107,0)),0)))</f>
        <v/>
      </c>
      <c r="R17" s="21">
        <f>IF(근태!R$4="",0,IF(근태!R17="",IF(근태!R$6="휴일",0,8),IFERROR(INDEX(코드!$D$2:$D$107,MATCH(근태!R17,코드!$A$2:$A$107,0)),0)))</f>
        <v/>
      </c>
      <c r="S17" s="21">
        <f>IF(근태!S$4="",0,IF(근태!S17="",IF(근태!S$6="휴일",0,8),IFERROR(INDEX(코드!$D$2:$D$107,MATCH(근태!S17,코드!$A$2:$A$107,0)),0)))</f>
        <v/>
      </c>
      <c r="T17" s="21">
        <f>IF(근태!T$4="",0,IF(근태!T17="",IF(근태!T$6="휴일",0,8),IFERROR(INDEX(코드!$D$2:$D$107,MATCH(근태!T17,코드!$A$2:$A$107,0)),0)))</f>
        <v/>
      </c>
      <c r="U17" s="21">
        <f>IF(근태!U$4="",0,IF(근태!U17="",IF(근태!U$6="휴일",0,8),IFERROR(INDEX(코드!$D$2:$D$107,MATCH(근태!U17,코드!$A$2:$A$107,0)),0)))</f>
        <v/>
      </c>
      <c r="V17" s="21">
        <f>IF(근태!V$4="",0,IF(근태!V17="",IF(근태!V$6="휴일",0,8),IFERROR(INDEX(코드!$D$2:$D$107,MATCH(근태!V17,코드!$A$2:$A$107,0)),0)))</f>
        <v/>
      </c>
      <c r="W17" s="21">
        <f>IF(근태!W$4="",0,IF(근태!W17="",IF(근태!W$6="휴일",0,8),IFERROR(INDEX(코드!$D$2:$D$107,MATCH(근태!W17,코드!$A$2:$A$107,0)),0)))</f>
        <v/>
      </c>
      <c r="X17" s="21">
        <f>IF(근태!X$4="",0,IF(근태!X17="",IF(근태!X$6="휴일",0,8),IFERROR(INDEX(코드!$D$2:$D$107,MATCH(근태!X17,코드!$A$2:$A$107,0)),0)))</f>
        <v/>
      </c>
      <c r="Y17" s="21">
        <f>IF(근태!Y$4="",0,IF(근태!Y17="",IF(근태!Y$6="휴일",0,8),IFERROR(INDEX(코드!$D$2:$D$107,MATCH(근태!Y17,코드!$A$2:$A$107,0)),0)))</f>
        <v/>
      </c>
      <c r="Z17" s="21">
        <f>IF(근태!Z$4="",0,IF(근태!Z17="",IF(근태!Z$6="휴일",0,8),IFERROR(INDEX(코드!$D$2:$D$107,MATCH(근태!Z17,코드!$A$2:$A$107,0)),0)))</f>
        <v/>
      </c>
      <c r="AA17" s="21">
        <f>IF(근태!AA$4="",0,IF(근태!AA17="",IF(근태!AA$6="휴일",0,8),IFERROR(INDEX(코드!$D$2:$D$107,MATCH(근태!AA17,코드!$A$2:$A$107,0)),0)))</f>
        <v/>
      </c>
      <c r="AB17" s="21">
        <f>IF(근태!AB$4="",0,IF(근태!AB17="",IF(근태!AB$6="휴일",0,8),IFERROR(INDEX(코드!$D$2:$D$107,MATCH(근태!AB17,코드!$A$2:$A$107,0)),0)))</f>
        <v/>
      </c>
      <c r="AC17" s="21">
        <f>IF(근태!AC$4="",0,IF(근태!AC17="",IF(근태!AC$6="휴일",0,8),IFERROR(INDEX(코드!$D$2:$D$107,MATCH(근태!AC17,코드!$A$2:$A$107,0)),0)))</f>
        <v/>
      </c>
      <c r="AD17" s="21">
        <f>IF(근태!AD$4="",0,IF(근태!AD17="",IF(근태!AD$6="휴일",0,8),IFERROR(INDEX(코드!$D$2:$D$107,MATCH(근태!AD17,코드!$A$2:$A$107,0)),0)))</f>
        <v/>
      </c>
      <c r="AE17" s="21">
        <f>IF(근태!AE$4="",0,IF(근태!AE17="",IF(근태!AE$6="휴일",0,8),IFERROR(INDEX(코드!$D$2:$D$107,MATCH(근태!AE17,코드!$A$2:$A$107,0)),0)))</f>
        <v/>
      </c>
      <c r="AF17" s="21">
        <f>IF(근태!AF$4="",0,IF(근태!AF17="",IF(근태!AF$6="휴일",0,8),IFERROR(INDEX(코드!$D$2:$D$107,MATCH(근태!AF17,코드!$A$2:$A$107,0)),0)))</f>
        <v/>
      </c>
      <c r="AG17" s="21">
        <f>IF(근태!AG$4="",0,IF(근태!AG17="",IF(근태!AG$6="휴일",0,8),IFERROR(INDEX(코드!$D$2:$D$107,MATCH(근태!AG17,코드!$A$2:$A$107,0)),0)))</f>
        <v/>
      </c>
      <c r="AH17" s="21">
        <f>IF(근태!AH$4="",0,IF(근태!AH17="",IF(근태!AH$6="휴일",0,8),IFERROR(INDEX(코드!$D$2:$D$107,MATCH(근태!AH17,코드!$A$2:$A$107,0)),0)))</f>
        <v/>
      </c>
    </row>
    <row r="18">
      <c r="A18" s="12">
        <f>IF(명부!A12="","",명부!A12)</f>
        <v/>
      </c>
      <c r="B18" s="13">
        <f>IF(명부!C12="","",명부!C12)</f>
        <v/>
      </c>
      <c r="C18" s="14">
        <f>IF(명부!E12="","",명부!E12)</f>
        <v/>
      </c>
      <c r="D18" s="21">
        <f>IF(근태!D$4="",0,IF(근태!D18="",IF(근태!D$6="휴일",0,8),IFERROR(INDEX(코드!$D$2:$D$107,MATCH(근태!D18,코드!$A$2:$A$107,0)),0)))</f>
        <v/>
      </c>
      <c r="E18" s="21">
        <f>IF(근태!E$4="",0,IF(근태!E18="",IF(근태!E$6="휴일",0,8),IFERROR(INDEX(코드!$D$2:$D$107,MATCH(근태!E18,코드!$A$2:$A$107,0)),0)))</f>
        <v/>
      </c>
      <c r="F18" s="21">
        <f>IF(근태!F$4="",0,IF(근태!F18="",IF(근태!F$6="휴일",0,8),IFERROR(INDEX(코드!$D$2:$D$107,MATCH(근태!F18,코드!$A$2:$A$107,0)),0)))</f>
        <v/>
      </c>
      <c r="G18" s="21">
        <f>IF(근태!G$4="",0,IF(근태!G18="",IF(근태!G$6="휴일",0,8),IFERROR(INDEX(코드!$D$2:$D$107,MATCH(근태!G18,코드!$A$2:$A$107,0)),0)))</f>
        <v/>
      </c>
      <c r="H18" s="21">
        <f>IF(근태!H$4="",0,IF(근태!H18="",IF(근태!H$6="휴일",0,8),IFERROR(INDEX(코드!$D$2:$D$107,MATCH(근태!H18,코드!$A$2:$A$107,0)),0)))</f>
        <v/>
      </c>
      <c r="I18" s="21">
        <f>IF(근태!I$4="",0,IF(근태!I18="",IF(근태!I$6="휴일",0,8),IFERROR(INDEX(코드!$D$2:$D$107,MATCH(근태!I18,코드!$A$2:$A$107,0)),0)))</f>
        <v/>
      </c>
      <c r="J18" s="21">
        <f>IF(근태!J$4="",0,IF(근태!J18="",IF(근태!J$6="휴일",0,8),IFERROR(INDEX(코드!$D$2:$D$107,MATCH(근태!J18,코드!$A$2:$A$107,0)),0)))</f>
        <v/>
      </c>
      <c r="K18" s="21">
        <f>IF(근태!K$4="",0,IF(근태!K18="",IF(근태!K$6="휴일",0,8),IFERROR(INDEX(코드!$D$2:$D$107,MATCH(근태!K18,코드!$A$2:$A$107,0)),0)))</f>
        <v/>
      </c>
      <c r="L18" s="21">
        <f>IF(근태!L$4="",0,IF(근태!L18="",IF(근태!L$6="휴일",0,8),IFERROR(INDEX(코드!$D$2:$D$107,MATCH(근태!L18,코드!$A$2:$A$107,0)),0)))</f>
        <v/>
      </c>
      <c r="M18" s="21">
        <f>IF(근태!M$4="",0,IF(근태!M18="",IF(근태!M$6="휴일",0,8),IFERROR(INDEX(코드!$D$2:$D$107,MATCH(근태!M18,코드!$A$2:$A$107,0)),0)))</f>
        <v/>
      </c>
      <c r="N18" s="21">
        <f>IF(근태!N$4="",0,IF(근태!N18="",IF(근태!N$6="휴일",0,8),IFERROR(INDEX(코드!$D$2:$D$107,MATCH(근태!N18,코드!$A$2:$A$107,0)),0)))</f>
        <v/>
      </c>
      <c r="O18" s="21">
        <f>IF(근태!O$4="",0,IF(근태!O18="",IF(근태!O$6="휴일",0,8),IFERROR(INDEX(코드!$D$2:$D$107,MATCH(근태!O18,코드!$A$2:$A$107,0)),0)))</f>
        <v/>
      </c>
      <c r="P18" s="21">
        <f>IF(근태!P$4="",0,IF(근태!P18="",IF(근태!P$6="휴일",0,8),IFERROR(INDEX(코드!$D$2:$D$107,MATCH(근태!P18,코드!$A$2:$A$107,0)),0)))</f>
        <v/>
      </c>
      <c r="Q18" s="21">
        <f>IF(근태!Q$4="",0,IF(근태!Q18="",IF(근태!Q$6="휴일",0,8),IFERROR(INDEX(코드!$D$2:$D$107,MATCH(근태!Q18,코드!$A$2:$A$107,0)),0)))</f>
        <v/>
      </c>
      <c r="R18" s="21">
        <f>IF(근태!R$4="",0,IF(근태!R18="",IF(근태!R$6="휴일",0,8),IFERROR(INDEX(코드!$D$2:$D$107,MATCH(근태!R18,코드!$A$2:$A$107,0)),0)))</f>
        <v/>
      </c>
      <c r="S18" s="21">
        <f>IF(근태!S$4="",0,IF(근태!S18="",IF(근태!S$6="휴일",0,8),IFERROR(INDEX(코드!$D$2:$D$107,MATCH(근태!S18,코드!$A$2:$A$107,0)),0)))</f>
        <v/>
      </c>
      <c r="T18" s="21">
        <f>IF(근태!T$4="",0,IF(근태!T18="",IF(근태!T$6="휴일",0,8),IFERROR(INDEX(코드!$D$2:$D$107,MATCH(근태!T18,코드!$A$2:$A$107,0)),0)))</f>
        <v/>
      </c>
      <c r="U18" s="21">
        <f>IF(근태!U$4="",0,IF(근태!U18="",IF(근태!U$6="휴일",0,8),IFERROR(INDEX(코드!$D$2:$D$107,MATCH(근태!U18,코드!$A$2:$A$107,0)),0)))</f>
        <v/>
      </c>
      <c r="V18" s="21">
        <f>IF(근태!V$4="",0,IF(근태!V18="",IF(근태!V$6="휴일",0,8),IFERROR(INDEX(코드!$D$2:$D$107,MATCH(근태!V18,코드!$A$2:$A$107,0)),0)))</f>
        <v/>
      </c>
      <c r="W18" s="21">
        <f>IF(근태!W$4="",0,IF(근태!W18="",IF(근태!W$6="휴일",0,8),IFERROR(INDEX(코드!$D$2:$D$107,MATCH(근태!W18,코드!$A$2:$A$107,0)),0)))</f>
        <v/>
      </c>
      <c r="X18" s="21">
        <f>IF(근태!X$4="",0,IF(근태!X18="",IF(근태!X$6="휴일",0,8),IFERROR(INDEX(코드!$D$2:$D$107,MATCH(근태!X18,코드!$A$2:$A$107,0)),0)))</f>
        <v/>
      </c>
      <c r="Y18" s="21">
        <f>IF(근태!Y$4="",0,IF(근태!Y18="",IF(근태!Y$6="휴일",0,8),IFERROR(INDEX(코드!$D$2:$D$107,MATCH(근태!Y18,코드!$A$2:$A$107,0)),0)))</f>
        <v/>
      </c>
      <c r="Z18" s="21">
        <f>IF(근태!Z$4="",0,IF(근태!Z18="",IF(근태!Z$6="휴일",0,8),IFERROR(INDEX(코드!$D$2:$D$107,MATCH(근태!Z18,코드!$A$2:$A$107,0)),0)))</f>
        <v/>
      </c>
      <c r="AA18" s="21">
        <f>IF(근태!AA$4="",0,IF(근태!AA18="",IF(근태!AA$6="휴일",0,8),IFERROR(INDEX(코드!$D$2:$D$107,MATCH(근태!AA18,코드!$A$2:$A$107,0)),0)))</f>
        <v/>
      </c>
      <c r="AB18" s="21">
        <f>IF(근태!AB$4="",0,IF(근태!AB18="",IF(근태!AB$6="휴일",0,8),IFERROR(INDEX(코드!$D$2:$D$107,MATCH(근태!AB18,코드!$A$2:$A$107,0)),0)))</f>
        <v/>
      </c>
      <c r="AC18" s="21">
        <f>IF(근태!AC$4="",0,IF(근태!AC18="",IF(근태!AC$6="휴일",0,8),IFERROR(INDEX(코드!$D$2:$D$107,MATCH(근태!AC18,코드!$A$2:$A$107,0)),0)))</f>
        <v/>
      </c>
      <c r="AD18" s="21">
        <f>IF(근태!AD$4="",0,IF(근태!AD18="",IF(근태!AD$6="휴일",0,8),IFERROR(INDEX(코드!$D$2:$D$107,MATCH(근태!AD18,코드!$A$2:$A$107,0)),0)))</f>
        <v/>
      </c>
      <c r="AE18" s="21">
        <f>IF(근태!AE$4="",0,IF(근태!AE18="",IF(근태!AE$6="휴일",0,8),IFERROR(INDEX(코드!$D$2:$D$107,MATCH(근태!AE18,코드!$A$2:$A$107,0)),0)))</f>
        <v/>
      </c>
      <c r="AF18" s="21">
        <f>IF(근태!AF$4="",0,IF(근태!AF18="",IF(근태!AF$6="휴일",0,8),IFERROR(INDEX(코드!$D$2:$D$107,MATCH(근태!AF18,코드!$A$2:$A$107,0)),0)))</f>
        <v/>
      </c>
      <c r="AG18" s="21">
        <f>IF(근태!AG$4="",0,IF(근태!AG18="",IF(근태!AG$6="휴일",0,8),IFERROR(INDEX(코드!$D$2:$D$107,MATCH(근태!AG18,코드!$A$2:$A$107,0)),0)))</f>
        <v/>
      </c>
      <c r="AH18" s="21">
        <f>IF(근태!AH$4="",0,IF(근태!AH18="",IF(근태!AH$6="휴일",0,8),IFERROR(INDEX(코드!$D$2:$D$107,MATCH(근태!AH18,코드!$A$2:$A$107,0)),0)))</f>
        <v/>
      </c>
    </row>
    <row r="19">
      <c r="A19" s="12">
        <f>IF(명부!A13="","",명부!A13)</f>
        <v/>
      </c>
      <c r="B19" s="13">
        <f>IF(명부!C13="","",명부!C13)</f>
        <v/>
      </c>
      <c r="C19" s="14">
        <f>IF(명부!E13="","",명부!E13)</f>
        <v/>
      </c>
      <c r="D19" s="21">
        <f>IF(근태!D$4="",0,IF(근태!D19="",IF(근태!D$6="휴일",0,8),IFERROR(INDEX(코드!$D$2:$D$107,MATCH(근태!D19,코드!$A$2:$A$107,0)),0)))</f>
        <v/>
      </c>
      <c r="E19" s="21">
        <f>IF(근태!E$4="",0,IF(근태!E19="",IF(근태!E$6="휴일",0,8),IFERROR(INDEX(코드!$D$2:$D$107,MATCH(근태!E19,코드!$A$2:$A$107,0)),0)))</f>
        <v/>
      </c>
      <c r="F19" s="21">
        <f>IF(근태!F$4="",0,IF(근태!F19="",IF(근태!F$6="휴일",0,8),IFERROR(INDEX(코드!$D$2:$D$107,MATCH(근태!F19,코드!$A$2:$A$107,0)),0)))</f>
        <v/>
      </c>
      <c r="G19" s="21">
        <f>IF(근태!G$4="",0,IF(근태!G19="",IF(근태!G$6="휴일",0,8),IFERROR(INDEX(코드!$D$2:$D$107,MATCH(근태!G19,코드!$A$2:$A$107,0)),0)))</f>
        <v/>
      </c>
      <c r="H19" s="21">
        <f>IF(근태!H$4="",0,IF(근태!H19="",IF(근태!H$6="휴일",0,8),IFERROR(INDEX(코드!$D$2:$D$107,MATCH(근태!H19,코드!$A$2:$A$107,0)),0)))</f>
        <v/>
      </c>
      <c r="I19" s="21">
        <f>IF(근태!I$4="",0,IF(근태!I19="",IF(근태!I$6="휴일",0,8),IFERROR(INDEX(코드!$D$2:$D$107,MATCH(근태!I19,코드!$A$2:$A$107,0)),0)))</f>
        <v/>
      </c>
      <c r="J19" s="21">
        <f>IF(근태!J$4="",0,IF(근태!J19="",IF(근태!J$6="휴일",0,8),IFERROR(INDEX(코드!$D$2:$D$107,MATCH(근태!J19,코드!$A$2:$A$107,0)),0)))</f>
        <v/>
      </c>
      <c r="K19" s="21">
        <f>IF(근태!K$4="",0,IF(근태!K19="",IF(근태!K$6="휴일",0,8),IFERROR(INDEX(코드!$D$2:$D$107,MATCH(근태!K19,코드!$A$2:$A$107,0)),0)))</f>
        <v/>
      </c>
      <c r="L19" s="21">
        <f>IF(근태!L$4="",0,IF(근태!L19="",IF(근태!L$6="휴일",0,8),IFERROR(INDEX(코드!$D$2:$D$107,MATCH(근태!L19,코드!$A$2:$A$107,0)),0)))</f>
        <v/>
      </c>
      <c r="M19" s="21">
        <f>IF(근태!M$4="",0,IF(근태!M19="",IF(근태!M$6="휴일",0,8),IFERROR(INDEX(코드!$D$2:$D$107,MATCH(근태!M19,코드!$A$2:$A$107,0)),0)))</f>
        <v/>
      </c>
      <c r="N19" s="21">
        <f>IF(근태!N$4="",0,IF(근태!N19="",IF(근태!N$6="휴일",0,8),IFERROR(INDEX(코드!$D$2:$D$107,MATCH(근태!N19,코드!$A$2:$A$107,0)),0)))</f>
        <v/>
      </c>
      <c r="O19" s="21">
        <f>IF(근태!O$4="",0,IF(근태!O19="",IF(근태!O$6="휴일",0,8),IFERROR(INDEX(코드!$D$2:$D$107,MATCH(근태!O19,코드!$A$2:$A$107,0)),0)))</f>
        <v/>
      </c>
      <c r="P19" s="21">
        <f>IF(근태!P$4="",0,IF(근태!P19="",IF(근태!P$6="휴일",0,8),IFERROR(INDEX(코드!$D$2:$D$107,MATCH(근태!P19,코드!$A$2:$A$107,0)),0)))</f>
        <v/>
      </c>
      <c r="Q19" s="21">
        <f>IF(근태!Q$4="",0,IF(근태!Q19="",IF(근태!Q$6="휴일",0,8),IFERROR(INDEX(코드!$D$2:$D$107,MATCH(근태!Q19,코드!$A$2:$A$107,0)),0)))</f>
        <v/>
      </c>
      <c r="R19" s="21">
        <f>IF(근태!R$4="",0,IF(근태!R19="",IF(근태!R$6="휴일",0,8),IFERROR(INDEX(코드!$D$2:$D$107,MATCH(근태!R19,코드!$A$2:$A$107,0)),0)))</f>
        <v/>
      </c>
      <c r="S19" s="21">
        <f>IF(근태!S$4="",0,IF(근태!S19="",IF(근태!S$6="휴일",0,8),IFERROR(INDEX(코드!$D$2:$D$107,MATCH(근태!S19,코드!$A$2:$A$107,0)),0)))</f>
        <v/>
      </c>
      <c r="T19" s="21">
        <f>IF(근태!T$4="",0,IF(근태!T19="",IF(근태!T$6="휴일",0,8),IFERROR(INDEX(코드!$D$2:$D$107,MATCH(근태!T19,코드!$A$2:$A$107,0)),0)))</f>
        <v/>
      </c>
      <c r="U19" s="21">
        <f>IF(근태!U$4="",0,IF(근태!U19="",IF(근태!U$6="휴일",0,8),IFERROR(INDEX(코드!$D$2:$D$107,MATCH(근태!U19,코드!$A$2:$A$107,0)),0)))</f>
        <v/>
      </c>
      <c r="V19" s="21">
        <f>IF(근태!V$4="",0,IF(근태!V19="",IF(근태!V$6="휴일",0,8),IFERROR(INDEX(코드!$D$2:$D$107,MATCH(근태!V19,코드!$A$2:$A$107,0)),0)))</f>
        <v/>
      </c>
      <c r="W19" s="21">
        <f>IF(근태!W$4="",0,IF(근태!W19="",IF(근태!W$6="휴일",0,8),IFERROR(INDEX(코드!$D$2:$D$107,MATCH(근태!W19,코드!$A$2:$A$107,0)),0)))</f>
        <v/>
      </c>
      <c r="X19" s="21">
        <f>IF(근태!X$4="",0,IF(근태!X19="",IF(근태!X$6="휴일",0,8),IFERROR(INDEX(코드!$D$2:$D$107,MATCH(근태!X19,코드!$A$2:$A$107,0)),0)))</f>
        <v/>
      </c>
      <c r="Y19" s="21">
        <f>IF(근태!Y$4="",0,IF(근태!Y19="",IF(근태!Y$6="휴일",0,8),IFERROR(INDEX(코드!$D$2:$D$107,MATCH(근태!Y19,코드!$A$2:$A$107,0)),0)))</f>
        <v/>
      </c>
      <c r="Z19" s="21">
        <f>IF(근태!Z$4="",0,IF(근태!Z19="",IF(근태!Z$6="휴일",0,8),IFERROR(INDEX(코드!$D$2:$D$107,MATCH(근태!Z19,코드!$A$2:$A$107,0)),0)))</f>
        <v/>
      </c>
      <c r="AA19" s="21">
        <f>IF(근태!AA$4="",0,IF(근태!AA19="",IF(근태!AA$6="휴일",0,8),IFERROR(INDEX(코드!$D$2:$D$107,MATCH(근태!AA19,코드!$A$2:$A$107,0)),0)))</f>
        <v/>
      </c>
      <c r="AB19" s="21">
        <f>IF(근태!AB$4="",0,IF(근태!AB19="",IF(근태!AB$6="휴일",0,8),IFERROR(INDEX(코드!$D$2:$D$107,MATCH(근태!AB19,코드!$A$2:$A$107,0)),0)))</f>
        <v/>
      </c>
      <c r="AC19" s="21">
        <f>IF(근태!AC$4="",0,IF(근태!AC19="",IF(근태!AC$6="휴일",0,8),IFERROR(INDEX(코드!$D$2:$D$107,MATCH(근태!AC19,코드!$A$2:$A$107,0)),0)))</f>
        <v/>
      </c>
      <c r="AD19" s="21">
        <f>IF(근태!AD$4="",0,IF(근태!AD19="",IF(근태!AD$6="휴일",0,8),IFERROR(INDEX(코드!$D$2:$D$107,MATCH(근태!AD19,코드!$A$2:$A$107,0)),0)))</f>
        <v/>
      </c>
      <c r="AE19" s="21">
        <f>IF(근태!AE$4="",0,IF(근태!AE19="",IF(근태!AE$6="휴일",0,8),IFERROR(INDEX(코드!$D$2:$D$107,MATCH(근태!AE19,코드!$A$2:$A$107,0)),0)))</f>
        <v/>
      </c>
      <c r="AF19" s="21">
        <f>IF(근태!AF$4="",0,IF(근태!AF19="",IF(근태!AF$6="휴일",0,8),IFERROR(INDEX(코드!$D$2:$D$107,MATCH(근태!AF19,코드!$A$2:$A$107,0)),0)))</f>
        <v/>
      </c>
      <c r="AG19" s="21">
        <f>IF(근태!AG$4="",0,IF(근태!AG19="",IF(근태!AG$6="휴일",0,8),IFERROR(INDEX(코드!$D$2:$D$107,MATCH(근태!AG19,코드!$A$2:$A$107,0)),0)))</f>
        <v/>
      </c>
      <c r="AH19" s="21">
        <f>IF(근태!AH$4="",0,IF(근태!AH19="",IF(근태!AH$6="휴일",0,8),IFERROR(INDEX(코드!$D$2:$D$107,MATCH(근태!AH19,코드!$A$2:$A$107,0)),0)))</f>
        <v/>
      </c>
    </row>
    <row r="20">
      <c r="A20" s="12">
        <f>IF(명부!A14="","",명부!A14)</f>
        <v/>
      </c>
      <c r="B20" s="13">
        <f>IF(명부!C14="","",명부!C14)</f>
        <v/>
      </c>
      <c r="C20" s="14">
        <f>IF(명부!E14="","",명부!E14)</f>
        <v/>
      </c>
      <c r="D20" s="21">
        <f>IF(근태!D$4="",0,IF(근태!D20="",IF(근태!D$6="휴일",0,8),IFERROR(INDEX(코드!$D$2:$D$107,MATCH(근태!D20,코드!$A$2:$A$107,0)),0)))</f>
        <v/>
      </c>
      <c r="E20" s="21">
        <f>IF(근태!E$4="",0,IF(근태!E20="",IF(근태!E$6="휴일",0,8),IFERROR(INDEX(코드!$D$2:$D$107,MATCH(근태!E20,코드!$A$2:$A$107,0)),0)))</f>
        <v/>
      </c>
      <c r="F20" s="21">
        <f>IF(근태!F$4="",0,IF(근태!F20="",IF(근태!F$6="휴일",0,8),IFERROR(INDEX(코드!$D$2:$D$107,MATCH(근태!F20,코드!$A$2:$A$107,0)),0)))</f>
        <v/>
      </c>
      <c r="G20" s="21">
        <f>IF(근태!G$4="",0,IF(근태!G20="",IF(근태!G$6="휴일",0,8),IFERROR(INDEX(코드!$D$2:$D$107,MATCH(근태!G20,코드!$A$2:$A$107,0)),0)))</f>
        <v/>
      </c>
      <c r="H20" s="21">
        <f>IF(근태!H$4="",0,IF(근태!H20="",IF(근태!H$6="휴일",0,8),IFERROR(INDEX(코드!$D$2:$D$107,MATCH(근태!H20,코드!$A$2:$A$107,0)),0)))</f>
        <v/>
      </c>
      <c r="I20" s="21">
        <f>IF(근태!I$4="",0,IF(근태!I20="",IF(근태!I$6="휴일",0,8),IFERROR(INDEX(코드!$D$2:$D$107,MATCH(근태!I20,코드!$A$2:$A$107,0)),0)))</f>
        <v/>
      </c>
      <c r="J20" s="21">
        <f>IF(근태!J$4="",0,IF(근태!J20="",IF(근태!J$6="휴일",0,8),IFERROR(INDEX(코드!$D$2:$D$107,MATCH(근태!J20,코드!$A$2:$A$107,0)),0)))</f>
        <v/>
      </c>
      <c r="K20" s="21">
        <f>IF(근태!K$4="",0,IF(근태!K20="",IF(근태!K$6="휴일",0,8),IFERROR(INDEX(코드!$D$2:$D$107,MATCH(근태!K20,코드!$A$2:$A$107,0)),0)))</f>
        <v/>
      </c>
      <c r="L20" s="21">
        <f>IF(근태!L$4="",0,IF(근태!L20="",IF(근태!L$6="휴일",0,8),IFERROR(INDEX(코드!$D$2:$D$107,MATCH(근태!L20,코드!$A$2:$A$107,0)),0)))</f>
        <v/>
      </c>
      <c r="M20" s="21">
        <f>IF(근태!M$4="",0,IF(근태!M20="",IF(근태!M$6="휴일",0,8),IFERROR(INDEX(코드!$D$2:$D$107,MATCH(근태!M20,코드!$A$2:$A$107,0)),0)))</f>
        <v/>
      </c>
      <c r="N20" s="21">
        <f>IF(근태!N$4="",0,IF(근태!N20="",IF(근태!N$6="휴일",0,8),IFERROR(INDEX(코드!$D$2:$D$107,MATCH(근태!N20,코드!$A$2:$A$107,0)),0)))</f>
        <v/>
      </c>
      <c r="O20" s="21">
        <f>IF(근태!O$4="",0,IF(근태!O20="",IF(근태!O$6="휴일",0,8),IFERROR(INDEX(코드!$D$2:$D$107,MATCH(근태!O20,코드!$A$2:$A$107,0)),0)))</f>
        <v/>
      </c>
      <c r="P20" s="21">
        <f>IF(근태!P$4="",0,IF(근태!P20="",IF(근태!P$6="휴일",0,8),IFERROR(INDEX(코드!$D$2:$D$107,MATCH(근태!P20,코드!$A$2:$A$107,0)),0)))</f>
        <v/>
      </c>
      <c r="Q20" s="21">
        <f>IF(근태!Q$4="",0,IF(근태!Q20="",IF(근태!Q$6="휴일",0,8),IFERROR(INDEX(코드!$D$2:$D$107,MATCH(근태!Q20,코드!$A$2:$A$107,0)),0)))</f>
        <v/>
      </c>
      <c r="R20" s="21">
        <f>IF(근태!R$4="",0,IF(근태!R20="",IF(근태!R$6="휴일",0,8),IFERROR(INDEX(코드!$D$2:$D$107,MATCH(근태!R20,코드!$A$2:$A$107,0)),0)))</f>
        <v/>
      </c>
      <c r="S20" s="21">
        <f>IF(근태!S$4="",0,IF(근태!S20="",IF(근태!S$6="휴일",0,8),IFERROR(INDEX(코드!$D$2:$D$107,MATCH(근태!S20,코드!$A$2:$A$107,0)),0)))</f>
        <v/>
      </c>
      <c r="T20" s="21">
        <f>IF(근태!T$4="",0,IF(근태!T20="",IF(근태!T$6="휴일",0,8),IFERROR(INDEX(코드!$D$2:$D$107,MATCH(근태!T20,코드!$A$2:$A$107,0)),0)))</f>
        <v/>
      </c>
      <c r="U20" s="21">
        <f>IF(근태!U$4="",0,IF(근태!U20="",IF(근태!U$6="휴일",0,8),IFERROR(INDEX(코드!$D$2:$D$107,MATCH(근태!U20,코드!$A$2:$A$107,0)),0)))</f>
        <v/>
      </c>
      <c r="V20" s="21">
        <f>IF(근태!V$4="",0,IF(근태!V20="",IF(근태!V$6="휴일",0,8),IFERROR(INDEX(코드!$D$2:$D$107,MATCH(근태!V20,코드!$A$2:$A$107,0)),0)))</f>
        <v/>
      </c>
      <c r="W20" s="21">
        <f>IF(근태!W$4="",0,IF(근태!W20="",IF(근태!W$6="휴일",0,8),IFERROR(INDEX(코드!$D$2:$D$107,MATCH(근태!W20,코드!$A$2:$A$107,0)),0)))</f>
        <v/>
      </c>
      <c r="X20" s="21">
        <f>IF(근태!X$4="",0,IF(근태!X20="",IF(근태!X$6="휴일",0,8),IFERROR(INDEX(코드!$D$2:$D$107,MATCH(근태!X20,코드!$A$2:$A$107,0)),0)))</f>
        <v/>
      </c>
      <c r="Y20" s="21">
        <f>IF(근태!Y$4="",0,IF(근태!Y20="",IF(근태!Y$6="휴일",0,8),IFERROR(INDEX(코드!$D$2:$D$107,MATCH(근태!Y20,코드!$A$2:$A$107,0)),0)))</f>
        <v/>
      </c>
      <c r="Z20" s="21">
        <f>IF(근태!Z$4="",0,IF(근태!Z20="",IF(근태!Z$6="휴일",0,8),IFERROR(INDEX(코드!$D$2:$D$107,MATCH(근태!Z20,코드!$A$2:$A$107,0)),0)))</f>
        <v/>
      </c>
      <c r="AA20" s="21">
        <f>IF(근태!AA$4="",0,IF(근태!AA20="",IF(근태!AA$6="휴일",0,8),IFERROR(INDEX(코드!$D$2:$D$107,MATCH(근태!AA20,코드!$A$2:$A$107,0)),0)))</f>
        <v/>
      </c>
      <c r="AB20" s="21">
        <f>IF(근태!AB$4="",0,IF(근태!AB20="",IF(근태!AB$6="휴일",0,8),IFERROR(INDEX(코드!$D$2:$D$107,MATCH(근태!AB20,코드!$A$2:$A$107,0)),0)))</f>
        <v/>
      </c>
      <c r="AC20" s="21">
        <f>IF(근태!AC$4="",0,IF(근태!AC20="",IF(근태!AC$6="휴일",0,8),IFERROR(INDEX(코드!$D$2:$D$107,MATCH(근태!AC20,코드!$A$2:$A$107,0)),0)))</f>
        <v/>
      </c>
      <c r="AD20" s="21">
        <f>IF(근태!AD$4="",0,IF(근태!AD20="",IF(근태!AD$6="휴일",0,8),IFERROR(INDEX(코드!$D$2:$D$107,MATCH(근태!AD20,코드!$A$2:$A$107,0)),0)))</f>
        <v/>
      </c>
      <c r="AE20" s="21">
        <f>IF(근태!AE$4="",0,IF(근태!AE20="",IF(근태!AE$6="휴일",0,8),IFERROR(INDEX(코드!$D$2:$D$107,MATCH(근태!AE20,코드!$A$2:$A$107,0)),0)))</f>
        <v/>
      </c>
      <c r="AF20" s="21">
        <f>IF(근태!AF$4="",0,IF(근태!AF20="",IF(근태!AF$6="휴일",0,8),IFERROR(INDEX(코드!$D$2:$D$107,MATCH(근태!AF20,코드!$A$2:$A$107,0)),0)))</f>
        <v/>
      </c>
      <c r="AG20" s="21">
        <f>IF(근태!AG$4="",0,IF(근태!AG20="",IF(근태!AG$6="휴일",0,8),IFERROR(INDEX(코드!$D$2:$D$107,MATCH(근태!AG20,코드!$A$2:$A$107,0)),0)))</f>
        <v/>
      </c>
      <c r="AH20" s="21">
        <f>IF(근태!AH$4="",0,IF(근태!AH20="",IF(근태!AH$6="휴일",0,8),IFERROR(INDEX(코드!$D$2:$D$107,MATCH(근태!AH20,코드!$A$2:$A$107,0)),0)))</f>
        <v/>
      </c>
    </row>
    <row r="21">
      <c r="A21" s="12">
        <f>IF(명부!A15="","",명부!A15)</f>
        <v/>
      </c>
      <c r="B21" s="13">
        <f>IF(명부!C15="","",명부!C15)</f>
        <v/>
      </c>
      <c r="C21" s="14">
        <f>IF(명부!E15="","",명부!E15)</f>
        <v/>
      </c>
      <c r="D21" s="21">
        <f>IF(근태!D$4="",0,IF(근태!D21="",IF(근태!D$6="휴일",0,8),IFERROR(INDEX(코드!$D$2:$D$107,MATCH(근태!D21,코드!$A$2:$A$107,0)),0)))</f>
        <v/>
      </c>
      <c r="E21" s="21">
        <f>IF(근태!E$4="",0,IF(근태!E21="",IF(근태!E$6="휴일",0,8),IFERROR(INDEX(코드!$D$2:$D$107,MATCH(근태!E21,코드!$A$2:$A$107,0)),0)))</f>
        <v/>
      </c>
      <c r="F21" s="21">
        <f>IF(근태!F$4="",0,IF(근태!F21="",IF(근태!F$6="휴일",0,8),IFERROR(INDEX(코드!$D$2:$D$107,MATCH(근태!F21,코드!$A$2:$A$107,0)),0)))</f>
        <v/>
      </c>
      <c r="G21" s="21">
        <f>IF(근태!G$4="",0,IF(근태!G21="",IF(근태!G$6="휴일",0,8),IFERROR(INDEX(코드!$D$2:$D$107,MATCH(근태!G21,코드!$A$2:$A$107,0)),0)))</f>
        <v/>
      </c>
      <c r="H21" s="21">
        <f>IF(근태!H$4="",0,IF(근태!H21="",IF(근태!H$6="휴일",0,8),IFERROR(INDEX(코드!$D$2:$D$107,MATCH(근태!H21,코드!$A$2:$A$107,0)),0)))</f>
        <v/>
      </c>
      <c r="I21" s="21">
        <f>IF(근태!I$4="",0,IF(근태!I21="",IF(근태!I$6="휴일",0,8),IFERROR(INDEX(코드!$D$2:$D$107,MATCH(근태!I21,코드!$A$2:$A$107,0)),0)))</f>
        <v/>
      </c>
      <c r="J21" s="21">
        <f>IF(근태!J$4="",0,IF(근태!J21="",IF(근태!J$6="휴일",0,8),IFERROR(INDEX(코드!$D$2:$D$107,MATCH(근태!J21,코드!$A$2:$A$107,0)),0)))</f>
        <v/>
      </c>
      <c r="K21" s="21">
        <f>IF(근태!K$4="",0,IF(근태!K21="",IF(근태!K$6="휴일",0,8),IFERROR(INDEX(코드!$D$2:$D$107,MATCH(근태!K21,코드!$A$2:$A$107,0)),0)))</f>
        <v/>
      </c>
      <c r="L21" s="21">
        <f>IF(근태!L$4="",0,IF(근태!L21="",IF(근태!L$6="휴일",0,8),IFERROR(INDEX(코드!$D$2:$D$107,MATCH(근태!L21,코드!$A$2:$A$107,0)),0)))</f>
        <v/>
      </c>
      <c r="M21" s="21">
        <f>IF(근태!M$4="",0,IF(근태!M21="",IF(근태!M$6="휴일",0,8),IFERROR(INDEX(코드!$D$2:$D$107,MATCH(근태!M21,코드!$A$2:$A$107,0)),0)))</f>
        <v/>
      </c>
      <c r="N21" s="21">
        <f>IF(근태!N$4="",0,IF(근태!N21="",IF(근태!N$6="휴일",0,8),IFERROR(INDEX(코드!$D$2:$D$107,MATCH(근태!N21,코드!$A$2:$A$107,0)),0)))</f>
        <v/>
      </c>
      <c r="O21" s="21">
        <f>IF(근태!O$4="",0,IF(근태!O21="",IF(근태!O$6="휴일",0,8),IFERROR(INDEX(코드!$D$2:$D$107,MATCH(근태!O21,코드!$A$2:$A$107,0)),0)))</f>
        <v/>
      </c>
      <c r="P21" s="21">
        <f>IF(근태!P$4="",0,IF(근태!P21="",IF(근태!P$6="휴일",0,8),IFERROR(INDEX(코드!$D$2:$D$107,MATCH(근태!P21,코드!$A$2:$A$107,0)),0)))</f>
        <v/>
      </c>
      <c r="Q21" s="21">
        <f>IF(근태!Q$4="",0,IF(근태!Q21="",IF(근태!Q$6="휴일",0,8),IFERROR(INDEX(코드!$D$2:$D$107,MATCH(근태!Q21,코드!$A$2:$A$107,0)),0)))</f>
        <v/>
      </c>
      <c r="R21" s="21">
        <f>IF(근태!R$4="",0,IF(근태!R21="",IF(근태!R$6="휴일",0,8),IFERROR(INDEX(코드!$D$2:$D$107,MATCH(근태!R21,코드!$A$2:$A$107,0)),0)))</f>
        <v/>
      </c>
      <c r="S21" s="21">
        <f>IF(근태!S$4="",0,IF(근태!S21="",IF(근태!S$6="휴일",0,8),IFERROR(INDEX(코드!$D$2:$D$107,MATCH(근태!S21,코드!$A$2:$A$107,0)),0)))</f>
        <v/>
      </c>
      <c r="T21" s="21">
        <f>IF(근태!T$4="",0,IF(근태!T21="",IF(근태!T$6="휴일",0,8),IFERROR(INDEX(코드!$D$2:$D$107,MATCH(근태!T21,코드!$A$2:$A$107,0)),0)))</f>
        <v/>
      </c>
      <c r="U21" s="21">
        <f>IF(근태!U$4="",0,IF(근태!U21="",IF(근태!U$6="휴일",0,8),IFERROR(INDEX(코드!$D$2:$D$107,MATCH(근태!U21,코드!$A$2:$A$107,0)),0)))</f>
        <v/>
      </c>
      <c r="V21" s="21">
        <f>IF(근태!V$4="",0,IF(근태!V21="",IF(근태!V$6="휴일",0,8),IFERROR(INDEX(코드!$D$2:$D$107,MATCH(근태!V21,코드!$A$2:$A$107,0)),0)))</f>
        <v/>
      </c>
      <c r="W21" s="21">
        <f>IF(근태!W$4="",0,IF(근태!W21="",IF(근태!W$6="휴일",0,8),IFERROR(INDEX(코드!$D$2:$D$107,MATCH(근태!W21,코드!$A$2:$A$107,0)),0)))</f>
        <v/>
      </c>
      <c r="X21" s="21">
        <f>IF(근태!X$4="",0,IF(근태!X21="",IF(근태!X$6="휴일",0,8),IFERROR(INDEX(코드!$D$2:$D$107,MATCH(근태!X21,코드!$A$2:$A$107,0)),0)))</f>
        <v/>
      </c>
      <c r="Y21" s="21">
        <f>IF(근태!Y$4="",0,IF(근태!Y21="",IF(근태!Y$6="휴일",0,8),IFERROR(INDEX(코드!$D$2:$D$107,MATCH(근태!Y21,코드!$A$2:$A$107,0)),0)))</f>
        <v/>
      </c>
      <c r="Z21" s="21">
        <f>IF(근태!Z$4="",0,IF(근태!Z21="",IF(근태!Z$6="휴일",0,8),IFERROR(INDEX(코드!$D$2:$D$107,MATCH(근태!Z21,코드!$A$2:$A$107,0)),0)))</f>
        <v/>
      </c>
      <c r="AA21" s="21">
        <f>IF(근태!AA$4="",0,IF(근태!AA21="",IF(근태!AA$6="휴일",0,8),IFERROR(INDEX(코드!$D$2:$D$107,MATCH(근태!AA21,코드!$A$2:$A$107,0)),0)))</f>
        <v/>
      </c>
      <c r="AB21" s="21">
        <f>IF(근태!AB$4="",0,IF(근태!AB21="",IF(근태!AB$6="휴일",0,8),IFERROR(INDEX(코드!$D$2:$D$107,MATCH(근태!AB21,코드!$A$2:$A$107,0)),0)))</f>
        <v/>
      </c>
      <c r="AC21" s="21">
        <f>IF(근태!AC$4="",0,IF(근태!AC21="",IF(근태!AC$6="휴일",0,8),IFERROR(INDEX(코드!$D$2:$D$107,MATCH(근태!AC21,코드!$A$2:$A$107,0)),0)))</f>
        <v/>
      </c>
      <c r="AD21" s="21">
        <f>IF(근태!AD$4="",0,IF(근태!AD21="",IF(근태!AD$6="휴일",0,8),IFERROR(INDEX(코드!$D$2:$D$107,MATCH(근태!AD21,코드!$A$2:$A$107,0)),0)))</f>
        <v/>
      </c>
      <c r="AE21" s="21">
        <f>IF(근태!AE$4="",0,IF(근태!AE21="",IF(근태!AE$6="휴일",0,8),IFERROR(INDEX(코드!$D$2:$D$107,MATCH(근태!AE21,코드!$A$2:$A$107,0)),0)))</f>
        <v/>
      </c>
      <c r="AF21" s="21">
        <f>IF(근태!AF$4="",0,IF(근태!AF21="",IF(근태!AF$6="휴일",0,8),IFERROR(INDEX(코드!$D$2:$D$107,MATCH(근태!AF21,코드!$A$2:$A$107,0)),0)))</f>
        <v/>
      </c>
      <c r="AG21" s="21">
        <f>IF(근태!AG$4="",0,IF(근태!AG21="",IF(근태!AG$6="휴일",0,8),IFERROR(INDEX(코드!$D$2:$D$107,MATCH(근태!AG21,코드!$A$2:$A$107,0)),0)))</f>
        <v/>
      </c>
      <c r="AH21" s="21">
        <f>IF(근태!AH$4="",0,IF(근태!AH21="",IF(근태!AH$6="휴일",0,8),IFERROR(INDEX(코드!$D$2:$D$107,MATCH(근태!AH21,코드!$A$2:$A$107,0)),0)))</f>
        <v/>
      </c>
    </row>
    <row r="22">
      <c r="A22" s="12">
        <f>IF(명부!A16="","",명부!A16)</f>
        <v/>
      </c>
      <c r="B22" s="13">
        <f>IF(명부!C16="","",명부!C16)</f>
        <v/>
      </c>
      <c r="C22" s="14">
        <f>IF(명부!E16="","",명부!E16)</f>
        <v/>
      </c>
      <c r="D22" s="21">
        <f>IF(근태!D$4="",0,IF(근태!D22="",IF(근태!D$6="휴일",0,8),IFERROR(INDEX(코드!$D$2:$D$107,MATCH(근태!D22,코드!$A$2:$A$107,0)),0)))</f>
        <v/>
      </c>
      <c r="E22" s="21">
        <f>IF(근태!E$4="",0,IF(근태!E22="",IF(근태!E$6="휴일",0,8),IFERROR(INDEX(코드!$D$2:$D$107,MATCH(근태!E22,코드!$A$2:$A$107,0)),0)))</f>
        <v/>
      </c>
      <c r="F22" s="21">
        <f>IF(근태!F$4="",0,IF(근태!F22="",IF(근태!F$6="휴일",0,8),IFERROR(INDEX(코드!$D$2:$D$107,MATCH(근태!F22,코드!$A$2:$A$107,0)),0)))</f>
        <v/>
      </c>
      <c r="G22" s="21">
        <f>IF(근태!G$4="",0,IF(근태!G22="",IF(근태!G$6="휴일",0,8),IFERROR(INDEX(코드!$D$2:$D$107,MATCH(근태!G22,코드!$A$2:$A$107,0)),0)))</f>
        <v/>
      </c>
      <c r="H22" s="21">
        <f>IF(근태!H$4="",0,IF(근태!H22="",IF(근태!H$6="휴일",0,8),IFERROR(INDEX(코드!$D$2:$D$107,MATCH(근태!H22,코드!$A$2:$A$107,0)),0)))</f>
        <v/>
      </c>
      <c r="I22" s="21">
        <f>IF(근태!I$4="",0,IF(근태!I22="",IF(근태!I$6="휴일",0,8),IFERROR(INDEX(코드!$D$2:$D$107,MATCH(근태!I22,코드!$A$2:$A$107,0)),0)))</f>
        <v/>
      </c>
      <c r="J22" s="21">
        <f>IF(근태!J$4="",0,IF(근태!J22="",IF(근태!J$6="휴일",0,8),IFERROR(INDEX(코드!$D$2:$D$107,MATCH(근태!J22,코드!$A$2:$A$107,0)),0)))</f>
        <v/>
      </c>
      <c r="K22" s="21">
        <f>IF(근태!K$4="",0,IF(근태!K22="",IF(근태!K$6="휴일",0,8),IFERROR(INDEX(코드!$D$2:$D$107,MATCH(근태!K22,코드!$A$2:$A$107,0)),0)))</f>
        <v/>
      </c>
      <c r="L22" s="21">
        <f>IF(근태!L$4="",0,IF(근태!L22="",IF(근태!L$6="휴일",0,8),IFERROR(INDEX(코드!$D$2:$D$107,MATCH(근태!L22,코드!$A$2:$A$107,0)),0)))</f>
        <v/>
      </c>
      <c r="M22" s="21">
        <f>IF(근태!M$4="",0,IF(근태!M22="",IF(근태!M$6="휴일",0,8),IFERROR(INDEX(코드!$D$2:$D$107,MATCH(근태!M22,코드!$A$2:$A$107,0)),0)))</f>
        <v/>
      </c>
      <c r="N22" s="21">
        <f>IF(근태!N$4="",0,IF(근태!N22="",IF(근태!N$6="휴일",0,8),IFERROR(INDEX(코드!$D$2:$D$107,MATCH(근태!N22,코드!$A$2:$A$107,0)),0)))</f>
        <v/>
      </c>
      <c r="O22" s="21">
        <f>IF(근태!O$4="",0,IF(근태!O22="",IF(근태!O$6="휴일",0,8),IFERROR(INDEX(코드!$D$2:$D$107,MATCH(근태!O22,코드!$A$2:$A$107,0)),0)))</f>
        <v/>
      </c>
      <c r="P22" s="21">
        <f>IF(근태!P$4="",0,IF(근태!P22="",IF(근태!P$6="휴일",0,8),IFERROR(INDEX(코드!$D$2:$D$107,MATCH(근태!P22,코드!$A$2:$A$107,0)),0)))</f>
        <v/>
      </c>
      <c r="Q22" s="21">
        <f>IF(근태!Q$4="",0,IF(근태!Q22="",IF(근태!Q$6="휴일",0,8),IFERROR(INDEX(코드!$D$2:$D$107,MATCH(근태!Q22,코드!$A$2:$A$107,0)),0)))</f>
        <v/>
      </c>
      <c r="R22" s="21">
        <f>IF(근태!R$4="",0,IF(근태!R22="",IF(근태!R$6="휴일",0,8),IFERROR(INDEX(코드!$D$2:$D$107,MATCH(근태!R22,코드!$A$2:$A$107,0)),0)))</f>
        <v/>
      </c>
      <c r="S22" s="21">
        <f>IF(근태!S$4="",0,IF(근태!S22="",IF(근태!S$6="휴일",0,8),IFERROR(INDEX(코드!$D$2:$D$107,MATCH(근태!S22,코드!$A$2:$A$107,0)),0)))</f>
        <v/>
      </c>
      <c r="T22" s="21">
        <f>IF(근태!T$4="",0,IF(근태!T22="",IF(근태!T$6="휴일",0,8),IFERROR(INDEX(코드!$D$2:$D$107,MATCH(근태!T22,코드!$A$2:$A$107,0)),0)))</f>
        <v/>
      </c>
      <c r="U22" s="21">
        <f>IF(근태!U$4="",0,IF(근태!U22="",IF(근태!U$6="휴일",0,8),IFERROR(INDEX(코드!$D$2:$D$107,MATCH(근태!U22,코드!$A$2:$A$107,0)),0)))</f>
        <v/>
      </c>
      <c r="V22" s="21">
        <f>IF(근태!V$4="",0,IF(근태!V22="",IF(근태!V$6="휴일",0,8),IFERROR(INDEX(코드!$D$2:$D$107,MATCH(근태!V22,코드!$A$2:$A$107,0)),0)))</f>
        <v/>
      </c>
      <c r="W22" s="21">
        <f>IF(근태!W$4="",0,IF(근태!W22="",IF(근태!W$6="휴일",0,8),IFERROR(INDEX(코드!$D$2:$D$107,MATCH(근태!W22,코드!$A$2:$A$107,0)),0)))</f>
        <v/>
      </c>
      <c r="X22" s="21">
        <f>IF(근태!X$4="",0,IF(근태!X22="",IF(근태!X$6="휴일",0,8),IFERROR(INDEX(코드!$D$2:$D$107,MATCH(근태!X22,코드!$A$2:$A$107,0)),0)))</f>
        <v/>
      </c>
      <c r="Y22" s="21">
        <f>IF(근태!Y$4="",0,IF(근태!Y22="",IF(근태!Y$6="휴일",0,8),IFERROR(INDEX(코드!$D$2:$D$107,MATCH(근태!Y22,코드!$A$2:$A$107,0)),0)))</f>
        <v/>
      </c>
      <c r="Z22" s="21">
        <f>IF(근태!Z$4="",0,IF(근태!Z22="",IF(근태!Z$6="휴일",0,8),IFERROR(INDEX(코드!$D$2:$D$107,MATCH(근태!Z22,코드!$A$2:$A$107,0)),0)))</f>
        <v/>
      </c>
      <c r="AA22" s="21">
        <f>IF(근태!AA$4="",0,IF(근태!AA22="",IF(근태!AA$6="휴일",0,8),IFERROR(INDEX(코드!$D$2:$D$107,MATCH(근태!AA22,코드!$A$2:$A$107,0)),0)))</f>
        <v/>
      </c>
      <c r="AB22" s="21">
        <f>IF(근태!AB$4="",0,IF(근태!AB22="",IF(근태!AB$6="휴일",0,8),IFERROR(INDEX(코드!$D$2:$D$107,MATCH(근태!AB22,코드!$A$2:$A$107,0)),0)))</f>
        <v/>
      </c>
      <c r="AC22" s="21">
        <f>IF(근태!AC$4="",0,IF(근태!AC22="",IF(근태!AC$6="휴일",0,8),IFERROR(INDEX(코드!$D$2:$D$107,MATCH(근태!AC22,코드!$A$2:$A$107,0)),0)))</f>
        <v/>
      </c>
      <c r="AD22" s="21">
        <f>IF(근태!AD$4="",0,IF(근태!AD22="",IF(근태!AD$6="휴일",0,8),IFERROR(INDEX(코드!$D$2:$D$107,MATCH(근태!AD22,코드!$A$2:$A$107,0)),0)))</f>
        <v/>
      </c>
      <c r="AE22" s="21">
        <f>IF(근태!AE$4="",0,IF(근태!AE22="",IF(근태!AE$6="휴일",0,8),IFERROR(INDEX(코드!$D$2:$D$107,MATCH(근태!AE22,코드!$A$2:$A$107,0)),0)))</f>
        <v/>
      </c>
      <c r="AF22" s="21">
        <f>IF(근태!AF$4="",0,IF(근태!AF22="",IF(근태!AF$6="휴일",0,8),IFERROR(INDEX(코드!$D$2:$D$107,MATCH(근태!AF22,코드!$A$2:$A$107,0)),0)))</f>
        <v/>
      </c>
      <c r="AG22" s="21">
        <f>IF(근태!AG$4="",0,IF(근태!AG22="",IF(근태!AG$6="휴일",0,8),IFERROR(INDEX(코드!$D$2:$D$107,MATCH(근태!AG22,코드!$A$2:$A$107,0)),0)))</f>
        <v/>
      </c>
      <c r="AH22" s="21">
        <f>IF(근태!AH$4="",0,IF(근태!AH22="",IF(근태!AH$6="휴일",0,8),IFERROR(INDEX(코드!$D$2:$D$107,MATCH(근태!AH22,코드!$A$2:$A$107,0)),0)))</f>
        <v/>
      </c>
    </row>
    <row r="23">
      <c r="A23" s="12">
        <f>IF(명부!A17="","",명부!A17)</f>
        <v/>
      </c>
      <c r="B23" s="13">
        <f>IF(명부!C17="","",명부!C17)</f>
        <v/>
      </c>
      <c r="C23" s="14">
        <f>IF(명부!E17="","",명부!E17)</f>
        <v/>
      </c>
      <c r="D23" s="21">
        <f>IF(근태!D$4="",0,IF(근태!D23="",IF(근태!D$6="휴일",0,8),IFERROR(INDEX(코드!$D$2:$D$107,MATCH(근태!D23,코드!$A$2:$A$107,0)),0)))</f>
        <v/>
      </c>
      <c r="E23" s="21">
        <f>IF(근태!E$4="",0,IF(근태!E23="",IF(근태!E$6="휴일",0,8),IFERROR(INDEX(코드!$D$2:$D$107,MATCH(근태!E23,코드!$A$2:$A$107,0)),0)))</f>
        <v/>
      </c>
      <c r="F23" s="21">
        <f>IF(근태!F$4="",0,IF(근태!F23="",IF(근태!F$6="휴일",0,8),IFERROR(INDEX(코드!$D$2:$D$107,MATCH(근태!F23,코드!$A$2:$A$107,0)),0)))</f>
        <v/>
      </c>
      <c r="G23" s="21">
        <f>IF(근태!G$4="",0,IF(근태!G23="",IF(근태!G$6="휴일",0,8),IFERROR(INDEX(코드!$D$2:$D$107,MATCH(근태!G23,코드!$A$2:$A$107,0)),0)))</f>
        <v/>
      </c>
      <c r="H23" s="21">
        <f>IF(근태!H$4="",0,IF(근태!H23="",IF(근태!H$6="휴일",0,8),IFERROR(INDEX(코드!$D$2:$D$107,MATCH(근태!H23,코드!$A$2:$A$107,0)),0)))</f>
        <v/>
      </c>
      <c r="I23" s="21">
        <f>IF(근태!I$4="",0,IF(근태!I23="",IF(근태!I$6="휴일",0,8),IFERROR(INDEX(코드!$D$2:$D$107,MATCH(근태!I23,코드!$A$2:$A$107,0)),0)))</f>
        <v/>
      </c>
      <c r="J23" s="21">
        <f>IF(근태!J$4="",0,IF(근태!J23="",IF(근태!J$6="휴일",0,8),IFERROR(INDEX(코드!$D$2:$D$107,MATCH(근태!J23,코드!$A$2:$A$107,0)),0)))</f>
        <v/>
      </c>
      <c r="K23" s="21">
        <f>IF(근태!K$4="",0,IF(근태!K23="",IF(근태!K$6="휴일",0,8),IFERROR(INDEX(코드!$D$2:$D$107,MATCH(근태!K23,코드!$A$2:$A$107,0)),0)))</f>
        <v/>
      </c>
      <c r="L23" s="21">
        <f>IF(근태!L$4="",0,IF(근태!L23="",IF(근태!L$6="휴일",0,8),IFERROR(INDEX(코드!$D$2:$D$107,MATCH(근태!L23,코드!$A$2:$A$107,0)),0)))</f>
        <v/>
      </c>
      <c r="M23" s="21">
        <f>IF(근태!M$4="",0,IF(근태!M23="",IF(근태!M$6="휴일",0,8),IFERROR(INDEX(코드!$D$2:$D$107,MATCH(근태!M23,코드!$A$2:$A$107,0)),0)))</f>
        <v/>
      </c>
      <c r="N23" s="21">
        <f>IF(근태!N$4="",0,IF(근태!N23="",IF(근태!N$6="휴일",0,8),IFERROR(INDEX(코드!$D$2:$D$107,MATCH(근태!N23,코드!$A$2:$A$107,0)),0)))</f>
        <v/>
      </c>
      <c r="O23" s="21">
        <f>IF(근태!O$4="",0,IF(근태!O23="",IF(근태!O$6="휴일",0,8),IFERROR(INDEX(코드!$D$2:$D$107,MATCH(근태!O23,코드!$A$2:$A$107,0)),0)))</f>
        <v/>
      </c>
      <c r="P23" s="21">
        <f>IF(근태!P$4="",0,IF(근태!P23="",IF(근태!P$6="휴일",0,8),IFERROR(INDEX(코드!$D$2:$D$107,MATCH(근태!P23,코드!$A$2:$A$107,0)),0)))</f>
        <v/>
      </c>
      <c r="Q23" s="21">
        <f>IF(근태!Q$4="",0,IF(근태!Q23="",IF(근태!Q$6="휴일",0,8),IFERROR(INDEX(코드!$D$2:$D$107,MATCH(근태!Q23,코드!$A$2:$A$107,0)),0)))</f>
        <v/>
      </c>
      <c r="R23" s="21">
        <f>IF(근태!R$4="",0,IF(근태!R23="",IF(근태!R$6="휴일",0,8),IFERROR(INDEX(코드!$D$2:$D$107,MATCH(근태!R23,코드!$A$2:$A$107,0)),0)))</f>
        <v/>
      </c>
      <c r="S23" s="21">
        <f>IF(근태!S$4="",0,IF(근태!S23="",IF(근태!S$6="휴일",0,8),IFERROR(INDEX(코드!$D$2:$D$107,MATCH(근태!S23,코드!$A$2:$A$107,0)),0)))</f>
        <v/>
      </c>
      <c r="T23" s="21">
        <f>IF(근태!T$4="",0,IF(근태!T23="",IF(근태!T$6="휴일",0,8),IFERROR(INDEX(코드!$D$2:$D$107,MATCH(근태!T23,코드!$A$2:$A$107,0)),0)))</f>
        <v/>
      </c>
      <c r="U23" s="21">
        <f>IF(근태!U$4="",0,IF(근태!U23="",IF(근태!U$6="휴일",0,8),IFERROR(INDEX(코드!$D$2:$D$107,MATCH(근태!U23,코드!$A$2:$A$107,0)),0)))</f>
        <v/>
      </c>
      <c r="V23" s="21">
        <f>IF(근태!V$4="",0,IF(근태!V23="",IF(근태!V$6="휴일",0,8),IFERROR(INDEX(코드!$D$2:$D$107,MATCH(근태!V23,코드!$A$2:$A$107,0)),0)))</f>
        <v/>
      </c>
      <c r="W23" s="21">
        <f>IF(근태!W$4="",0,IF(근태!W23="",IF(근태!W$6="휴일",0,8),IFERROR(INDEX(코드!$D$2:$D$107,MATCH(근태!W23,코드!$A$2:$A$107,0)),0)))</f>
        <v/>
      </c>
      <c r="X23" s="21">
        <f>IF(근태!X$4="",0,IF(근태!X23="",IF(근태!X$6="휴일",0,8),IFERROR(INDEX(코드!$D$2:$D$107,MATCH(근태!X23,코드!$A$2:$A$107,0)),0)))</f>
        <v/>
      </c>
      <c r="Y23" s="21">
        <f>IF(근태!Y$4="",0,IF(근태!Y23="",IF(근태!Y$6="휴일",0,8),IFERROR(INDEX(코드!$D$2:$D$107,MATCH(근태!Y23,코드!$A$2:$A$107,0)),0)))</f>
        <v/>
      </c>
      <c r="Z23" s="21">
        <f>IF(근태!Z$4="",0,IF(근태!Z23="",IF(근태!Z$6="휴일",0,8),IFERROR(INDEX(코드!$D$2:$D$107,MATCH(근태!Z23,코드!$A$2:$A$107,0)),0)))</f>
        <v/>
      </c>
      <c r="AA23" s="21">
        <f>IF(근태!AA$4="",0,IF(근태!AA23="",IF(근태!AA$6="휴일",0,8),IFERROR(INDEX(코드!$D$2:$D$107,MATCH(근태!AA23,코드!$A$2:$A$107,0)),0)))</f>
        <v/>
      </c>
      <c r="AB23" s="21">
        <f>IF(근태!AB$4="",0,IF(근태!AB23="",IF(근태!AB$6="휴일",0,8),IFERROR(INDEX(코드!$D$2:$D$107,MATCH(근태!AB23,코드!$A$2:$A$107,0)),0)))</f>
        <v/>
      </c>
      <c r="AC23" s="21">
        <f>IF(근태!AC$4="",0,IF(근태!AC23="",IF(근태!AC$6="휴일",0,8),IFERROR(INDEX(코드!$D$2:$D$107,MATCH(근태!AC23,코드!$A$2:$A$107,0)),0)))</f>
        <v/>
      </c>
      <c r="AD23" s="21">
        <f>IF(근태!AD$4="",0,IF(근태!AD23="",IF(근태!AD$6="휴일",0,8),IFERROR(INDEX(코드!$D$2:$D$107,MATCH(근태!AD23,코드!$A$2:$A$107,0)),0)))</f>
        <v/>
      </c>
      <c r="AE23" s="21">
        <f>IF(근태!AE$4="",0,IF(근태!AE23="",IF(근태!AE$6="휴일",0,8),IFERROR(INDEX(코드!$D$2:$D$107,MATCH(근태!AE23,코드!$A$2:$A$107,0)),0)))</f>
        <v/>
      </c>
      <c r="AF23" s="21">
        <f>IF(근태!AF$4="",0,IF(근태!AF23="",IF(근태!AF$6="휴일",0,8),IFERROR(INDEX(코드!$D$2:$D$107,MATCH(근태!AF23,코드!$A$2:$A$107,0)),0)))</f>
        <v/>
      </c>
      <c r="AG23" s="21">
        <f>IF(근태!AG$4="",0,IF(근태!AG23="",IF(근태!AG$6="휴일",0,8),IFERROR(INDEX(코드!$D$2:$D$107,MATCH(근태!AG23,코드!$A$2:$A$107,0)),0)))</f>
        <v/>
      </c>
      <c r="AH23" s="21">
        <f>IF(근태!AH$4="",0,IF(근태!AH23="",IF(근태!AH$6="휴일",0,8),IFERROR(INDEX(코드!$D$2:$D$107,MATCH(근태!AH23,코드!$A$2:$A$107,0)),0)))</f>
        <v/>
      </c>
    </row>
    <row r="24">
      <c r="A24" s="12">
        <f>IF(명부!A18="","",명부!A18)</f>
        <v/>
      </c>
      <c r="B24" s="13">
        <f>IF(명부!C18="","",명부!C18)</f>
        <v/>
      </c>
      <c r="C24" s="14">
        <f>IF(명부!E18="","",명부!E18)</f>
        <v/>
      </c>
      <c r="D24" s="21">
        <f>IF(근태!D$4="",0,IF(근태!D24="",IF(근태!D$6="휴일",0,8),IFERROR(INDEX(코드!$D$2:$D$107,MATCH(근태!D24,코드!$A$2:$A$107,0)),0)))</f>
        <v/>
      </c>
      <c r="E24" s="21">
        <f>IF(근태!E$4="",0,IF(근태!E24="",IF(근태!E$6="휴일",0,8),IFERROR(INDEX(코드!$D$2:$D$107,MATCH(근태!E24,코드!$A$2:$A$107,0)),0)))</f>
        <v/>
      </c>
      <c r="F24" s="21">
        <f>IF(근태!F$4="",0,IF(근태!F24="",IF(근태!F$6="휴일",0,8),IFERROR(INDEX(코드!$D$2:$D$107,MATCH(근태!F24,코드!$A$2:$A$107,0)),0)))</f>
        <v/>
      </c>
      <c r="G24" s="21">
        <f>IF(근태!G$4="",0,IF(근태!G24="",IF(근태!G$6="휴일",0,8),IFERROR(INDEX(코드!$D$2:$D$107,MATCH(근태!G24,코드!$A$2:$A$107,0)),0)))</f>
        <v/>
      </c>
      <c r="H24" s="21">
        <f>IF(근태!H$4="",0,IF(근태!H24="",IF(근태!H$6="휴일",0,8),IFERROR(INDEX(코드!$D$2:$D$107,MATCH(근태!H24,코드!$A$2:$A$107,0)),0)))</f>
        <v/>
      </c>
      <c r="I24" s="21">
        <f>IF(근태!I$4="",0,IF(근태!I24="",IF(근태!I$6="휴일",0,8),IFERROR(INDEX(코드!$D$2:$D$107,MATCH(근태!I24,코드!$A$2:$A$107,0)),0)))</f>
        <v/>
      </c>
      <c r="J24" s="21">
        <f>IF(근태!J$4="",0,IF(근태!J24="",IF(근태!J$6="휴일",0,8),IFERROR(INDEX(코드!$D$2:$D$107,MATCH(근태!J24,코드!$A$2:$A$107,0)),0)))</f>
        <v/>
      </c>
      <c r="K24" s="21">
        <f>IF(근태!K$4="",0,IF(근태!K24="",IF(근태!K$6="휴일",0,8),IFERROR(INDEX(코드!$D$2:$D$107,MATCH(근태!K24,코드!$A$2:$A$107,0)),0)))</f>
        <v/>
      </c>
      <c r="L24" s="21">
        <f>IF(근태!L$4="",0,IF(근태!L24="",IF(근태!L$6="휴일",0,8),IFERROR(INDEX(코드!$D$2:$D$107,MATCH(근태!L24,코드!$A$2:$A$107,0)),0)))</f>
        <v/>
      </c>
      <c r="M24" s="21">
        <f>IF(근태!M$4="",0,IF(근태!M24="",IF(근태!M$6="휴일",0,8),IFERROR(INDEX(코드!$D$2:$D$107,MATCH(근태!M24,코드!$A$2:$A$107,0)),0)))</f>
        <v/>
      </c>
      <c r="N24" s="21">
        <f>IF(근태!N$4="",0,IF(근태!N24="",IF(근태!N$6="휴일",0,8),IFERROR(INDEX(코드!$D$2:$D$107,MATCH(근태!N24,코드!$A$2:$A$107,0)),0)))</f>
        <v/>
      </c>
      <c r="O24" s="21">
        <f>IF(근태!O$4="",0,IF(근태!O24="",IF(근태!O$6="휴일",0,8),IFERROR(INDEX(코드!$D$2:$D$107,MATCH(근태!O24,코드!$A$2:$A$107,0)),0)))</f>
        <v/>
      </c>
      <c r="P24" s="21">
        <f>IF(근태!P$4="",0,IF(근태!P24="",IF(근태!P$6="휴일",0,8),IFERROR(INDEX(코드!$D$2:$D$107,MATCH(근태!P24,코드!$A$2:$A$107,0)),0)))</f>
        <v/>
      </c>
      <c r="Q24" s="21">
        <f>IF(근태!Q$4="",0,IF(근태!Q24="",IF(근태!Q$6="휴일",0,8),IFERROR(INDEX(코드!$D$2:$D$107,MATCH(근태!Q24,코드!$A$2:$A$107,0)),0)))</f>
        <v/>
      </c>
      <c r="R24" s="21">
        <f>IF(근태!R$4="",0,IF(근태!R24="",IF(근태!R$6="휴일",0,8),IFERROR(INDEX(코드!$D$2:$D$107,MATCH(근태!R24,코드!$A$2:$A$107,0)),0)))</f>
        <v/>
      </c>
      <c r="S24" s="21">
        <f>IF(근태!S$4="",0,IF(근태!S24="",IF(근태!S$6="휴일",0,8),IFERROR(INDEX(코드!$D$2:$D$107,MATCH(근태!S24,코드!$A$2:$A$107,0)),0)))</f>
        <v/>
      </c>
      <c r="T24" s="21">
        <f>IF(근태!T$4="",0,IF(근태!T24="",IF(근태!T$6="휴일",0,8),IFERROR(INDEX(코드!$D$2:$D$107,MATCH(근태!T24,코드!$A$2:$A$107,0)),0)))</f>
        <v/>
      </c>
      <c r="U24" s="21">
        <f>IF(근태!U$4="",0,IF(근태!U24="",IF(근태!U$6="휴일",0,8),IFERROR(INDEX(코드!$D$2:$D$107,MATCH(근태!U24,코드!$A$2:$A$107,0)),0)))</f>
        <v/>
      </c>
      <c r="V24" s="21">
        <f>IF(근태!V$4="",0,IF(근태!V24="",IF(근태!V$6="휴일",0,8),IFERROR(INDEX(코드!$D$2:$D$107,MATCH(근태!V24,코드!$A$2:$A$107,0)),0)))</f>
        <v/>
      </c>
      <c r="W24" s="21">
        <f>IF(근태!W$4="",0,IF(근태!W24="",IF(근태!W$6="휴일",0,8),IFERROR(INDEX(코드!$D$2:$D$107,MATCH(근태!W24,코드!$A$2:$A$107,0)),0)))</f>
        <v/>
      </c>
      <c r="X24" s="21">
        <f>IF(근태!X$4="",0,IF(근태!X24="",IF(근태!X$6="휴일",0,8),IFERROR(INDEX(코드!$D$2:$D$107,MATCH(근태!X24,코드!$A$2:$A$107,0)),0)))</f>
        <v/>
      </c>
      <c r="Y24" s="21">
        <f>IF(근태!Y$4="",0,IF(근태!Y24="",IF(근태!Y$6="휴일",0,8),IFERROR(INDEX(코드!$D$2:$D$107,MATCH(근태!Y24,코드!$A$2:$A$107,0)),0)))</f>
        <v/>
      </c>
      <c r="Z24" s="21">
        <f>IF(근태!Z$4="",0,IF(근태!Z24="",IF(근태!Z$6="휴일",0,8),IFERROR(INDEX(코드!$D$2:$D$107,MATCH(근태!Z24,코드!$A$2:$A$107,0)),0)))</f>
        <v/>
      </c>
      <c r="AA24" s="21">
        <f>IF(근태!AA$4="",0,IF(근태!AA24="",IF(근태!AA$6="휴일",0,8),IFERROR(INDEX(코드!$D$2:$D$107,MATCH(근태!AA24,코드!$A$2:$A$107,0)),0)))</f>
        <v/>
      </c>
      <c r="AB24" s="21">
        <f>IF(근태!AB$4="",0,IF(근태!AB24="",IF(근태!AB$6="휴일",0,8),IFERROR(INDEX(코드!$D$2:$D$107,MATCH(근태!AB24,코드!$A$2:$A$107,0)),0)))</f>
        <v/>
      </c>
      <c r="AC24" s="21">
        <f>IF(근태!AC$4="",0,IF(근태!AC24="",IF(근태!AC$6="휴일",0,8),IFERROR(INDEX(코드!$D$2:$D$107,MATCH(근태!AC24,코드!$A$2:$A$107,0)),0)))</f>
        <v/>
      </c>
      <c r="AD24" s="21">
        <f>IF(근태!AD$4="",0,IF(근태!AD24="",IF(근태!AD$6="휴일",0,8),IFERROR(INDEX(코드!$D$2:$D$107,MATCH(근태!AD24,코드!$A$2:$A$107,0)),0)))</f>
        <v/>
      </c>
      <c r="AE24" s="21">
        <f>IF(근태!AE$4="",0,IF(근태!AE24="",IF(근태!AE$6="휴일",0,8),IFERROR(INDEX(코드!$D$2:$D$107,MATCH(근태!AE24,코드!$A$2:$A$107,0)),0)))</f>
        <v/>
      </c>
      <c r="AF24" s="21">
        <f>IF(근태!AF$4="",0,IF(근태!AF24="",IF(근태!AF$6="휴일",0,8),IFERROR(INDEX(코드!$D$2:$D$107,MATCH(근태!AF24,코드!$A$2:$A$107,0)),0)))</f>
        <v/>
      </c>
      <c r="AG24" s="21">
        <f>IF(근태!AG$4="",0,IF(근태!AG24="",IF(근태!AG$6="휴일",0,8),IFERROR(INDEX(코드!$D$2:$D$107,MATCH(근태!AG24,코드!$A$2:$A$107,0)),0)))</f>
        <v/>
      </c>
      <c r="AH24" s="21">
        <f>IF(근태!AH$4="",0,IF(근태!AH24="",IF(근태!AH$6="휴일",0,8),IFERROR(INDEX(코드!$D$2:$D$107,MATCH(근태!AH24,코드!$A$2:$A$107,0)),0)))</f>
        <v/>
      </c>
    </row>
    <row r="25">
      <c r="A25" s="12">
        <f>IF(명부!A19="","",명부!A19)</f>
        <v/>
      </c>
      <c r="B25" s="13">
        <f>IF(명부!C19="","",명부!C19)</f>
        <v/>
      </c>
      <c r="C25" s="14">
        <f>IF(명부!E19="","",명부!E19)</f>
        <v/>
      </c>
      <c r="D25" s="21">
        <f>IF(근태!D$4="",0,IF(근태!D25="",IF(근태!D$6="휴일",0,8),IFERROR(INDEX(코드!$D$2:$D$107,MATCH(근태!D25,코드!$A$2:$A$107,0)),0)))</f>
        <v/>
      </c>
      <c r="E25" s="21">
        <f>IF(근태!E$4="",0,IF(근태!E25="",IF(근태!E$6="휴일",0,8),IFERROR(INDEX(코드!$D$2:$D$107,MATCH(근태!E25,코드!$A$2:$A$107,0)),0)))</f>
        <v/>
      </c>
      <c r="F25" s="21">
        <f>IF(근태!F$4="",0,IF(근태!F25="",IF(근태!F$6="휴일",0,8),IFERROR(INDEX(코드!$D$2:$D$107,MATCH(근태!F25,코드!$A$2:$A$107,0)),0)))</f>
        <v/>
      </c>
      <c r="G25" s="21">
        <f>IF(근태!G$4="",0,IF(근태!G25="",IF(근태!G$6="휴일",0,8),IFERROR(INDEX(코드!$D$2:$D$107,MATCH(근태!G25,코드!$A$2:$A$107,0)),0)))</f>
        <v/>
      </c>
      <c r="H25" s="21">
        <f>IF(근태!H$4="",0,IF(근태!H25="",IF(근태!H$6="휴일",0,8),IFERROR(INDEX(코드!$D$2:$D$107,MATCH(근태!H25,코드!$A$2:$A$107,0)),0)))</f>
        <v/>
      </c>
      <c r="I25" s="21">
        <f>IF(근태!I$4="",0,IF(근태!I25="",IF(근태!I$6="휴일",0,8),IFERROR(INDEX(코드!$D$2:$D$107,MATCH(근태!I25,코드!$A$2:$A$107,0)),0)))</f>
        <v/>
      </c>
      <c r="J25" s="21">
        <f>IF(근태!J$4="",0,IF(근태!J25="",IF(근태!J$6="휴일",0,8),IFERROR(INDEX(코드!$D$2:$D$107,MATCH(근태!J25,코드!$A$2:$A$107,0)),0)))</f>
        <v/>
      </c>
      <c r="K25" s="21">
        <f>IF(근태!K$4="",0,IF(근태!K25="",IF(근태!K$6="휴일",0,8),IFERROR(INDEX(코드!$D$2:$D$107,MATCH(근태!K25,코드!$A$2:$A$107,0)),0)))</f>
        <v/>
      </c>
      <c r="L25" s="21">
        <f>IF(근태!L$4="",0,IF(근태!L25="",IF(근태!L$6="휴일",0,8),IFERROR(INDEX(코드!$D$2:$D$107,MATCH(근태!L25,코드!$A$2:$A$107,0)),0)))</f>
        <v/>
      </c>
      <c r="M25" s="21">
        <f>IF(근태!M$4="",0,IF(근태!M25="",IF(근태!M$6="휴일",0,8),IFERROR(INDEX(코드!$D$2:$D$107,MATCH(근태!M25,코드!$A$2:$A$107,0)),0)))</f>
        <v/>
      </c>
      <c r="N25" s="21">
        <f>IF(근태!N$4="",0,IF(근태!N25="",IF(근태!N$6="휴일",0,8),IFERROR(INDEX(코드!$D$2:$D$107,MATCH(근태!N25,코드!$A$2:$A$107,0)),0)))</f>
        <v/>
      </c>
      <c r="O25" s="21">
        <f>IF(근태!O$4="",0,IF(근태!O25="",IF(근태!O$6="휴일",0,8),IFERROR(INDEX(코드!$D$2:$D$107,MATCH(근태!O25,코드!$A$2:$A$107,0)),0)))</f>
        <v/>
      </c>
      <c r="P25" s="21">
        <f>IF(근태!P$4="",0,IF(근태!P25="",IF(근태!P$6="휴일",0,8),IFERROR(INDEX(코드!$D$2:$D$107,MATCH(근태!P25,코드!$A$2:$A$107,0)),0)))</f>
        <v/>
      </c>
      <c r="Q25" s="21">
        <f>IF(근태!Q$4="",0,IF(근태!Q25="",IF(근태!Q$6="휴일",0,8),IFERROR(INDEX(코드!$D$2:$D$107,MATCH(근태!Q25,코드!$A$2:$A$107,0)),0)))</f>
        <v/>
      </c>
      <c r="R25" s="21">
        <f>IF(근태!R$4="",0,IF(근태!R25="",IF(근태!R$6="휴일",0,8),IFERROR(INDEX(코드!$D$2:$D$107,MATCH(근태!R25,코드!$A$2:$A$107,0)),0)))</f>
        <v/>
      </c>
      <c r="S25" s="21">
        <f>IF(근태!S$4="",0,IF(근태!S25="",IF(근태!S$6="휴일",0,8),IFERROR(INDEX(코드!$D$2:$D$107,MATCH(근태!S25,코드!$A$2:$A$107,0)),0)))</f>
        <v/>
      </c>
      <c r="T25" s="21">
        <f>IF(근태!T$4="",0,IF(근태!T25="",IF(근태!T$6="휴일",0,8),IFERROR(INDEX(코드!$D$2:$D$107,MATCH(근태!T25,코드!$A$2:$A$107,0)),0)))</f>
        <v/>
      </c>
      <c r="U25" s="21">
        <f>IF(근태!U$4="",0,IF(근태!U25="",IF(근태!U$6="휴일",0,8),IFERROR(INDEX(코드!$D$2:$D$107,MATCH(근태!U25,코드!$A$2:$A$107,0)),0)))</f>
        <v/>
      </c>
      <c r="V25" s="21">
        <f>IF(근태!V$4="",0,IF(근태!V25="",IF(근태!V$6="휴일",0,8),IFERROR(INDEX(코드!$D$2:$D$107,MATCH(근태!V25,코드!$A$2:$A$107,0)),0)))</f>
        <v/>
      </c>
      <c r="W25" s="21">
        <f>IF(근태!W$4="",0,IF(근태!W25="",IF(근태!W$6="휴일",0,8),IFERROR(INDEX(코드!$D$2:$D$107,MATCH(근태!W25,코드!$A$2:$A$107,0)),0)))</f>
        <v/>
      </c>
      <c r="X25" s="21">
        <f>IF(근태!X$4="",0,IF(근태!X25="",IF(근태!X$6="휴일",0,8),IFERROR(INDEX(코드!$D$2:$D$107,MATCH(근태!X25,코드!$A$2:$A$107,0)),0)))</f>
        <v/>
      </c>
      <c r="Y25" s="21">
        <f>IF(근태!Y$4="",0,IF(근태!Y25="",IF(근태!Y$6="휴일",0,8),IFERROR(INDEX(코드!$D$2:$D$107,MATCH(근태!Y25,코드!$A$2:$A$107,0)),0)))</f>
        <v/>
      </c>
      <c r="Z25" s="21">
        <f>IF(근태!Z$4="",0,IF(근태!Z25="",IF(근태!Z$6="휴일",0,8),IFERROR(INDEX(코드!$D$2:$D$107,MATCH(근태!Z25,코드!$A$2:$A$107,0)),0)))</f>
        <v/>
      </c>
      <c r="AA25" s="21">
        <f>IF(근태!AA$4="",0,IF(근태!AA25="",IF(근태!AA$6="휴일",0,8),IFERROR(INDEX(코드!$D$2:$D$107,MATCH(근태!AA25,코드!$A$2:$A$107,0)),0)))</f>
        <v/>
      </c>
      <c r="AB25" s="21">
        <f>IF(근태!AB$4="",0,IF(근태!AB25="",IF(근태!AB$6="휴일",0,8),IFERROR(INDEX(코드!$D$2:$D$107,MATCH(근태!AB25,코드!$A$2:$A$107,0)),0)))</f>
        <v/>
      </c>
      <c r="AC25" s="21">
        <f>IF(근태!AC$4="",0,IF(근태!AC25="",IF(근태!AC$6="휴일",0,8),IFERROR(INDEX(코드!$D$2:$D$107,MATCH(근태!AC25,코드!$A$2:$A$107,0)),0)))</f>
        <v/>
      </c>
      <c r="AD25" s="21">
        <f>IF(근태!AD$4="",0,IF(근태!AD25="",IF(근태!AD$6="휴일",0,8),IFERROR(INDEX(코드!$D$2:$D$107,MATCH(근태!AD25,코드!$A$2:$A$107,0)),0)))</f>
        <v/>
      </c>
      <c r="AE25" s="21">
        <f>IF(근태!AE$4="",0,IF(근태!AE25="",IF(근태!AE$6="휴일",0,8),IFERROR(INDEX(코드!$D$2:$D$107,MATCH(근태!AE25,코드!$A$2:$A$107,0)),0)))</f>
        <v/>
      </c>
      <c r="AF25" s="21">
        <f>IF(근태!AF$4="",0,IF(근태!AF25="",IF(근태!AF$6="휴일",0,8),IFERROR(INDEX(코드!$D$2:$D$107,MATCH(근태!AF25,코드!$A$2:$A$107,0)),0)))</f>
        <v/>
      </c>
      <c r="AG25" s="21">
        <f>IF(근태!AG$4="",0,IF(근태!AG25="",IF(근태!AG$6="휴일",0,8),IFERROR(INDEX(코드!$D$2:$D$107,MATCH(근태!AG25,코드!$A$2:$A$107,0)),0)))</f>
        <v/>
      </c>
      <c r="AH25" s="21">
        <f>IF(근태!AH$4="",0,IF(근태!AH25="",IF(근태!AH$6="휴일",0,8),IFERROR(INDEX(코드!$D$2:$D$107,MATCH(근태!AH25,코드!$A$2:$A$107,0)),0)))</f>
        <v/>
      </c>
    </row>
    <row r="26">
      <c r="A26" s="12">
        <f>IF(명부!A20="","",명부!A20)</f>
        <v/>
      </c>
      <c r="B26" s="13">
        <f>IF(명부!C20="","",명부!C20)</f>
        <v/>
      </c>
      <c r="C26" s="14">
        <f>IF(명부!E20="","",명부!E20)</f>
        <v/>
      </c>
      <c r="D26" s="21">
        <f>IF(근태!D$4="",0,IF(근태!D26="",IF(근태!D$6="휴일",0,8),IFERROR(INDEX(코드!$D$2:$D$107,MATCH(근태!D26,코드!$A$2:$A$107,0)),0)))</f>
        <v/>
      </c>
      <c r="E26" s="21">
        <f>IF(근태!E$4="",0,IF(근태!E26="",IF(근태!E$6="휴일",0,8),IFERROR(INDEX(코드!$D$2:$D$107,MATCH(근태!E26,코드!$A$2:$A$107,0)),0)))</f>
        <v/>
      </c>
      <c r="F26" s="21">
        <f>IF(근태!F$4="",0,IF(근태!F26="",IF(근태!F$6="휴일",0,8),IFERROR(INDEX(코드!$D$2:$D$107,MATCH(근태!F26,코드!$A$2:$A$107,0)),0)))</f>
        <v/>
      </c>
      <c r="G26" s="21">
        <f>IF(근태!G$4="",0,IF(근태!G26="",IF(근태!G$6="휴일",0,8),IFERROR(INDEX(코드!$D$2:$D$107,MATCH(근태!G26,코드!$A$2:$A$107,0)),0)))</f>
        <v/>
      </c>
      <c r="H26" s="21">
        <f>IF(근태!H$4="",0,IF(근태!H26="",IF(근태!H$6="휴일",0,8),IFERROR(INDEX(코드!$D$2:$D$107,MATCH(근태!H26,코드!$A$2:$A$107,0)),0)))</f>
        <v/>
      </c>
      <c r="I26" s="21">
        <f>IF(근태!I$4="",0,IF(근태!I26="",IF(근태!I$6="휴일",0,8),IFERROR(INDEX(코드!$D$2:$D$107,MATCH(근태!I26,코드!$A$2:$A$107,0)),0)))</f>
        <v/>
      </c>
      <c r="J26" s="21">
        <f>IF(근태!J$4="",0,IF(근태!J26="",IF(근태!J$6="휴일",0,8),IFERROR(INDEX(코드!$D$2:$D$107,MATCH(근태!J26,코드!$A$2:$A$107,0)),0)))</f>
        <v/>
      </c>
      <c r="K26" s="21">
        <f>IF(근태!K$4="",0,IF(근태!K26="",IF(근태!K$6="휴일",0,8),IFERROR(INDEX(코드!$D$2:$D$107,MATCH(근태!K26,코드!$A$2:$A$107,0)),0)))</f>
        <v/>
      </c>
      <c r="L26" s="21">
        <f>IF(근태!L$4="",0,IF(근태!L26="",IF(근태!L$6="휴일",0,8),IFERROR(INDEX(코드!$D$2:$D$107,MATCH(근태!L26,코드!$A$2:$A$107,0)),0)))</f>
        <v/>
      </c>
      <c r="M26" s="21">
        <f>IF(근태!M$4="",0,IF(근태!M26="",IF(근태!M$6="휴일",0,8),IFERROR(INDEX(코드!$D$2:$D$107,MATCH(근태!M26,코드!$A$2:$A$107,0)),0)))</f>
        <v/>
      </c>
      <c r="N26" s="21">
        <f>IF(근태!N$4="",0,IF(근태!N26="",IF(근태!N$6="휴일",0,8),IFERROR(INDEX(코드!$D$2:$D$107,MATCH(근태!N26,코드!$A$2:$A$107,0)),0)))</f>
        <v/>
      </c>
      <c r="O26" s="21">
        <f>IF(근태!O$4="",0,IF(근태!O26="",IF(근태!O$6="휴일",0,8),IFERROR(INDEX(코드!$D$2:$D$107,MATCH(근태!O26,코드!$A$2:$A$107,0)),0)))</f>
        <v/>
      </c>
      <c r="P26" s="21">
        <f>IF(근태!P$4="",0,IF(근태!P26="",IF(근태!P$6="휴일",0,8),IFERROR(INDEX(코드!$D$2:$D$107,MATCH(근태!P26,코드!$A$2:$A$107,0)),0)))</f>
        <v/>
      </c>
      <c r="Q26" s="21">
        <f>IF(근태!Q$4="",0,IF(근태!Q26="",IF(근태!Q$6="휴일",0,8),IFERROR(INDEX(코드!$D$2:$D$107,MATCH(근태!Q26,코드!$A$2:$A$107,0)),0)))</f>
        <v/>
      </c>
      <c r="R26" s="21">
        <f>IF(근태!R$4="",0,IF(근태!R26="",IF(근태!R$6="휴일",0,8),IFERROR(INDEX(코드!$D$2:$D$107,MATCH(근태!R26,코드!$A$2:$A$107,0)),0)))</f>
        <v/>
      </c>
      <c r="S26" s="21">
        <f>IF(근태!S$4="",0,IF(근태!S26="",IF(근태!S$6="휴일",0,8),IFERROR(INDEX(코드!$D$2:$D$107,MATCH(근태!S26,코드!$A$2:$A$107,0)),0)))</f>
        <v/>
      </c>
      <c r="T26" s="21">
        <f>IF(근태!T$4="",0,IF(근태!T26="",IF(근태!T$6="휴일",0,8),IFERROR(INDEX(코드!$D$2:$D$107,MATCH(근태!T26,코드!$A$2:$A$107,0)),0)))</f>
        <v/>
      </c>
      <c r="U26" s="21">
        <f>IF(근태!U$4="",0,IF(근태!U26="",IF(근태!U$6="휴일",0,8),IFERROR(INDEX(코드!$D$2:$D$107,MATCH(근태!U26,코드!$A$2:$A$107,0)),0)))</f>
        <v/>
      </c>
      <c r="V26" s="21">
        <f>IF(근태!V$4="",0,IF(근태!V26="",IF(근태!V$6="휴일",0,8),IFERROR(INDEX(코드!$D$2:$D$107,MATCH(근태!V26,코드!$A$2:$A$107,0)),0)))</f>
        <v/>
      </c>
      <c r="W26" s="21">
        <f>IF(근태!W$4="",0,IF(근태!W26="",IF(근태!W$6="휴일",0,8),IFERROR(INDEX(코드!$D$2:$D$107,MATCH(근태!W26,코드!$A$2:$A$107,0)),0)))</f>
        <v/>
      </c>
      <c r="X26" s="21">
        <f>IF(근태!X$4="",0,IF(근태!X26="",IF(근태!X$6="휴일",0,8),IFERROR(INDEX(코드!$D$2:$D$107,MATCH(근태!X26,코드!$A$2:$A$107,0)),0)))</f>
        <v/>
      </c>
      <c r="Y26" s="21">
        <f>IF(근태!Y$4="",0,IF(근태!Y26="",IF(근태!Y$6="휴일",0,8),IFERROR(INDEX(코드!$D$2:$D$107,MATCH(근태!Y26,코드!$A$2:$A$107,0)),0)))</f>
        <v/>
      </c>
      <c r="Z26" s="21">
        <f>IF(근태!Z$4="",0,IF(근태!Z26="",IF(근태!Z$6="휴일",0,8),IFERROR(INDEX(코드!$D$2:$D$107,MATCH(근태!Z26,코드!$A$2:$A$107,0)),0)))</f>
        <v/>
      </c>
      <c r="AA26" s="21">
        <f>IF(근태!AA$4="",0,IF(근태!AA26="",IF(근태!AA$6="휴일",0,8),IFERROR(INDEX(코드!$D$2:$D$107,MATCH(근태!AA26,코드!$A$2:$A$107,0)),0)))</f>
        <v/>
      </c>
      <c r="AB26" s="21">
        <f>IF(근태!AB$4="",0,IF(근태!AB26="",IF(근태!AB$6="휴일",0,8),IFERROR(INDEX(코드!$D$2:$D$107,MATCH(근태!AB26,코드!$A$2:$A$107,0)),0)))</f>
        <v/>
      </c>
      <c r="AC26" s="21">
        <f>IF(근태!AC$4="",0,IF(근태!AC26="",IF(근태!AC$6="휴일",0,8),IFERROR(INDEX(코드!$D$2:$D$107,MATCH(근태!AC26,코드!$A$2:$A$107,0)),0)))</f>
        <v/>
      </c>
      <c r="AD26" s="21">
        <f>IF(근태!AD$4="",0,IF(근태!AD26="",IF(근태!AD$6="휴일",0,8),IFERROR(INDEX(코드!$D$2:$D$107,MATCH(근태!AD26,코드!$A$2:$A$107,0)),0)))</f>
        <v/>
      </c>
      <c r="AE26" s="21">
        <f>IF(근태!AE$4="",0,IF(근태!AE26="",IF(근태!AE$6="휴일",0,8),IFERROR(INDEX(코드!$D$2:$D$107,MATCH(근태!AE26,코드!$A$2:$A$107,0)),0)))</f>
        <v/>
      </c>
      <c r="AF26" s="21">
        <f>IF(근태!AF$4="",0,IF(근태!AF26="",IF(근태!AF$6="휴일",0,8),IFERROR(INDEX(코드!$D$2:$D$107,MATCH(근태!AF26,코드!$A$2:$A$107,0)),0)))</f>
        <v/>
      </c>
      <c r="AG26" s="21">
        <f>IF(근태!AG$4="",0,IF(근태!AG26="",IF(근태!AG$6="휴일",0,8),IFERROR(INDEX(코드!$D$2:$D$107,MATCH(근태!AG26,코드!$A$2:$A$107,0)),0)))</f>
        <v/>
      </c>
      <c r="AH26" s="21">
        <f>IF(근태!AH$4="",0,IF(근태!AH26="",IF(근태!AH$6="휴일",0,8),IFERROR(INDEX(코드!$D$2:$D$107,MATCH(근태!AH26,코드!$A$2:$A$107,0)),0)))</f>
        <v/>
      </c>
    </row>
    <row r="27">
      <c r="A27" s="12">
        <f>IF(명부!A21="","",명부!A21)</f>
        <v/>
      </c>
      <c r="B27" s="13">
        <f>IF(명부!C21="","",명부!C21)</f>
        <v/>
      </c>
      <c r="C27" s="14">
        <f>IF(명부!E21="","",명부!E21)</f>
        <v/>
      </c>
      <c r="D27" s="21">
        <f>IF(근태!D$4="",0,IF(근태!D27="",IF(근태!D$6="휴일",0,8),IFERROR(INDEX(코드!$D$2:$D$107,MATCH(근태!D27,코드!$A$2:$A$107,0)),0)))</f>
        <v/>
      </c>
      <c r="E27" s="21">
        <f>IF(근태!E$4="",0,IF(근태!E27="",IF(근태!E$6="휴일",0,8),IFERROR(INDEX(코드!$D$2:$D$107,MATCH(근태!E27,코드!$A$2:$A$107,0)),0)))</f>
        <v/>
      </c>
      <c r="F27" s="21">
        <f>IF(근태!F$4="",0,IF(근태!F27="",IF(근태!F$6="휴일",0,8),IFERROR(INDEX(코드!$D$2:$D$107,MATCH(근태!F27,코드!$A$2:$A$107,0)),0)))</f>
        <v/>
      </c>
      <c r="G27" s="21">
        <f>IF(근태!G$4="",0,IF(근태!G27="",IF(근태!G$6="휴일",0,8),IFERROR(INDEX(코드!$D$2:$D$107,MATCH(근태!G27,코드!$A$2:$A$107,0)),0)))</f>
        <v/>
      </c>
      <c r="H27" s="21">
        <f>IF(근태!H$4="",0,IF(근태!H27="",IF(근태!H$6="휴일",0,8),IFERROR(INDEX(코드!$D$2:$D$107,MATCH(근태!H27,코드!$A$2:$A$107,0)),0)))</f>
        <v/>
      </c>
      <c r="I27" s="21">
        <f>IF(근태!I$4="",0,IF(근태!I27="",IF(근태!I$6="휴일",0,8),IFERROR(INDEX(코드!$D$2:$D$107,MATCH(근태!I27,코드!$A$2:$A$107,0)),0)))</f>
        <v/>
      </c>
      <c r="J27" s="21">
        <f>IF(근태!J$4="",0,IF(근태!J27="",IF(근태!J$6="휴일",0,8),IFERROR(INDEX(코드!$D$2:$D$107,MATCH(근태!J27,코드!$A$2:$A$107,0)),0)))</f>
        <v/>
      </c>
      <c r="K27" s="21">
        <f>IF(근태!K$4="",0,IF(근태!K27="",IF(근태!K$6="휴일",0,8),IFERROR(INDEX(코드!$D$2:$D$107,MATCH(근태!K27,코드!$A$2:$A$107,0)),0)))</f>
        <v/>
      </c>
      <c r="L27" s="21">
        <f>IF(근태!L$4="",0,IF(근태!L27="",IF(근태!L$6="휴일",0,8),IFERROR(INDEX(코드!$D$2:$D$107,MATCH(근태!L27,코드!$A$2:$A$107,0)),0)))</f>
        <v/>
      </c>
      <c r="M27" s="21">
        <f>IF(근태!M$4="",0,IF(근태!M27="",IF(근태!M$6="휴일",0,8),IFERROR(INDEX(코드!$D$2:$D$107,MATCH(근태!M27,코드!$A$2:$A$107,0)),0)))</f>
        <v/>
      </c>
      <c r="N27" s="21">
        <f>IF(근태!N$4="",0,IF(근태!N27="",IF(근태!N$6="휴일",0,8),IFERROR(INDEX(코드!$D$2:$D$107,MATCH(근태!N27,코드!$A$2:$A$107,0)),0)))</f>
        <v/>
      </c>
      <c r="O27" s="21">
        <f>IF(근태!O$4="",0,IF(근태!O27="",IF(근태!O$6="휴일",0,8),IFERROR(INDEX(코드!$D$2:$D$107,MATCH(근태!O27,코드!$A$2:$A$107,0)),0)))</f>
        <v/>
      </c>
      <c r="P27" s="21">
        <f>IF(근태!P$4="",0,IF(근태!P27="",IF(근태!P$6="휴일",0,8),IFERROR(INDEX(코드!$D$2:$D$107,MATCH(근태!P27,코드!$A$2:$A$107,0)),0)))</f>
        <v/>
      </c>
      <c r="Q27" s="21">
        <f>IF(근태!Q$4="",0,IF(근태!Q27="",IF(근태!Q$6="휴일",0,8),IFERROR(INDEX(코드!$D$2:$D$107,MATCH(근태!Q27,코드!$A$2:$A$107,0)),0)))</f>
        <v/>
      </c>
      <c r="R27" s="21">
        <f>IF(근태!R$4="",0,IF(근태!R27="",IF(근태!R$6="휴일",0,8),IFERROR(INDEX(코드!$D$2:$D$107,MATCH(근태!R27,코드!$A$2:$A$107,0)),0)))</f>
        <v/>
      </c>
      <c r="S27" s="21">
        <f>IF(근태!S$4="",0,IF(근태!S27="",IF(근태!S$6="휴일",0,8),IFERROR(INDEX(코드!$D$2:$D$107,MATCH(근태!S27,코드!$A$2:$A$107,0)),0)))</f>
        <v/>
      </c>
      <c r="T27" s="21">
        <f>IF(근태!T$4="",0,IF(근태!T27="",IF(근태!T$6="휴일",0,8),IFERROR(INDEX(코드!$D$2:$D$107,MATCH(근태!T27,코드!$A$2:$A$107,0)),0)))</f>
        <v/>
      </c>
      <c r="U27" s="21">
        <f>IF(근태!U$4="",0,IF(근태!U27="",IF(근태!U$6="휴일",0,8),IFERROR(INDEX(코드!$D$2:$D$107,MATCH(근태!U27,코드!$A$2:$A$107,0)),0)))</f>
        <v/>
      </c>
      <c r="V27" s="21">
        <f>IF(근태!V$4="",0,IF(근태!V27="",IF(근태!V$6="휴일",0,8),IFERROR(INDEX(코드!$D$2:$D$107,MATCH(근태!V27,코드!$A$2:$A$107,0)),0)))</f>
        <v/>
      </c>
      <c r="W27" s="21">
        <f>IF(근태!W$4="",0,IF(근태!W27="",IF(근태!W$6="휴일",0,8),IFERROR(INDEX(코드!$D$2:$D$107,MATCH(근태!W27,코드!$A$2:$A$107,0)),0)))</f>
        <v/>
      </c>
      <c r="X27" s="21">
        <f>IF(근태!X$4="",0,IF(근태!X27="",IF(근태!X$6="휴일",0,8),IFERROR(INDEX(코드!$D$2:$D$107,MATCH(근태!X27,코드!$A$2:$A$107,0)),0)))</f>
        <v/>
      </c>
      <c r="Y27" s="21">
        <f>IF(근태!Y$4="",0,IF(근태!Y27="",IF(근태!Y$6="휴일",0,8),IFERROR(INDEX(코드!$D$2:$D$107,MATCH(근태!Y27,코드!$A$2:$A$107,0)),0)))</f>
        <v/>
      </c>
      <c r="Z27" s="21">
        <f>IF(근태!Z$4="",0,IF(근태!Z27="",IF(근태!Z$6="휴일",0,8),IFERROR(INDEX(코드!$D$2:$D$107,MATCH(근태!Z27,코드!$A$2:$A$107,0)),0)))</f>
        <v/>
      </c>
      <c r="AA27" s="21">
        <f>IF(근태!AA$4="",0,IF(근태!AA27="",IF(근태!AA$6="휴일",0,8),IFERROR(INDEX(코드!$D$2:$D$107,MATCH(근태!AA27,코드!$A$2:$A$107,0)),0)))</f>
        <v/>
      </c>
      <c r="AB27" s="21">
        <f>IF(근태!AB$4="",0,IF(근태!AB27="",IF(근태!AB$6="휴일",0,8),IFERROR(INDEX(코드!$D$2:$D$107,MATCH(근태!AB27,코드!$A$2:$A$107,0)),0)))</f>
        <v/>
      </c>
      <c r="AC27" s="21">
        <f>IF(근태!AC$4="",0,IF(근태!AC27="",IF(근태!AC$6="휴일",0,8),IFERROR(INDEX(코드!$D$2:$D$107,MATCH(근태!AC27,코드!$A$2:$A$107,0)),0)))</f>
        <v/>
      </c>
      <c r="AD27" s="21">
        <f>IF(근태!AD$4="",0,IF(근태!AD27="",IF(근태!AD$6="휴일",0,8),IFERROR(INDEX(코드!$D$2:$D$107,MATCH(근태!AD27,코드!$A$2:$A$107,0)),0)))</f>
        <v/>
      </c>
      <c r="AE27" s="21">
        <f>IF(근태!AE$4="",0,IF(근태!AE27="",IF(근태!AE$6="휴일",0,8),IFERROR(INDEX(코드!$D$2:$D$107,MATCH(근태!AE27,코드!$A$2:$A$107,0)),0)))</f>
        <v/>
      </c>
      <c r="AF27" s="21">
        <f>IF(근태!AF$4="",0,IF(근태!AF27="",IF(근태!AF$6="휴일",0,8),IFERROR(INDEX(코드!$D$2:$D$107,MATCH(근태!AF27,코드!$A$2:$A$107,0)),0)))</f>
        <v/>
      </c>
      <c r="AG27" s="21">
        <f>IF(근태!AG$4="",0,IF(근태!AG27="",IF(근태!AG$6="휴일",0,8),IFERROR(INDEX(코드!$D$2:$D$107,MATCH(근태!AG27,코드!$A$2:$A$107,0)),0)))</f>
        <v/>
      </c>
      <c r="AH27" s="21">
        <f>IF(근태!AH$4="",0,IF(근태!AH27="",IF(근태!AH$6="휴일",0,8),IFERROR(INDEX(코드!$D$2:$D$107,MATCH(근태!AH27,코드!$A$2:$A$107,0)),0)))</f>
        <v/>
      </c>
    </row>
    <row r="28">
      <c r="A28" s="12">
        <f>IF(명부!A22="","",명부!A22)</f>
        <v/>
      </c>
      <c r="B28" s="13">
        <f>IF(명부!C22="","",명부!C22)</f>
        <v/>
      </c>
      <c r="C28" s="14">
        <f>IF(명부!E22="","",명부!E22)</f>
        <v/>
      </c>
      <c r="D28" s="21">
        <f>IF(근태!D$4="",0,IF(근태!D28="",IF(근태!D$6="휴일",0,8),IFERROR(INDEX(코드!$D$2:$D$107,MATCH(근태!D28,코드!$A$2:$A$107,0)),0)))</f>
        <v/>
      </c>
      <c r="E28" s="21">
        <f>IF(근태!E$4="",0,IF(근태!E28="",IF(근태!E$6="휴일",0,8),IFERROR(INDEX(코드!$D$2:$D$107,MATCH(근태!E28,코드!$A$2:$A$107,0)),0)))</f>
        <v/>
      </c>
      <c r="F28" s="21">
        <f>IF(근태!F$4="",0,IF(근태!F28="",IF(근태!F$6="휴일",0,8),IFERROR(INDEX(코드!$D$2:$D$107,MATCH(근태!F28,코드!$A$2:$A$107,0)),0)))</f>
        <v/>
      </c>
      <c r="G28" s="21">
        <f>IF(근태!G$4="",0,IF(근태!G28="",IF(근태!G$6="휴일",0,8),IFERROR(INDEX(코드!$D$2:$D$107,MATCH(근태!G28,코드!$A$2:$A$107,0)),0)))</f>
        <v/>
      </c>
      <c r="H28" s="21">
        <f>IF(근태!H$4="",0,IF(근태!H28="",IF(근태!H$6="휴일",0,8),IFERROR(INDEX(코드!$D$2:$D$107,MATCH(근태!H28,코드!$A$2:$A$107,0)),0)))</f>
        <v/>
      </c>
      <c r="I28" s="21">
        <f>IF(근태!I$4="",0,IF(근태!I28="",IF(근태!I$6="휴일",0,8),IFERROR(INDEX(코드!$D$2:$D$107,MATCH(근태!I28,코드!$A$2:$A$107,0)),0)))</f>
        <v/>
      </c>
      <c r="J28" s="21">
        <f>IF(근태!J$4="",0,IF(근태!J28="",IF(근태!J$6="휴일",0,8),IFERROR(INDEX(코드!$D$2:$D$107,MATCH(근태!J28,코드!$A$2:$A$107,0)),0)))</f>
        <v/>
      </c>
      <c r="K28" s="21">
        <f>IF(근태!K$4="",0,IF(근태!K28="",IF(근태!K$6="휴일",0,8),IFERROR(INDEX(코드!$D$2:$D$107,MATCH(근태!K28,코드!$A$2:$A$107,0)),0)))</f>
        <v/>
      </c>
      <c r="L28" s="21">
        <f>IF(근태!L$4="",0,IF(근태!L28="",IF(근태!L$6="휴일",0,8),IFERROR(INDEX(코드!$D$2:$D$107,MATCH(근태!L28,코드!$A$2:$A$107,0)),0)))</f>
        <v/>
      </c>
      <c r="M28" s="21">
        <f>IF(근태!M$4="",0,IF(근태!M28="",IF(근태!M$6="휴일",0,8),IFERROR(INDEX(코드!$D$2:$D$107,MATCH(근태!M28,코드!$A$2:$A$107,0)),0)))</f>
        <v/>
      </c>
      <c r="N28" s="21">
        <f>IF(근태!N$4="",0,IF(근태!N28="",IF(근태!N$6="휴일",0,8),IFERROR(INDEX(코드!$D$2:$D$107,MATCH(근태!N28,코드!$A$2:$A$107,0)),0)))</f>
        <v/>
      </c>
      <c r="O28" s="21">
        <f>IF(근태!O$4="",0,IF(근태!O28="",IF(근태!O$6="휴일",0,8),IFERROR(INDEX(코드!$D$2:$D$107,MATCH(근태!O28,코드!$A$2:$A$107,0)),0)))</f>
        <v/>
      </c>
      <c r="P28" s="21">
        <f>IF(근태!P$4="",0,IF(근태!P28="",IF(근태!P$6="휴일",0,8),IFERROR(INDEX(코드!$D$2:$D$107,MATCH(근태!P28,코드!$A$2:$A$107,0)),0)))</f>
        <v/>
      </c>
      <c r="Q28" s="21">
        <f>IF(근태!Q$4="",0,IF(근태!Q28="",IF(근태!Q$6="휴일",0,8),IFERROR(INDEX(코드!$D$2:$D$107,MATCH(근태!Q28,코드!$A$2:$A$107,0)),0)))</f>
        <v/>
      </c>
      <c r="R28" s="21">
        <f>IF(근태!R$4="",0,IF(근태!R28="",IF(근태!R$6="휴일",0,8),IFERROR(INDEX(코드!$D$2:$D$107,MATCH(근태!R28,코드!$A$2:$A$107,0)),0)))</f>
        <v/>
      </c>
      <c r="S28" s="21">
        <f>IF(근태!S$4="",0,IF(근태!S28="",IF(근태!S$6="휴일",0,8),IFERROR(INDEX(코드!$D$2:$D$107,MATCH(근태!S28,코드!$A$2:$A$107,0)),0)))</f>
        <v/>
      </c>
      <c r="T28" s="21">
        <f>IF(근태!T$4="",0,IF(근태!T28="",IF(근태!T$6="휴일",0,8),IFERROR(INDEX(코드!$D$2:$D$107,MATCH(근태!T28,코드!$A$2:$A$107,0)),0)))</f>
        <v/>
      </c>
      <c r="U28" s="21">
        <f>IF(근태!U$4="",0,IF(근태!U28="",IF(근태!U$6="휴일",0,8),IFERROR(INDEX(코드!$D$2:$D$107,MATCH(근태!U28,코드!$A$2:$A$107,0)),0)))</f>
        <v/>
      </c>
      <c r="V28" s="21">
        <f>IF(근태!V$4="",0,IF(근태!V28="",IF(근태!V$6="휴일",0,8),IFERROR(INDEX(코드!$D$2:$D$107,MATCH(근태!V28,코드!$A$2:$A$107,0)),0)))</f>
        <v/>
      </c>
      <c r="W28" s="21">
        <f>IF(근태!W$4="",0,IF(근태!W28="",IF(근태!W$6="휴일",0,8),IFERROR(INDEX(코드!$D$2:$D$107,MATCH(근태!W28,코드!$A$2:$A$107,0)),0)))</f>
        <v/>
      </c>
      <c r="X28" s="21">
        <f>IF(근태!X$4="",0,IF(근태!X28="",IF(근태!X$6="휴일",0,8),IFERROR(INDEX(코드!$D$2:$D$107,MATCH(근태!X28,코드!$A$2:$A$107,0)),0)))</f>
        <v/>
      </c>
      <c r="Y28" s="21">
        <f>IF(근태!Y$4="",0,IF(근태!Y28="",IF(근태!Y$6="휴일",0,8),IFERROR(INDEX(코드!$D$2:$D$107,MATCH(근태!Y28,코드!$A$2:$A$107,0)),0)))</f>
        <v/>
      </c>
      <c r="Z28" s="21">
        <f>IF(근태!Z$4="",0,IF(근태!Z28="",IF(근태!Z$6="휴일",0,8),IFERROR(INDEX(코드!$D$2:$D$107,MATCH(근태!Z28,코드!$A$2:$A$107,0)),0)))</f>
        <v/>
      </c>
      <c r="AA28" s="21">
        <f>IF(근태!AA$4="",0,IF(근태!AA28="",IF(근태!AA$6="휴일",0,8),IFERROR(INDEX(코드!$D$2:$D$107,MATCH(근태!AA28,코드!$A$2:$A$107,0)),0)))</f>
        <v/>
      </c>
      <c r="AB28" s="21">
        <f>IF(근태!AB$4="",0,IF(근태!AB28="",IF(근태!AB$6="휴일",0,8),IFERROR(INDEX(코드!$D$2:$D$107,MATCH(근태!AB28,코드!$A$2:$A$107,0)),0)))</f>
        <v/>
      </c>
      <c r="AC28" s="21">
        <f>IF(근태!AC$4="",0,IF(근태!AC28="",IF(근태!AC$6="휴일",0,8),IFERROR(INDEX(코드!$D$2:$D$107,MATCH(근태!AC28,코드!$A$2:$A$107,0)),0)))</f>
        <v/>
      </c>
      <c r="AD28" s="21">
        <f>IF(근태!AD$4="",0,IF(근태!AD28="",IF(근태!AD$6="휴일",0,8),IFERROR(INDEX(코드!$D$2:$D$107,MATCH(근태!AD28,코드!$A$2:$A$107,0)),0)))</f>
        <v/>
      </c>
      <c r="AE28" s="21">
        <f>IF(근태!AE$4="",0,IF(근태!AE28="",IF(근태!AE$6="휴일",0,8),IFERROR(INDEX(코드!$D$2:$D$107,MATCH(근태!AE28,코드!$A$2:$A$107,0)),0)))</f>
        <v/>
      </c>
      <c r="AF28" s="21">
        <f>IF(근태!AF$4="",0,IF(근태!AF28="",IF(근태!AF$6="휴일",0,8),IFERROR(INDEX(코드!$D$2:$D$107,MATCH(근태!AF28,코드!$A$2:$A$107,0)),0)))</f>
        <v/>
      </c>
      <c r="AG28" s="21">
        <f>IF(근태!AG$4="",0,IF(근태!AG28="",IF(근태!AG$6="휴일",0,8),IFERROR(INDEX(코드!$D$2:$D$107,MATCH(근태!AG28,코드!$A$2:$A$107,0)),0)))</f>
        <v/>
      </c>
      <c r="AH28" s="21">
        <f>IF(근태!AH$4="",0,IF(근태!AH28="",IF(근태!AH$6="휴일",0,8),IFERROR(INDEX(코드!$D$2:$D$107,MATCH(근태!AH28,코드!$A$2:$A$107,0)),0)))</f>
        <v/>
      </c>
    </row>
    <row r="29">
      <c r="A29" s="12">
        <f>IF(명부!A23="","",명부!A23)</f>
        <v/>
      </c>
      <c r="B29" s="13">
        <f>IF(명부!C23="","",명부!C23)</f>
        <v/>
      </c>
      <c r="C29" s="14">
        <f>IF(명부!E23="","",명부!E23)</f>
        <v/>
      </c>
      <c r="D29" s="21">
        <f>IF(근태!D$4="",0,IF(근태!D29="",IF(근태!D$6="휴일",0,8),IFERROR(INDEX(코드!$D$2:$D$107,MATCH(근태!D29,코드!$A$2:$A$107,0)),0)))</f>
        <v/>
      </c>
      <c r="E29" s="21">
        <f>IF(근태!E$4="",0,IF(근태!E29="",IF(근태!E$6="휴일",0,8),IFERROR(INDEX(코드!$D$2:$D$107,MATCH(근태!E29,코드!$A$2:$A$107,0)),0)))</f>
        <v/>
      </c>
      <c r="F29" s="21">
        <f>IF(근태!F$4="",0,IF(근태!F29="",IF(근태!F$6="휴일",0,8),IFERROR(INDEX(코드!$D$2:$D$107,MATCH(근태!F29,코드!$A$2:$A$107,0)),0)))</f>
        <v/>
      </c>
      <c r="G29" s="21">
        <f>IF(근태!G$4="",0,IF(근태!G29="",IF(근태!G$6="휴일",0,8),IFERROR(INDEX(코드!$D$2:$D$107,MATCH(근태!G29,코드!$A$2:$A$107,0)),0)))</f>
        <v/>
      </c>
      <c r="H29" s="21">
        <f>IF(근태!H$4="",0,IF(근태!H29="",IF(근태!H$6="휴일",0,8),IFERROR(INDEX(코드!$D$2:$D$107,MATCH(근태!H29,코드!$A$2:$A$107,0)),0)))</f>
        <v/>
      </c>
      <c r="I29" s="21">
        <f>IF(근태!I$4="",0,IF(근태!I29="",IF(근태!I$6="휴일",0,8),IFERROR(INDEX(코드!$D$2:$D$107,MATCH(근태!I29,코드!$A$2:$A$107,0)),0)))</f>
        <v/>
      </c>
      <c r="J29" s="21">
        <f>IF(근태!J$4="",0,IF(근태!J29="",IF(근태!J$6="휴일",0,8),IFERROR(INDEX(코드!$D$2:$D$107,MATCH(근태!J29,코드!$A$2:$A$107,0)),0)))</f>
        <v/>
      </c>
      <c r="K29" s="21">
        <f>IF(근태!K$4="",0,IF(근태!K29="",IF(근태!K$6="휴일",0,8),IFERROR(INDEX(코드!$D$2:$D$107,MATCH(근태!K29,코드!$A$2:$A$107,0)),0)))</f>
        <v/>
      </c>
      <c r="L29" s="21">
        <f>IF(근태!L$4="",0,IF(근태!L29="",IF(근태!L$6="휴일",0,8),IFERROR(INDEX(코드!$D$2:$D$107,MATCH(근태!L29,코드!$A$2:$A$107,0)),0)))</f>
        <v/>
      </c>
      <c r="M29" s="21">
        <f>IF(근태!M$4="",0,IF(근태!M29="",IF(근태!M$6="휴일",0,8),IFERROR(INDEX(코드!$D$2:$D$107,MATCH(근태!M29,코드!$A$2:$A$107,0)),0)))</f>
        <v/>
      </c>
      <c r="N29" s="21">
        <f>IF(근태!N$4="",0,IF(근태!N29="",IF(근태!N$6="휴일",0,8),IFERROR(INDEX(코드!$D$2:$D$107,MATCH(근태!N29,코드!$A$2:$A$107,0)),0)))</f>
        <v/>
      </c>
      <c r="O29" s="21">
        <f>IF(근태!O$4="",0,IF(근태!O29="",IF(근태!O$6="휴일",0,8),IFERROR(INDEX(코드!$D$2:$D$107,MATCH(근태!O29,코드!$A$2:$A$107,0)),0)))</f>
        <v/>
      </c>
      <c r="P29" s="21">
        <f>IF(근태!P$4="",0,IF(근태!P29="",IF(근태!P$6="휴일",0,8),IFERROR(INDEX(코드!$D$2:$D$107,MATCH(근태!P29,코드!$A$2:$A$107,0)),0)))</f>
        <v/>
      </c>
      <c r="Q29" s="21">
        <f>IF(근태!Q$4="",0,IF(근태!Q29="",IF(근태!Q$6="휴일",0,8),IFERROR(INDEX(코드!$D$2:$D$107,MATCH(근태!Q29,코드!$A$2:$A$107,0)),0)))</f>
        <v/>
      </c>
      <c r="R29" s="21">
        <f>IF(근태!R$4="",0,IF(근태!R29="",IF(근태!R$6="휴일",0,8),IFERROR(INDEX(코드!$D$2:$D$107,MATCH(근태!R29,코드!$A$2:$A$107,0)),0)))</f>
        <v/>
      </c>
      <c r="S29" s="21">
        <f>IF(근태!S$4="",0,IF(근태!S29="",IF(근태!S$6="휴일",0,8),IFERROR(INDEX(코드!$D$2:$D$107,MATCH(근태!S29,코드!$A$2:$A$107,0)),0)))</f>
        <v/>
      </c>
      <c r="T29" s="21">
        <f>IF(근태!T$4="",0,IF(근태!T29="",IF(근태!T$6="휴일",0,8),IFERROR(INDEX(코드!$D$2:$D$107,MATCH(근태!T29,코드!$A$2:$A$107,0)),0)))</f>
        <v/>
      </c>
      <c r="U29" s="21">
        <f>IF(근태!U$4="",0,IF(근태!U29="",IF(근태!U$6="휴일",0,8),IFERROR(INDEX(코드!$D$2:$D$107,MATCH(근태!U29,코드!$A$2:$A$107,0)),0)))</f>
        <v/>
      </c>
      <c r="V29" s="21">
        <f>IF(근태!V$4="",0,IF(근태!V29="",IF(근태!V$6="휴일",0,8),IFERROR(INDEX(코드!$D$2:$D$107,MATCH(근태!V29,코드!$A$2:$A$107,0)),0)))</f>
        <v/>
      </c>
      <c r="W29" s="21">
        <f>IF(근태!W$4="",0,IF(근태!W29="",IF(근태!W$6="휴일",0,8),IFERROR(INDEX(코드!$D$2:$D$107,MATCH(근태!W29,코드!$A$2:$A$107,0)),0)))</f>
        <v/>
      </c>
      <c r="X29" s="21">
        <f>IF(근태!X$4="",0,IF(근태!X29="",IF(근태!X$6="휴일",0,8),IFERROR(INDEX(코드!$D$2:$D$107,MATCH(근태!X29,코드!$A$2:$A$107,0)),0)))</f>
        <v/>
      </c>
      <c r="Y29" s="21">
        <f>IF(근태!Y$4="",0,IF(근태!Y29="",IF(근태!Y$6="휴일",0,8),IFERROR(INDEX(코드!$D$2:$D$107,MATCH(근태!Y29,코드!$A$2:$A$107,0)),0)))</f>
        <v/>
      </c>
      <c r="Z29" s="21">
        <f>IF(근태!Z$4="",0,IF(근태!Z29="",IF(근태!Z$6="휴일",0,8),IFERROR(INDEX(코드!$D$2:$D$107,MATCH(근태!Z29,코드!$A$2:$A$107,0)),0)))</f>
        <v/>
      </c>
      <c r="AA29" s="21">
        <f>IF(근태!AA$4="",0,IF(근태!AA29="",IF(근태!AA$6="휴일",0,8),IFERROR(INDEX(코드!$D$2:$D$107,MATCH(근태!AA29,코드!$A$2:$A$107,0)),0)))</f>
        <v/>
      </c>
      <c r="AB29" s="21">
        <f>IF(근태!AB$4="",0,IF(근태!AB29="",IF(근태!AB$6="휴일",0,8),IFERROR(INDEX(코드!$D$2:$D$107,MATCH(근태!AB29,코드!$A$2:$A$107,0)),0)))</f>
        <v/>
      </c>
      <c r="AC29" s="21">
        <f>IF(근태!AC$4="",0,IF(근태!AC29="",IF(근태!AC$6="휴일",0,8),IFERROR(INDEX(코드!$D$2:$D$107,MATCH(근태!AC29,코드!$A$2:$A$107,0)),0)))</f>
        <v/>
      </c>
      <c r="AD29" s="21">
        <f>IF(근태!AD$4="",0,IF(근태!AD29="",IF(근태!AD$6="휴일",0,8),IFERROR(INDEX(코드!$D$2:$D$107,MATCH(근태!AD29,코드!$A$2:$A$107,0)),0)))</f>
        <v/>
      </c>
      <c r="AE29" s="21">
        <f>IF(근태!AE$4="",0,IF(근태!AE29="",IF(근태!AE$6="휴일",0,8),IFERROR(INDEX(코드!$D$2:$D$107,MATCH(근태!AE29,코드!$A$2:$A$107,0)),0)))</f>
        <v/>
      </c>
      <c r="AF29" s="21">
        <f>IF(근태!AF$4="",0,IF(근태!AF29="",IF(근태!AF$6="휴일",0,8),IFERROR(INDEX(코드!$D$2:$D$107,MATCH(근태!AF29,코드!$A$2:$A$107,0)),0)))</f>
        <v/>
      </c>
      <c r="AG29" s="21">
        <f>IF(근태!AG$4="",0,IF(근태!AG29="",IF(근태!AG$6="휴일",0,8),IFERROR(INDEX(코드!$D$2:$D$107,MATCH(근태!AG29,코드!$A$2:$A$107,0)),0)))</f>
        <v/>
      </c>
      <c r="AH29" s="21">
        <f>IF(근태!AH$4="",0,IF(근태!AH29="",IF(근태!AH$6="휴일",0,8),IFERROR(INDEX(코드!$D$2:$D$107,MATCH(근태!AH29,코드!$A$2:$A$107,0)),0)))</f>
        <v/>
      </c>
    </row>
    <row r="30">
      <c r="A30" s="12">
        <f>IF(명부!A24="","",명부!A24)</f>
        <v/>
      </c>
      <c r="B30" s="13">
        <f>IF(명부!C24="","",명부!C24)</f>
        <v/>
      </c>
      <c r="C30" s="14">
        <f>IF(명부!E24="","",명부!E24)</f>
        <v/>
      </c>
      <c r="D30" s="21">
        <f>IF(근태!D$4="",0,IF(근태!D30="",IF(근태!D$6="휴일",0,8),IFERROR(INDEX(코드!$D$2:$D$107,MATCH(근태!D30,코드!$A$2:$A$107,0)),0)))</f>
        <v/>
      </c>
      <c r="E30" s="21">
        <f>IF(근태!E$4="",0,IF(근태!E30="",IF(근태!E$6="휴일",0,8),IFERROR(INDEX(코드!$D$2:$D$107,MATCH(근태!E30,코드!$A$2:$A$107,0)),0)))</f>
        <v/>
      </c>
      <c r="F30" s="21">
        <f>IF(근태!F$4="",0,IF(근태!F30="",IF(근태!F$6="휴일",0,8),IFERROR(INDEX(코드!$D$2:$D$107,MATCH(근태!F30,코드!$A$2:$A$107,0)),0)))</f>
        <v/>
      </c>
      <c r="G30" s="21">
        <f>IF(근태!G$4="",0,IF(근태!G30="",IF(근태!G$6="휴일",0,8),IFERROR(INDEX(코드!$D$2:$D$107,MATCH(근태!G30,코드!$A$2:$A$107,0)),0)))</f>
        <v/>
      </c>
      <c r="H30" s="21">
        <f>IF(근태!H$4="",0,IF(근태!H30="",IF(근태!H$6="휴일",0,8),IFERROR(INDEX(코드!$D$2:$D$107,MATCH(근태!H30,코드!$A$2:$A$107,0)),0)))</f>
        <v/>
      </c>
      <c r="I30" s="21">
        <f>IF(근태!I$4="",0,IF(근태!I30="",IF(근태!I$6="휴일",0,8),IFERROR(INDEX(코드!$D$2:$D$107,MATCH(근태!I30,코드!$A$2:$A$107,0)),0)))</f>
        <v/>
      </c>
      <c r="J30" s="21">
        <f>IF(근태!J$4="",0,IF(근태!J30="",IF(근태!J$6="휴일",0,8),IFERROR(INDEX(코드!$D$2:$D$107,MATCH(근태!J30,코드!$A$2:$A$107,0)),0)))</f>
        <v/>
      </c>
      <c r="K30" s="21">
        <f>IF(근태!K$4="",0,IF(근태!K30="",IF(근태!K$6="휴일",0,8),IFERROR(INDEX(코드!$D$2:$D$107,MATCH(근태!K30,코드!$A$2:$A$107,0)),0)))</f>
        <v/>
      </c>
      <c r="L30" s="21">
        <f>IF(근태!L$4="",0,IF(근태!L30="",IF(근태!L$6="휴일",0,8),IFERROR(INDEX(코드!$D$2:$D$107,MATCH(근태!L30,코드!$A$2:$A$107,0)),0)))</f>
        <v/>
      </c>
      <c r="M30" s="21">
        <f>IF(근태!M$4="",0,IF(근태!M30="",IF(근태!M$6="휴일",0,8),IFERROR(INDEX(코드!$D$2:$D$107,MATCH(근태!M30,코드!$A$2:$A$107,0)),0)))</f>
        <v/>
      </c>
      <c r="N30" s="21">
        <f>IF(근태!N$4="",0,IF(근태!N30="",IF(근태!N$6="휴일",0,8),IFERROR(INDEX(코드!$D$2:$D$107,MATCH(근태!N30,코드!$A$2:$A$107,0)),0)))</f>
        <v/>
      </c>
      <c r="O30" s="21">
        <f>IF(근태!O$4="",0,IF(근태!O30="",IF(근태!O$6="휴일",0,8),IFERROR(INDEX(코드!$D$2:$D$107,MATCH(근태!O30,코드!$A$2:$A$107,0)),0)))</f>
        <v/>
      </c>
      <c r="P30" s="21">
        <f>IF(근태!P$4="",0,IF(근태!P30="",IF(근태!P$6="휴일",0,8),IFERROR(INDEX(코드!$D$2:$D$107,MATCH(근태!P30,코드!$A$2:$A$107,0)),0)))</f>
        <v/>
      </c>
      <c r="Q30" s="21">
        <f>IF(근태!Q$4="",0,IF(근태!Q30="",IF(근태!Q$6="휴일",0,8),IFERROR(INDEX(코드!$D$2:$D$107,MATCH(근태!Q30,코드!$A$2:$A$107,0)),0)))</f>
        <v/>
      </c>
      <c r="R30" s="21">
        <f>IF(근태!R$4="",0,IF(근태!R30="",IF(근태!R$6="휴일",0,8),IFERROR(INDEX(코드!$D$2:$D$107,MATCH(근태!R30,코드!$A$2:$A$107,0)),0)))</f>
        <v/>
      </c>
      <c r="S30" s="21">
        <f>IF(근태!S$4="",0,IF(근태!S30="",IF(근태!S$6="휴일",0,8),IFERROR(INDEX(코드!$D$2:$D$107,MATCH(근태!S30,코드!$A$2:$A$107,0)),0)))</f>
        <v/>
      </c>
      <c r="T30" s="21">
        <f>IF(근태!T$4="",0,IF(근태!T30="",IF(근태!T$6="휴일",0,8),IFERROR(INDEX(코드!$D$2:$D$107,MATCH(근태!T30,코드!$A$2:$A$107,0)),0)))</f>
        <v/>
      </c>
      <c r="U30" s="21">
        <f>IF(근태!U$4="",0,IF(근태!U30="",IF(근태!U$6="휴일",0,8),IFERROR(INDEX(코드!$D$2:$D$107,MATCH(근태!U30,코드!$A$2:$A$107,0)),0)))</f>
        <v/>
      </c>
      <c r="V30" s="21">
        <f>IF(근태!V$4="",0,IF(근태!V30="",IF(근태!V$6="휴일",0,8),IFERROR(INDEX(코드!$D$2:$D$107,MATCH(근태!V30,코드!$A$2:$A$107,0)),0)))</f>
        <v/>
      </c>
      <c r="W30" s="21">
        <f>IF(근태!W$4="",0,IF(근태!W30="",IF(근태!W$6="휴일",0,8),IFERROR(INDEX(코드!$D$2:$D$107,MATCH(근태!W30,코드!$A$2:$A$107,0)),0)))</f>
        <v/>
      </c>
      <c r="X30" s="21">
        <f>IF(근태!X$4="",0,IF(근태!X30="",IF(근태!X$6="휴일",0,8),IFERROR(INDEX(코드!$D$2:$D$107,MATCH(근태!X30,코드!$A$2:$A$107,0)),0)))</f>
        <v/>
      </c>
      <c r="Y30" s="21">
        <f>IF(근태!Y$4="",0,IF(근태!Y30="",IF(근태!Y$6="휴일",0,8),IFERROR(INDEX(코드!$D$2:$D$107,MATCH(근태!Y30,코드!$A$2:$A$107,0)),0)))</f>
        <v/>
      </c>
      <c r="Z30" s="21">
        <f>IF(근태!Z$4="",0,IF(근태!Z30="",IF(근태!Z$6="휴일",0,8),IFERROR(INDEX(코드!$D$2:$D$107,MATCH(근태!Z30,코드!$A$2:$A$107,0)),0)))</f>
        <v/>
      </c>
      <c r="AA30" s="21">
        <f>IF(근태!AA$4="",0,IF(근태!AA30="",IF(근태!AA$6="휴일",0,8),IFERROR(INDEX(코드!$D$2:$D$107,MATCH(근태!AA30,코드!$A$2:$A$107,0)),0)))</f>
        <v/>
      </c>
      <c r="AB30" s="21">
        <f>IF(근태!AB$4="",0,IF(근태!AB30="",IF(근태!AB$6="휴일",0,8),IFERROR(INDEX(코드!$D$2:$D$107,MATCH(근태!AB30,코드!$A$2:$A$107,0)),0)))</f>
        <v/>
      </c>
      <c r="AC30" s="21">
        <f>IF(근태!AC$4="",0,IF(근태!AC30="",IF(근태!AC$6="휴일",0,8),IFERROR(INDEX(코드!$D$2:$D$107,MATCH(근태!AC30,코드!$A$2:$A$107,0)),0)))</f>
        <v/>
      </c>
      <c r="AD30" s="21">
        <f>IF(근태!AD$4="",0,IF(근태!AD30="",IF(근태!AD$6="휴일",0,8),IFERROR(INDEX(코드!$D$2:$D$107,MATCH(근태!AD30,코드!$A$2:$A$107,0)),0)))</f>
        <v/>
      </c>
      <c r="AE30" s="21">
        <f>IF(근태!AE$4="",0,IF(근태!AE30="",IF(근태!AE$6="휴일",0,8),IFERROR(INDEX(코드!$D$2:$D$107,MATCH(근태!AE30,코드!$A$2:$A$107,0)),0)))</f>
        <v/>
      </c>
      <c r="AF30" s="21">
        <f>IF(근태!AF$4="",0,IF(근태!AF30="",IF(근태!AF$6="휴일",0,8),IFERROR(INDEX(코드!$D$2:$D$107,MATCH(근태!AF30,코드!$A$2:$A$107,0)),0)))</f>
        <v/>
      </c>
      <c r="AG30" s="21">
        <f>IF(근태!AG$4="",0,IF(근태!AG30="",IF(근태!AG$6="휴일",0,8),IFERROR(INDEX(코드!$D$2:$D$107,MATCH(근태!AG30,코드!$A$2:$A$107,0)),0)))</f>
        <v/>
      </c>
      <c r="AH30" s="21">
        <f>IF(근태!AH$4="",0,IF(근태!AH30="",IF(근태!AH$6="휴일",0,8),IFERROR(INDEX(코드!$D$2:$D$107,MATCH(근태!AH30,코드!$A$2:$A$107,0)),0)))</f>
        <v/>
      </c>
    </row>
    <row r="31">
      <c r="A31" s="12">
        <f>IF(명부!A25="","",명부!A25)</f>
        <v/>
      </c>
      <c r="B31" s="13">
        <f>IF(명부!C25="","",명부!C25)</f>
        <v/>
      </c>
      <c r="C31" s="14">
        <f>IF(명부!E25="","",명부!E25)</f>
        <v/>
      </c>
      <c r="D31" s="21">
        <f>IF(근태!D$4="",0,IF(근태!D31="",IF(근태!D$6="휴일",0,8),IFERROR(INDEX(코드!$D$2:$D$107,MATCH(근태!D31,코드!$A$2:$A$107,0)),0)))</f>
        <v/>
      </c>
      <c r="E31" s="21">
        <f>IF(근태!E$4="",0,IF(근태!E31="",IF(근태!E$6="휴일",0,8),IFERROR(INDEX(코드!$D$2:$D$107,MATCH(근태!E31,코드!$A$2:$A$107,0)),0)))</f>
        <v/>
      </c>
      <c r="F31" s="21">
        <f>IF(근태!F$4="",0,IF(근태!F31="",IF(근태!F$6="휴일",0,8),IFERROR(INDEX(코드!$D$2:$D$107,MATCH(근태!F31,코드!$A$2:$A$107,0)),0)))</f>
        <v/>
      </c>
      <c r="G31" s="21">
        <f>IF(근태!G$4="",0,IF(근태!G31="",IF(근태!G$6="휴일",0,8),IFERROR(INDEX(코드!$D$2:$D$107,MATCH(근태!G31,코드!$A$2:$A$107,0)),0)))</f>
        <v/>
      </c>
      <c r="H31" s="21">
        <f>IF(근태!H$4="",0,IF(근태!H31="",IF(근태!H$6="휴일",0,8),IFERROR(INDEX(코드!$D$2:$D$107,MATCH(근태!H31,코드!$A$2:$A$107,0)),0)))</f>
        <v/>
      </c>
      <c r="I31" s="21">
        <f>IF(근태!I$4="",0,IF(근태!I31="",IF(근태!I$6="휴일",0,8),IFERROR(INDEX(코드!$D$2:$D$107,MATCH(근태!I31,코드!$A$2:$A$107,0)),0)))</f>
        <v/>
      </c>
      <c r="J31" s="21">
        <f>IF(근태!J$4="",0,IF(근태!J31="",IF(근태!J$6="휴일",0,8),IFERROR(INDEX(코드!$D$2:$D$107,MATCH(근태!J31,코드!$A$2:$A$107,0)),0)))</f>
        <v/>
      </c>
      <c r="K31" s="21">
        <f>IF(근태!K$4="",0,IF(근태!K31="",IF(근태!K$6="휴일",0,8),IFERROR(INDEX(코드!$D$2:$D$107,MATCH(근태!K31,코드!$A$2:$A$107,0)),0)))</f>
        <v/>
      </c>
      <c r="L31" s="21">
        <f>IF(근태!L$4="",0,IF(근태!L31="",IF(근태!L$6="휴일",0,8),IFERROR(INDEX(코드!$D$2:$D$107,MATCH(근태!L31,코드!$A$2:$A$107,0)),0)))</f>
        <v/>
      </c>
      <c r="M31" s="21">
        <f>IF(근태!M$4="",0,IF(근태!M31="",IF(근태!M$6="휴일",0,8),IFERROR(INDEX(코드!$D$2:$D$107,MATCH(근태!M31,코드!$A$2:$A$107,0)),0)))</f>
        <v/>
      </c>
      <c r="N31" s="21">
        <f>IF(근태!N$4="",0,IF(근태!N31="",IF(근태!N$6="휴일",0,8),IFERROR(INDEX(코드!$D$2:$D$107,MATCH(근태!N31,코드!$A$2:$A$107,0)),0)))</f>
        <v/>
      </c>
      <c r="O31" s="21">
        <f>IF(근태!O$4="",0,IF(근태!O31="",IF(근태!O$6="휴일",0,8),IFERROR(INDEX(코드!$D$2:$D$107,MATCH(근태!O31,코드!$A$2:$A$107,0)),0)))</f>
        <v/>
      </c>
      <c r="P31" s="21">
        <f>IF(근태!P$4="",0,IF(근태!P31="",IF(근태!P$6="휴일",0,8),IFERROR(INDEX(코드!$D$2:$D$107,MATCH(근태!P31,코드!$A$2:$A$107,0)),0)))</f>
        <v/>
      </c>
      <c r="Q31" s="21">
        <f>IF(근태!Q$4="",0,IF(근태!Q31="",IF(근태!Q$6="휴일",0,8),IFERROR(INDEX(코드!$D$2:$D$107,MATCH(근태!Q31,코드!$A$2:$A$107,0)),0)))</f>
        <v/>
      </c>
      <c r="R31" s="21">
        <f>IF(근태!R$4="",0,IF(근태!R31="",IF(근태!R$6="휴일",0,8),IFERROR(INDEX(코드!$D$2:$D$107,MATCH(근태!R31,코드!$A$2:$A$107,0)),0)))</f>
        <v/>
      </c>
      <c r="S31" s="21">
        <f>IF(근태!S$4="",0,IF(근태!S31="",IF(근태!S$6="휴일",0,8),IFERROR(INDEX(코드!$D$2:$D$107,MATCH(근태!S31,코드!$A$2:$A$107,0)),0)))</f>
        <v/>
      </c>
      <c r="T31" s="21">
        <f>IF(근태!T$4="",0,IF(근태!T31="",IF(근태!T$6="휴일",0,8),IFERROR(INDEX(코드!$D$2:$D$107,MATCH(근태!T31,코드!$A$2:$A$107,0)),0)))</f>
        <v/>
      </c>
      <c r="U31" s="21">
        <f>IF(근태!U$4="",0,IF(근태!U31="",IF(근태!U$6="휴일",0,8),IFERROR(INDEX(코드!$D$2:$D$107,MATCH(근태!U31,코드!$A$2:$A$107,0)),0)))</f>
        <v/>
      </c>
      <c r="V31" s="21">
        <f>IF(근태!V$4="",0,IF(근태!V31="",IF(근태!V$6="휴일",0,8),IFERROR(INDEX(코드!$D$2:$D$107,MATCH(근태!V31,코드!$A$2:$A$107,0)),0)))</f>
        <v/>
      </c>
      <c r="W31" s="21">
        <f>IF(근태!W$4="",0,IF(근태!W31="",IF(근태!W$6="휴일",0,8),IFERROR(INDEX(코드!$D$2:$D$107,MATCH(근태!W31,코드!$A$2:$A$107,0)),0)))</f>
        <v/>
      </c>
      <c r="X31" s="21">
        <f>IF(근태!X$4="",0,IF(근태!X31="",IF(근태!X$6="휴일",0,8),IFERROR(INDEX(코드!$D$2:$D$107,MATCH(근태!X31,코드!$A$2:$A$107,0)),0)))</f>
        <v/>
      </c>
      <c r="Y31" s="21">
        <f>IF(근태!Y$4="",0,IF(근태!Y31="",IF(근태!Y$6="휴일",0,8),IFERROR(INDEX(코드!$D$2:$D$107,MATCH(근태!Y31,코드!$A$2:$A$107,0)),0)))</f>
        <v/>
      </c>
      <c r="Z31" s="21">
        <f>IF(근태!Z$4="",0,IF(근태!Z31="",IF(근태!Z$6="휴일",0,8),IFERROR(INDEX(코드!$D$2:$D$107,MATCH(근태!Z31,코드!$A$2:$A$107,0)),0)))</f>
        <v/>
      </c>
      <c r="AA31" s="21">
        <f>IF(근태!AA$4="",0,IF(근태!AA31="",IF(근태!AA$6="휴일",0,8),IFERROR(INDEX(코드!$D$2:$D$107,MATCH(근태!AA31,코드!$A$2:$A$107,0)),0)))</f>
        <v/>
      </c>
      <c r="AB31" s="21">
        <f>IF(근태!AB$4="",0,IF(근태!AB31="",IF(근태!AB$6="휴일",0,8),IFERROR(INDEX(코드!$D$2:$D$107,MATCH(근태!AB31,코드!$A$2:$A$107,0)),0)))</f>
        <v/>
      </c>
      <c r="AC31" s="21">
        <f>IF(근태!AC$4="",0,IF(근태!AC31="",IF(근태!AC$6="휴일",0,8),IFERROR(INDEX(코드!$D$2:$D$107,MATCH(근태!AC31,코드!$A$2:$A$107,0)),0)))</f>
        <v/>
      </c>
      <c r="AD31" s="21">
        <f>IF(근태!AD$4="",0,IF(근태!AD31="",IF(근태!AD$6="휴일",0,8),IFERROR(INDEX(코드!$D$2:$D$107,MATCH(근태!AD31,코드!$A$2:$A$107,0)),0)))</f>
        <v/>
      </c>
      <c r="AE31" s="21">
        <f>IF(근태!AE$4="",0,IF(근태!AE31="",IF(근태!AE$6="휴일",0,8),IFERROR(INDEX(코드!$D$2:$D$107,MATCH(근태!AE31,코드!$A$2:$A$107,0)),0)))</f>
        <v/>
      </c>
      <c r="AF31" s="21">
        <f>IF(근태!AF$4="",0,IF(근태!AF31="",IF(근태!AF$6="휴일",0,8),IFERROR(INDEX(코드!$D$2:$D$107,MATCH(근태!AF31,코드!$A$2:$A$107,0)),0)))</f>
        <v/>
      </c>
      <c r="AG31" s="21">
        <f>IF(근태!AG$4="",0,IF(근태!AG31="",IF(근태!AG$6="휴일",0,8),IFERROR(INDEX(코드!$D$2:$D$107,MATCH(근태!AG31,코드!$A$2:$A$107,0)),0)))</f>
        <v/>
      </c>
      <c r="AH31" s="21">
        <f>IF(근태!AH$4="",0,IF(근태!AH31="",IF(근태!AH$6="휴일",0,8),IFERROR(INDEX(코드!$D$2:$D$107,MATCH(근태!AH31,코드!$A$2:$A$107,0)),0)))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2026-09-09T04:25:29Z</dcterms:created>
  <dcterms:modified xsi:type="dcterms:W3CDTF">2026-09-09T04:25:30Z</dcterms:modified>
</cp:coreProperties>
</file>