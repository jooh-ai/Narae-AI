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1313\Desktop\"/>
    </mc:Choice>
  </mc:AlternateContent>
  <bookViews>
    <workbookView xWindow="28680" yWindow="-120" windowWidth="29040" windowHeight="15720" activeTab="4" xr2:uid="{00000000-000D-0000-FFFF-FFFF00000000}"/>
  </bookViews>
  <sheets>
    <sheet name="온도 Profile" sheetId="8" r:id="rId1"/>
    <sheet name="Mode3" sheetId="1" r:id="rId2"/>
    <sheet name="Mode5" sheetId="4" r:id="rId3"/>
    <sheet name="Mode1" sheetId="3" r:id="rId4"/>
    <sheet name="열전비 Sheet" sheetId="6" r:id="rId5"/>
    <sheet name="Sheet1" sheetId="7" r:id="rId6"/>
  </sheets>
  <externalReferences>
    <externalReference r:id="rId7"/>
    <externalReference r:id="rId8"/>
  </externalReferences>
  <definedNames>
    <definedName name="_xlnm.Print_Area" localSheetId="1">Mode3!$A$1:$R$65</definedName>
    <definedName name="_xlnm.Print_Area" localSheetId="2">Mode5!$A$1:$AC$65</definedName>
    <definedName name="_xlnm.Print_Area" localSheetId="0">'온도 Profile'!$A$1:$Z$67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M2" i="8"/>
  <c r="D52" i="1" l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5" i="1"/>
  <c r="F6" i="1" l="1"/>
  <c r="H5" i="1"/>
  <c r="D6" i="8" s="1"/>
  <c r="F7" i="1"/>
  <c r="H7" i="1" s="1"/>
  <c r="D8" i="8" s="1"/>
  <c r="F8" i="1"/>
  <c r="F9" i="1"/>
  <c r="H9" i="1" s="1"/>
  <c r="D10" i="8" s="1"/>
  <c r="F10" i="1"/>
  <c r="F11" i="1"/>
  <c r="H11" i="1" s="1"/>
  <c r="D12" i="8" s="1"/>
  <c r="F12" i="1"/>
  <c r="F13" i="1"/>
  <c r="H13" i="1" s="1"/>
  <c r="D14" i="8" s="1"/>
  <c r="F14" i="1"/>
  <c r="F15" i="1"/>
  <c r="H15" i="1" s="1"/>
  <c r="D16" i="8" s="1"/>
  <c r="F16" i="1"/>
  <c r="F17" i="1"/>
  <c r="H17" i="1" s="1"/>
  <c r="D18" i="8" s="1"/>
  <c r="F18" i="1"/>
  <c r="F19" i="1"/>
  <c r="H19" i="1" s="1"/>
  <c r="D20" i="8" s="1"/>
  <c r="F20" i="1"/>
  <c r="F21" i="1"/>
  <c r="H21" i="1" s="1"/>
  <c r="D22" i="8" s="1"/>
  <c r="F22" i="1"/>
  <c r="F23" i="1"/>
  <c r="H23" i="1" s="1"/>
  <c r="D24" i="8" s="1"/>
  <c r="F24" i="1"/>
  <c r="F25" i="1"/>
  <c r="H25" i="1" s="1"/>
  <c r="D26" i="8" s="1"/>
  <c r="F26" i="1"/>
  <c r="F27" i="1"/>
  <c r="H27" i="1" s="1"/>
  <c r="D28" i="8" s="1"/>
  <c r="F28" i="1"/>
  <c r="F29" i="1"/>
  <c r="H29" i="1" s="1"/>
  <c r="D30" i="8" s="1"/>
  <c r="F30" i="1"/>
  <c r="F31" i="1"/>
  <c r="H31" i="1" s="1"/>
  <c r="D32" i="8" s="1"/>
  <c r="F32" i="1"/>
  <c r="F33" i="1"/>
  <c r="H33" i="1" s="1"/>
  <c r="D34" i="8" s="1"/>
  <c r="F34" i="1"/>
  <c r="F35" i="1"/>
  <c r="H35" i="1" s="1"/>
  <c r="D36" i="8" s="1"/>
  <c r="F36" i="1"/>
  <c r="D37" i="1"/>
  <c r="H37" i="1" s="1"/>
  <c r="D38" i="8" s="1"/>
  <c r="F37" i="1"/>
  <c r="D38" i="1"/>
  <c r="F38" i="1"/>
  <c r="D39" i="1"/>
  <c r="H39" i="1" s="1"/>
  <c r="D40" i="8" s="1"/>
  <c r="F39" i="1"/>
  <c r="D40" i="1"/>
  <c r="F40" i="1"/>
  <c r="D41" i="1"/>
  <c r="H41" i="1" s="1"/>
  <c r="D42" i="8" s="1"/>
  <c r="F41" i="1"/>
  <c r="D42" i="1"/>
  <c r="F42" i="1"/>
  <c r="D43" i="1"/>
  <c r="H43" i="1" s="1"/>
  <c r="D44" i="8" s="1"/>
  <c r="F43" i="1"/>
  <c r="D44" i="1"/>
  <c r="F44" i="1"/>
  <c r="D45" i="1"/>
  <c r="H45" i="1" s="1"/>
  <c r="D46" i="8" s="1"/>
  <c r="F45" i="1"/>
  <c r="D46" i="1"/>
  <c r="F46" i="1"/>
  <c r="D47" i="1"/>
  <c r="H47" i="1" s="1"/>
  <c r="D48" i="8" s="1"/>
  <c r="F47" i="1"/>
  <c r="D48" i="1"/>
  <c r="F48" i="1"/>
  <c r="D49" i="1"/>
  <c r="H49" i="1" s="1"/>
  <c r="D50" i="8" s="1"/>
  <c r="F49" i="1"/>
  <c r="D50" i="1"/>
  <c r="F50" i="1"/>
  <c r="D51" i="1"/>
  <c r="H51" i="1" s="1"/>
  <c r="D52" i="8" s="1"/>
  <c r="F51" i="1"/>
  <c r="F52" i="1"/>
  <c r="H52" i="1" s="1"/>
  <c r="D53" i="8" s="1"/>
  <c r="F53" i="1"/>
  <c r="H53" i="1" s="1"/>
  <c r="D54" i="8" s="1"/>
  <c r="F54" i="1"/>
  <c r="F55" i="1"/>
  <c r="H55" i="1" s="1"/>
  <c r="D56" i="8" s="1"/>
  <c r="F56" i="1"/>
  <c r="F57" i="1"/>
  <c r="H57" i="1" s="1"/>
  <c r="D58" i="8" s="1"/>
  <c r="F58" i="1"/>
  <c r="F59" i="1"/>
  <c r="H59" i="1" s="1"/>
  <c r="D60" i="8" s="1"/>
  <c r="F60" i="1"/>
  <c r="F61" i="1"/>
  <c r="H61" i="1" s="1"/>
  <c r="D62" i="8" s="1"/>
  <c r="F62" i="1"/>
  <c r="F63" i="1"/>
  <c r="H63" i="1" s="1"/>
  <c r="D64" i="8" s="1"/>
  <c r="F64" i="1"/>
  <c r="F65" i="1"/>
  <c r="H65" i="1" s="1"/>
  <c r="D66" i="8" s="1"/>
  <c r="F5" i="4"/>
  <c r="F18" i="4" s="1"/>
  <c r="F30" i="4"/>
  <c r="F46" i="4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5" i="1"/>
  <c r="E5" i="3"/>
  <c r="E57" i="3" s="1"/>
  <c r="E5" i="4"/>
  <c r="O23" i="4" s="1"/>
  <c r="O43" i="4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5" i="1"/>
  <c r="E7" i="1"/>
  <c r="E8" i="1"/>
  <c r="G8" i="1" s="1"/>
  <c r="C9" i="8" s="1"/>
  <c r="E9" i="1"/>
  <c r="G9" i="1" s="1"/>
  <c r="C10" i="8" s="1"/>
  <c r="E10" i="1"/>
  <c r="E11" i="1"/>
  <c r="E12" i="1"/>
  <c r="E13" i="1"/>
  <c r="G13" i="1" s="1"/>
  <c r="C14" i="8" s="1"/>
  <c r="E14" i="1"/>
  <c r="E15" i="1"/>
  <c r="G15" i="1" s="1"/>
  <c r="C16" i="8" s="1"/>
  <c r="E16" i="1"/>
  <c r="G16" i="1" s="1"/>
  <c r="C17" i="8" s="1"/>
  <c r="E17" i="1"/>
  <c r="G17" i="1" s="1"/>
  <c r="C18" i="8" s="1"/>
  <c r="E18" i="1"/>
  <c r="E19" i="1"/>
  <c r="G19" i="1" s="1"/>
  <c r="C20" i="8" s="1"/>
  <c r="E20" i="1"/>
  <c r="G20" i="1" s="1"/>
  <c r="C21" i="8" s="1"/>
  <c r="E21" i="1"/>
  <c r="G21" i="1" s="1"/>
  <c r="C22" i="8" s="1"/>
  <c r="E22" i="1"/>
  <c r="E23" i="1"/>
  <c r="E24" i="1"/>
  <c r="G24" i="1" s="1"/>
  <c r="C25" i="8" s="1"/>
  <c r="E25" i="1"/>
  <c r="G25" i="1" s="1"/>
  <c r="C26" i="8" s="1"/>
  <c r="E26" i="1"/>
  <c r="E27" i="1"/>
  <c r="E28" i="1"/>
  <c r="E29" i="1"/>
  <c r="G29" i="1" s="1"/>
  <c r="C30" i="8" s="1"/>
  <c r="E30" i="1"/>
  <c r="E31" i="1"/>
  <c r="G31" i="1" s="1"/>
  <c r="C32" i="8" s="1"/>
  <c r="E32" i="1"/>
  <c r="G32" i="1" s="1"/>
  <c r="C33" i="8" s="1"/>
  <c r="E33" i="1"/>
  <c r="G33" i="1" s="1"/>
  <c r="C34" i="8" s="1"/>
  <c r="E34" i="1"/>
  <c r="E35" i="1"/>
  <c r="G35" i="1" s="1"/>
  <c r="C36" i="8" s="1"/>
  <c r="E36" i="1"/>
  <c r="G36" i="1" s="1"/>
  <c r="C37" i="8" s="1"/>
  <c r="E37" i="1"/>
  <c r="G37" i="1" s="1"/>
  <c r="C38" i="8" s="1"/>
  <c r="E38" i="1"/>
  <c r="E39" i="1"/>
  <c r="E40" i="1"/>
  <c r="G40" i="1" s="1"/>
  <c r="C41" i="8" s="1"/>
  <c r="E41" i="1"/>
  <c r="G41" i="1" s="1"/>
  <c r="C42" i="8" s="1"/>
  <c r="E42" i="1"/>
  <c r="E43" i="1"/>
  <c r="E44" i="1"/>
  <c r="E45" i="1"/>
  <c r="G45" i="1" s="1"/>
  <c r="C46" i="8" s="1"/>
  <c r="E46" i="1"/>
  <c r="E47" i="1"/>
  <c r="G47" i="1" s="1"/>
  <c r="C48" i="8" s="1"/>
  <c r="E48" i="1"/>
  <c r="G48" i="1" s="1"/>
  <c r="C49" i="8" s="1"/>
  <c r="E49" i="1"/>
  <c r="G49" i="1" s="1"/>
  <c r="C50" i="8" s="1"/>
  <c r="E50" i="1"/>
  <c r="E51" i="1"/>
  <c r="G51" i="1" s="1"/>
  <c r="C52" i="8" s="1"/>
  <c r="E6" i="1"/>
  <c r="G6" i="1" s="1"/>
  <c r="C7" i="8" s="1"/>
  <c r="B62" i="4"/>
  <c r="V62" i="4" s="1"/>
  <c r="B60" i="4"/>
  <c r="V60" i="4" s="1"/>
  <c r="B54" i="4"/>
  <c r="V54" i="4" s="1"/>
  <c r="B52" i="4"/>
  <c r="B46" i="4"/>
  <c r="V46" i="4" s="1"/>
  <c r="Y46" i="4"/>
  <c r="B44" i="4"/>
  <c r="V44" i="4" s="1"/>
  <c r="B38" i="4"/>
  <c r="V38" i="4" s="1"/>
  <c r="B36" i="4"/>
  <c r="B30" i="4"/>
  <c r="L30" i="4" s="1"/>
  <c r="AF30" i="4" s="1"/>
  <c r="E30" i="4"/>
  <c r="B28" i="4"/>
  <c r="L28" i="4" s="1"/>
  <c r="B22" i="4"/>
  <c r="L22" i="4" s="1"/>
  <c r="B20" i="4"/>
  <c r="Y20" i="4"/>
  <c r="B14" i="4"/>
  <c r="V14" i="4" s="1"/>
  <c r="B12" i="4"/>
  <c r="V12" i="4" s="1"/>
  <c r="B6" i="4"/>
  <c r="V6" i="4" s="1"/>
  <c r="B65" i="4"/>
  <c r="V65" i="4" s="1"/>
  <c r="B64" i="4"/>
  <c r="V64" i="4" s="1"/>
  <c r="Y64" i="4"/>
  <c r="B61" i="4"/>
  <c r="B57" i="4"/>
  <c r="L57" i="4" s="1"/>
  <c r="B56" i="4"/>
  <c r="L56" i="4" s="1"/>
  <c r="O56" i="4"/>
  <c r="B53" i="4"/>
  <c r="L53" i="4" s="1"/>
  <c r="B49" i="4"/>
  <c r="L49" i="4" s="1"/>
  <c r="B48" i="4"/>
  <c r="V48" i="4" s="1"/>
  <c r="B45" i="4"/>
  <c r="V45" i="4" s="1"/>
  <c r="Y45" i="4"/>
  <c r="B41" i="4"/>
  <c r="L41" i="4" s="1"/>
  <c r="B40" i="4"/>
  <c r="B37" i="4"/>
  <c r="V37" i="4" s="1"/>
  <c r="B33" i="4"/>
  <c r="V33" i="4" s="1"/>
  <c r="B32" i="4"/>
  <c r="B29" i="4"/>
  <c r="V29" i="4" s="1"/>
  <c r="B25" i="4"/>
  <c r="B24" i="4"/>
  <c r="V24" i="4" s="1"/>
  <c r="B21" i="4"/>
  <c r="L21" i="4" s="1"/>
  <c r="B17" i="4"/>
  <c r="V17" i="4" s="1"/>
  <c r="B16" i="4"/>
  <c r="L16" i="4" s="1"/>
  <c r="B13" i="4"/>
  <c r="L13" i="4" s="1"/>
  <c r="B9" i="4"/>
  <c r="L9" i="4" s="1"/>
  <c r="B8" i="4"/>
  <c r="L8" i="4" s="1"/>
  <c r="B5" i="4"/>
  <c r="V5" i="4" s="1"/>
  <c r="B7" i="4"/>
  <c r="V7" i="4" s="1"/>
  <c r="B10" i="4"/>
  <c r="E10" i="4"/>
  <c r="B11" i="4"/>
  <c r="L11" i="4" s="1"/>
  <c r="B15" i="4"/>
  <c r="V15" i="4" s="1"/>
  <c r="Y15" i="4"/>
  <c r="B18" i="4"/>
  <c r="V18" i="4" s="1"/>
  <c r="B19" i="4"/>
  <c r="B23" i="4"/>
  <c r="B26" i="4"/>
  <c r="V26" i="4" s="1"/>
  <c r="B27" i="4"/>
  <c r="V27" i="4" s="1"/>
  <c r="B31" i="4"/>
  <c r="E31" i="4"/>
  <c r="B34" i="4"/>
  <c r="L34" i="4" s="1"/>
  <c r="B35" i="4"/>
  <c r="L35" i="4" s="1"/>
  <c r="AF35" i="4" s="1"/>
  <c r="B39" i="4"/>
  <c r="L39" i="4" s="1"/>
  <c r="O39" i="4"/>
  <c r="B42" i="4"/>
  <c r="L42" i="4" s="1"/>
  <c r="AF42" i="4" s="1"/>
  <c r="B43" i="4"/>
  <c r="L43" i="4" s="1"/>
  <c r="AF43" i="4" s="1"/>
  <c r="B47" i="4"/>
  <c r="L47" i="4" s="1"/>
  <c r="B50" i="4"/>
  <c r="L50" i="4" s="1"/>
  <c r="B51" i="4"/>
  <c r="L51" i="4" s="1"/>
  <c r="AF51" i="4" s="1"/>
  <c r="B55" i="4"/>
  <c r="V55" i="4" s="1"/>
  <c r="B58" i="4"/>
  <c r="L58" i="4" s="1"/>
  <c r="B59" i="4"/>
  <c r="L59" i="4" s="1"/>
  <c r="B63" i="4"/>
  <c r="E63" i="4"/>
  <c r="F65" i="4"/>
  <c r="F61" i="4"/>
  <c r="F57" i="4"/>
  <c r="F53" i="4"/>
  <c r="F49" i="4"/>
  <c r="F45" i="4"/>
  <c r="F41" i="4"/>
  <c r="F37" i="4"/>
  <c r="F33" i="4"/>
  <c r="F29" i="4"/>
  <c r="F25" i="4"/>
  <c r="F21" i="4"/>
  <c r="F17" i="4"/>
  <c r="F13" i="4"/>
  <c r="F9" i="4"/>
  <c r="F64" i="4"/>
  <c r="F60" i="4"/>
  <c r="F56" i="4"/>
  <c r="F52" i="4"/>
  <c r="F48" i="4"/>
  <c r="F44" i="4"/>
  <c r="F40" i="4"/>
  <c r="F36" i="4"/>
  <c r="F32" i="4"/>
  <c r="F28" i="4"/>
  <c r="F24" i="4"/>
  <c r="F20" i="4"/>
  <c r="F16" i="4"/>
  <c r="F12" i="4"/>
  <c r="F8" i="4"/>
  <c r="F63" i="4"/>
  <c r="F59" i="4"/>
  <c r="F55" i="4"/>
  <c r="F51" i="4"/>
  <c r="F47" i="4"/>
  <c r="F43" i="4"/>
  <c r="F39" i="4"/>
  <c r="F35" i="4"/>
  <c r="F31" i="4"/>
  <c r="F27" i="4"/>
  <c r="F23" i="4"/>
  <c r="F19" i="4"/>
  <c r="F15" i="4"/>
  <c r="F11" i="4"/>
  <c r="O7" i="4"/>
  <c r="AI7" i="4"/>
  <c r="AI11" i="4"/>
  <c r="AI23" i="4"/>
  <c r="AI27" i="4"/>
  <c r="AI39" i="4"/>
  <c r="AI43" i="4"/>
  <c r="AI55" i="4"/>
  <c r="AI59" i="4"/>
  <c r="Y10" i="4"/>
  <c r="Y22" i="4"/>
  <c r="Y34" i="4"/>
  <c r="Y38" i="4"/>
  <c r="Y54" i="4"/>
  <c r="Y58" i="4"/>
  <c r="O13" i="4"/>
  <c r="O17" i="4"/>
  <c r="O29" i="4"/>
  <c r="O33" i="4"/>
  <c r="O45" i="4"/>
  <c r="O49" i="4"/>
  <c r="O61" i="4"/>
  <c r="O65" i="4"/>
  <c r="AI32" i="4"/>
  <c r="AI40" i="4"/>
  <c r="AI60" i="4"/>
  <c r="AI64" i="4"/>
  <c r="Y31" i="4"/>
  <c r="Y35" i="4"/>
  <c r="Y55" i="4"/>
  <c r="Y63" i="4"/>
  <c r="O22" i="4"/>
  <c r="O26" i="4"/>
  <c r="O46" i="4"/>
  <c r="O50" i="4"/>
  <c r="AI45" i="4"/>
  <c r="AI53" i="4"/>
  <c r="Y12" i="4"/>
  <c r="Y28" i="4"/>
  <c r="Y52" i="4"/>
  <c r="Y56" i="4"/>
  <c r="AI14" i="4"/>
  <c r="AI18" i="4"/>
  <c r="AI30" i="4"/>
  <c r="AI34" i="4"/>
  <c r="AI50" i="4"/>
  <c r="AI54" i="4"/>
  <c r="AI5" i="4"/>
  <c r="Y9" i="4"/>
  <c r="Y21" i="4"/>
  <c r="Y25" i="4"/>
  <c r="Y37" i="4"/>
  <c r="Y41" i="4"/>
  <c r="Y57" i="4"/>
  <c r="Y61" i="4"/>
  <c r="O12" i="4"/>
  <c r="O16" i="4"/>
  <c r="O28" i="4"/>
  <c r="O32" i="4"/>
  <c r="O44" i="4"/>
  <c r="O48" i="4"/>
  <c r="O64" i="4"/>
  <c r="AI8" i="4"/>
  <c r="AI28" i="4"/>
  <c r="AI36" i="4"/>
  <c r="Y19" i="4"/>
  <c r="Y39" i="4"/>
  <c r="O6" i="4"/>
  <c r="O18" i="4"/>
  <c r="O54" i="4"/>
  <c r="O5" i="4"/>
  <c r="AI17" i="4"/>
  <c r="AI21" i="4"/>
  <c r="AI33" i="4"/>
  <c r="AI37" i="4"/>
  <c r="AI57" i="4"/>
  <c r="AI65" i="4"/>
  <c r="Y32" i="4"/>
  <c r="Y40" i="4"/>
  <c r="O11" i="4"/>
  <c r="O51" i="4"/>
  <c r="O63" i="4"/>
  <c r="O47" i="4"/>
  <c r="AA4" i="1"/>
  <c r="R40" i="1"/>
  <c r="D9" i="6"/>
  <c r="E9" i="6" s="1"/>
  <c r="D8" i="6"/>
  <c r="E8" i="6" s="1"/>
  <c r="D7" i="6"/>
  <c r="D6" i="6"/>
  <c r="E6" i="6" s="1"/>
  <c r="D5" i="6"/>
  <c r="E5" i="6" s="1"/>
  <c r="AM1" i="3"/>
  <c r="I40" i="3"/>
  <c r="AM40" i="4"/>
  <c r="AC40" i="4"/>
  <c r="S40" i="4"/>
  <c r="I40" i="4"/>
  <c r="L5" i="6"/>
  <c r="M5" i="6" s="1"/>
  <c r="L7" i="6"/>
  <c r="M7" i="6" s="1"/>
  <c r="L8" i="6"/>
  <c r="M8" i="6" s="1"/>
  <c r="L9" i="6"/>
  <c r="M9" i="6" s="1"/>
  <c r="L6" i="6"/>
  <c r="M6" i="6" s="1"/>
  <c r="D19" i="7"/>
  <c r="E19" i="7"/>
  <c r="F19" i="7"/>
  <c r="G19" i="7"/>
  <c r="C19" i="7"/>
  <c r="G7" i="1"/>
  <c r="C8" i="8" s="1"/>
  <c r="G10" i="1"/>
  <c r="C11" i="8" s="1"/>
  <c r="G11" i="1"/>
  <c r="C12" i="8" s="1"/>
  <c r="G12" i="1"/>
  <c r="C13" i="8" s="1"/>
  <c r="G14" i="1"/>
  <c r="C15" i="8" s="1"/>
  <c r="G18" i="1"/>
  <c r="C19" i="8" s="1"/>
  <c r="G22" i="1"/>
  <c r="C23" i="8" s="1"/>
  <c r="G23" i="1"/>
  <c r="C24" i="8" s="1"/>
  <c r="G26" i="1"/>
  <c r="C27" i="8" s="1"/>
  <c r="G27" i="1"/>
  <c r="C28" i="8" s="1"/>
  <c r="G28" i="1"/>
  <c r="C29" i="8" s="1"/>
  <c r="G30" i="1"/>
  <c r="C31" i="8" s="1"/>
  <c r="G34" i="1"/>
  <c r="C35" i="8" s="1"/>
  <c r="G38" i="1"/>
  <c r="C39" i="8" s="1"/>
  <c r="G39" i="1"/>
  <c r="C40" i="8" s="1"/>
  <c r="G42" i="1"/>
  <c r="C43" i="8" s="1"/>
  <c r="G43" i="1"/>
  <c r="C44" i="8" s="1"/>
  <c r="G44" i="1"/>
  <c r="C45" i="8" s="1"/>
  <c r="G46" i="1"/>
  <c r="C47" i="8" s="1"/>
  <c r="G50" i="1"/>
  <c r="C51" i="8" s="1"/>
  <c r="G52" i="1"/>
  <c r="C53" i="8" s="1"/>
  <c r="G53" i="1"/>
  <c r="C54" i="8" s="1"/>
  <c r="G54" i="1"/>
  <c r="C55" i="8" s="1"/>
  <c r="G55" i="1"/>
  <c r="C56" i="8" s="1"/>
  <c r="G56" i="1"/>
  <c r="C57" i="8" s="1"/>
  <c r="G57" i="1"/>
  <c r="C58" i="8" s="1"/>
  <c r="G58" i="1"/>
  <c r="C59" i="8" s="1"/>
  <c r="G59" i="1"/>
  <c r="C60" i="8" s="1"/>
  <c r="G60" i="1"/>
  <c r="C61" i="8" s="1"/>
  <c r="G61" i="1"/>
  <c r="C62" i="8" s="1"/>
  <c r="G62" i="1"/>
  <c r="C63" i="8" s="1"/>
  <c r="G63" i="1"/>
  <c r="C64" i="8" s="1"/>
  <c r="G64" i="1"/>
  <c r="C65" i="8" s="1"/>
  <c r="G65" i="1"/>
  <c r="C66" i="8" s="1"/>
  <c r="G5" i="1"/>
  <c r="C6" i="8" s="1"/>
  <c r="K5" i="1"/>
  <c r="P5" i="1" s="1"/>
  <c r="E6" i="8" s="1"/>
  <c r="K6" i="1"/>
  <c r="P6" i="1" s="1"/>
  <c r="E7" i="8" s="1"/>
  <c r="K7" i="1"/>
  <c r="P7" i="1" s="1"/>
  <c r="E8" i="8" s="1"/>
  <c r="K8" i="1"/>
  <c r="K9" i="1"/>
  <c r="K10" i="1"/>
  <c r="P10" i="1" s="1"/>
  <c r="E11" i="8" s="1"/>
  <c r="K11" i="1"/>
  <c r="P11" i="1" s="1"/>
  <c r="E12" i="8" s="1"/>
  <c r="K12" i="1"/>
  <c r="K13" i="1"/>
  <c r="K14" i="1"/>
  <c r="P14" i="1" s="1"/>
  <c r="E15" i="8" s="1"/>
  <c r="K15" i="1"/>
  <c r="P15" i="1" s="1"/>
  <c r="E16" i="8" s="1"/>
  <c r="K16" i="1"/>
  <c r="K17" i="1"/>
  <c r="K18" i="1"/>
  <c r="P18" i="1" s="1"/>
  <c r="E19" i="8" s="1"/>
  <c r="K19" i="1"/>
  <c r="P19" i="1" s="1"/>
  <c r="E20" i="8" s="1"/>
  <c r="K20" i="1"/>
  <c r="K21" i="1"/>
  <c r="K22" i="1"/>
  <c r="P22" i="1" s="1"/>
  <c r="E23" i="8" s="1"/>
  <c r="K23" i="1"/>
  <c r="P23" i="1" s="1"/>
  <c r="E24" i="8" s="1"/>
  <c r="K24" i="1"/>
  <c r="K25" i="1"/>
  <c r="K26" i="1"/>
  <c r="P26" i="1" s="1"/>
  <c r="E27" i="8" s="1"/>
  <c r="K27" i="1"/>
  <c r="P27" i="1" s="1"/>
  <c r="E28" i="8" s="1"/>
  <c r="K28" i="1"/>
  <c r="K29" i="1"/>
  <c r="K30" i="1"/>
  <c r="P30" i="1" s="1"/>
  <c r="E31" i="8" s="1"/>
  <c r="K31" i="1"/>
  <c r="P31" i="1" s="1"/>
  <c r="E32" i="8" s="1"/>
  <c r="K32" i="1"/>
  <c r="K33" i="1"/>
  <c r="K34" i="1"/>
  <c r="P34" i="1" s="1"/>
  <c r="E35" i="8" s="1"/>
  <c r="K35" i="1"/>
  <c r="P35" i="1" s="1"/>
  <c r="E36" i="8" s="1"/>
  <c r="K36" i="1"/>
  <c r="K37" i="1"/>
  <c r="K38" i="1"/>
  <c r="P38" i="1" s="1"/>
  <c r="E39" i="8" s="1"/>
  <c r="K39" i="1"/>
  <c r="P39" i="1" s="1"/>
  <c r="E40" i="8" s="1"/>
  <c r="K40" i="1"/>
  <c r="K41" i="1"/>
  <c r="K42" i="1"/>
  <c r="P42" i="1" s="1"/>
  <c r="E43" i="8" s="1"/>
  <c r="K43" i="1"/>
  <c r="P43" i="1" s="1"/>
  <c r="E44" i="8" s="1"/>
  <c r="K44" i="1"/>
  <c r="K45" i="1"/>
  <c r="K46" i="1"/>
  <c r="P46" i="1" s="1"/>
  <c r="E47" i="8" s="1"/>
  <c r="K47" i="1"/>
  <c r="P47" i="1" s="1"/>
  <c r="E48" i="8" s="1"/>
  <c r="K48" i="1"/>
  <c r="K49" i="1"/>
  <c r="K50" i="1"/>
  <c r="P50" i="1" s="1"/>
  <c r="E51" i="8" s="1"/>
  <c r="K51" i="1"/>
  <c r="P51" i="1" s="1"/>
  <c r="E52" i="8" s="1"/>
  <c r="K52" i="1"/>
  <c r="K53" i="1"/>
  <c r="K54" i="1"/>
  <c r="P54" i="1" s="1"/>
  <c r="E55" i="8" s="1"/>
  <c r="K55" i="1"/>
  <c r="P55" i="1" s="1"/>
  <c r="E56" i="8" s="1"/>
  <c r="K56" i="1"/>
  <c r="K57" i="1"/>
  <c r="K58" i="1"/>
  <c r="P58" i="1" s="1"/>
  <c r="E59" i="8" s="1"/>
  <c r="K59" i="1"/>
  <c r="P59" i="1" s="1"/>
  <c r="E60" i="8" s="1"/>
  <c r="K60" i="1"/>
  <c r="K61" i="1"/>
  <c r="K62" i="1"/>
  <c r="P62" i="1" s="1"/>
  <c r="E63" i="8" s="1"/>
  <c r="K63" i="1"/>
  <c r="P63" i="1" s="1"/>
  <c r="E64" i="8" s="1"/>
  <c r="K64" i="1"/>
  <c r="K65" i="1"/>
  <c r="AA7" i="1"/>
  <c r="AA5" i="1"/>
  <c r="AA6" i="1"/>
  <c r="AA8" i="1"/>
  <c r="B6" i="3"/>
  <c r="B7" i="3"/>
  <c r="B8" i="3"/>
  <c r="B9" i="3"/>
  <c r="B10" i="3"/>
  <c r="B11" i="3"/>
  <c r="B12" i="3"/>
  <c r="B13" i="3"/>
  <c r="B14" i="3"/>
  <c r="B15" i="3"/>
  <c r="B16" i="3"/>
  <c r="B17" i="3"/>
  <c r="E17" i="3"/>
  <c r="B18" i="3"/>
  <c r="B19" i="3"/>
  <c r="B20" i="3"/>
  <c r="E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E41" i="3"/>
  <c r="B42" i="3"/>
  <c r="B43" i="3"/>
  <c r="B44" i="3"/>
  <c r="E44" i="3"/>
  <c r="B45" i="3"/>
  <c r="B46" i="3"/>
  <c r="B47" i="3"/>
  <c r="B48" i="3"/>
  <c r="B49" i="3"/>
  <c r="B50" i="3"/>
  <c r="B51" i="3"/>
  <c r="B52" i="3"/>
  <c r="B53" i="3"/>
  <c r="E53" i="3"/>
  <c r="B54" i="3"/>
  <c r="B55" i="3"/>
  <c r="B56" i="3"/>
  <c r="B57" i="3"/>
  <c r="B58" i="3"/>
  <c r="B59" i="3"/>
  <c r="B60" i="3"/>
  <c r="B61" i="3"/>
  <c r="B62" i="3"/>
  <c r="B63" i="3"/>
  <c r="B64" i="3"/>
  <c r="B65" i="3"/>
  <c r="B5" i="3"/>
  <c r="G5" i="3" s="1"/>
  <c r="M6" i="8" s="1"/>
  <c r="E6" i="4"/>
  <c r="E38" i="4"/>
  <c r="E46" i="4"/>
  <c r="E7" i="4"/>
  <c r="E15" i="4"/>
  <c r="E47" i="4"/>
  <c r="E55" i="4"/>
  <c r="E24" i="4"/>
  <c r="E40" i="4"/>
  <c r="E64" i="4"/>
  <c r="E35" i="4"/>
  <c r="E9" i="4"/>
  <c r="E29" i="4"/>
  <c r="E26" i="4"/>
  <c r="E42" i="4"/>
  <c r="E59" i="4"/>
  <c r="E36" i="4"/>
  <c r="E53" i="4"/>
  <c r="E18" i="4"/>
  <c r="E52" i="4"/>
  <c r="E17" i="4"/>
  <c r="E60" i="4"/>
  <c r="E25" i="4"/>
  <c r="E34" i="4"/>
  <c r="E11" i="4"/>
  <c r="E19" i="4"/>
  <c r="E28" i="4"/>
  <c r="E21" i="3"/>
  <c r="E12" i="3"/>
  <c r="E30" i="3"/>
  <c r="E56" i="3"/>
  <c r="E42" i="3"/>
  <c r="E51" i="3"/>
  <c r="E47" i="3"/>
  <c r="E27" i="3"/>
  <c r="E33" i="3"/>
  <c r="E32" i="3"/>
  <c r="E10" i="3"/>
  <c r="P18" i="4"/>
  <c r="Z54" i="4"/>
  <c r="P16" i="4"/>
  <c r="Z39" i="4"/>
  <c r="AJ28" i="4"/>
  <c r="AJ23" i="4"/>
  <c r="AJ19" i="4"/>
  <c r="P17" i="4"/>
  <c r="Z17" i="4"/>
  <c r="P29" i="4"/>
  <c r="AJ15" i="4"/>
  <c r="Z36" i="4"/>
  <c r="AJ24" i="4"/>
  <c r="P49" i="4"/>
  <c r="P9" i="4"/>
  <c r="Z43" i="4"/>
  <c r="Z63" i="4"/>
  <c r="Z9" i="4"/>
  <c r="AJ57" i="4"/>
  <c r="Z59" i="4"/>
  <c r="Z35" i="4"/>
  <c r="Z25" i="4"/>
  <c r="P35" i="4"/>
  <c r="P57" i="4"/>
  <c r="P27" i="4"/>
  <c r="P34" i="4"/>
  <c r="Z60" i="4"/>
  <c r="P44" i="4"/>
  <c r="P58" i="4"/>
  <c r="P7" i="4"/>
  <c r="P40" i="4"/>
  <c r="AJ47" i="4"/>
  <c r="P14" i="4"/>
  <c r="AJ43" i="4"/>
  <c r="Z64" i="4"/>
  <c r="P12" i="4"/>
  <c r="P33" i="4"/>
  <c r="Z14" i="4"/>
  <c r="Z53" i="4"/>
  <c r="AJ6" i="4"/>
  <c r="Z57" i="4"/>
  <c r="Z18" i="4"/>
  <c r="P53" i="4"/>
  <c r="P19" i="4"/>
  <c r="AJ35" i="4"/>
  <c r="P28" i="4"/>
  <c r="P41" i="4"/>
  <c r="AJ46" i="4"/>
  <c r="AJ22" i="4"/>
  <c r="AJ52" i="4"/>
  <c r="P59" i="4"/>
  <c r="Z29" i="4"/>
  <c r="AJ30" i="4"/>
  <c r="Z15" i="4"/>
  <c r="AJ65" i="4"/>
  <c r="P50" i="4"/>
  <c r="Z61" i="4"/>
  <c r="AJ17" i="4"/>
  <c r="P64" i="4"/>
  <c r="P32" i="4"/>
  <c r="Z7" i="4"/>
  <c r="AJ63" i="4"/>
  <c r="AJ8" i="4"/>
  <c r="P23" i="4"/>
  <c r="P22" i="4"/>
  <c r="Z16" i="4"/>
  <c r="Z32" i="4"/>
  <c r="P39" i="4"/>
  <c r="P6" i="4"/>
  <c r="AJ14" i="4"/>
  <c r="P54" i="4"/>
  <c r="Z47" i="4"/>
  <c r="P51" i="4"/>
  <c r="AJ59" i="4"/>
  <c r="AJ34" i="4"/>
  <c r="AJ44" i="4"/>
  <c r="AJ5" i="4"/>
  <c r="AJ18" i="4"/>
  <c r="Z31" i="4"/>
  <c r="Z5" i="4"/>
  <c r="AJ50" i="4"/>
  <c r="AJ10" i="4"/>
  <c r="P37" i="4"/>
  <c r="AJ42" i="4"/>
  <c r="Z37" i="4"/>
  <c r="Z33" i="4"/>
  <c r="Z42" i="4"/>
  <c r="Z34" i="4"/>
  <c r="Z62" i="4"/>
  <c r="AJ51" i="4"/>
  <c r="P60" i="4"/>
  <c r="P10" i="4"/>
  <c r="Z10" i="4"/>
  <c r="AJ40" i="4"/>
  <c r="AJ39" i="4"/>
  <c r="Z41" i="4"/>
  <c r="Z8" i="4"/>
  <c r="Z55" i="4"/>
  <c r="Z50" i="4"/>
  <c r="Z23" i="4"/>
  <c r="AJ54" i="4"/>
  <c r="P8" i="4"/>
  <c r="P52" i="4"/>
  <c r="AJ31" i="4"/>
  <c r="P43" i="4"/>
  <c r="Z20" i="4"/>
  <c r="AJ45" i="4"/>
  <c r="AJ29" i="4"/>
  <c r="AJ13" i="4"/>
  <c r="P36" i="4"/>
  <c r="P42" i="4"/>
  <c r="AJ20" i="4"/>
  <c r="AJ7" i="4"/>
  <c r="P65" i="4"/>
  <c r="AJ32" i="4"/>
  <c r="Z45" i="4"/>
  <c r="AJ26" i="4"/>
  <c r="P31" i="4"/>
  <c r="AJ38" i="4"/>
  <c r="Z27" i="4"/>
  <c r="Z65" i="4"/>
  <c r="AJ61" i="4"/>
  <c r="P55" i="4"/>
  <c r="Z19" i="4"/>
  <c r="P20" i="4"/>
  <c r="P46" i="4"/>
  <c r="AJ64" i="4"/>
  <c r="AJ53" i="4"/>
  <c r="P25" i="4"/>
  <c r="Z30" i="4"/>
  <c r="P24" i="4"/>
  <c r="P30" i="4"/>
  <c r="AJ37" i="4"/>
  <c r="P38" i="4"/>
  <c r="Z40" i="4"/>
  <c r="AJ16" i="4"/>
  <c r="AJ58" i="4"/>
  <c r="AJ12" i="4"/>
  <c r="AJ25" i="4"/>
  <c r="P21" i="4"/>
  <c r="P15" i="4"/>
  <c r="Z22" i="4"/>
  <c r="Z6" i="4"/>
  <c r="P5" i="4"/>
  <c r="Z11" i="4"/>
  <c r="Z49" i="4"/>
  <c r="Z28" i="4"/>
  <c r="AJ9" i="4"/>
  <c r="P56" i="4"/>
  <c r="Z56" i="4"/>
  <c r="P47" i="4"/>
  <c r="P13" i="4"/>
  <c r="AJ56" i="4"/>
  <c r="Z51" i="4"/>
  <c r="P48" i="4"/>
  <c r="P45" i="4"/>
  <c r="Z38" i="4"/>
  <c r="AJ41" i="4"/>
  <c r="AJ49" i="4"/>
  <c r="Z21" i="4"/>
  <c r="AJ33" i="4"/>
  <c r="P63" i="4"/>
  <c r="AJ55" i="4"/>
  <c r="P61" i="4"/>
  <c r="Z52" i="4"/>
  <c r="Z44" i="4"/>
  <c r="AJ21" i="4"/>
  <c r="AJ11" i="4"/>
  <c r="AJ36" i="4"/>
  <c r="P62" i="4"/>
  <c r="Z26" i="4"/>
  <c r="AJ27" i="4"/>
  <c r="AJ62" i="4"/>
  <c r="Z12" i="4"/>
  <c r="Z58" i="4"/>
  <c r="P26" i="4"/>
  <c r="Z46" i="4"/>
  <c r="Z24" i="4"/>
  <c r="AJ60" i="4"/>
  <c r="Z13" i="4"/>
  <c r="P11" i="4"/>
  <c r="AJ48" i="4"/>
  <c r="Z48" i="4"/>
  <c r="E16" i="4" l="1"/>
  <c r="O15" i="4"/>
  <c r="O19" i="4"/>
  <c r="Y60" i="4"/>
  <c r="AA60" i="4" s="1"/>
  <c r="G61" i="8" s="1"/>
  <c r="Y24" i="4"/>
  <c r="AI49" i="4"/>
  <c r="AI29" i="4"/>
  <c r="AI13" i="4"/>
  <c r="O42" i="4"/>
  <c r="Y59" i="4"/>
  <c r="AI56" i="4"/>
  <c r="AI20" i="4"/>
  <c r="O60" i="4"/>
  <c r="O40" i="4"/>
  <c r="O24" i="4"/>
  <c r="O8" i="4"/>
  <c r="Q8" i="4" s="1"/>
  <c r="I9" i="8" s="1"/>
  <c r="Y53" i="4"/>
  <c r="Y33" i="4"/>
  <c r="Y17" i="4"/>
  <c r="AA17" i="4" s="1"/>
  <c r="G18" i="8" s="1"/>
  <c r="AI62" i="4"/>
  <c r="AI46" i="4"/>
  <c r="AI26" i="4"/>
  <c r="AI10" i="4"/>
  <c r="Y44" i="4"/>
  <c r="AA44" i="4" s="1"/>
  <c r="G45" i="8" s="1"/>
  <c r="Y8" i="4"/>
  <c r="O62" i="4"/>
  <c r="O38" i="4"/>
  <c r="O14" i="4"/>
  <c r="Y47" i="4"/>
  <c r="Y23" i="4"/>
  <c r="AI52" i="4"/>
  <c r="AI24" i="4"/>
  <c r="O57" i="4"/>
  <c r="O41" i="4"/>
  <c r="O25" i="4"/>
  <c r="O9" i="4"/>
  <c r="Y50" i="4"/>
  <c r="Y30" i="4"/>
  <c r="Y6" i="4"/>
  <c r="AA6" i="4" s="1"/>
  <c r="G7" i="8" s="1"/>
  <c r="AI51" i="4"/>
  <c r="AK51" i="4" s="1"/>
  <c r="AI35" i="4"/>
  <c r="AI19" i="4"/>
  <c r="O59" i="4"/>
  <c r="AI42" i="4"/>
  <c r="Y27" i="4"/>
  <c r="Y7" i="4"/>
  <c r="E32" i="4"/>
  <c r="Y14" i="4"/>
  <c r="AA14" i="4" s="1"/>
  <c r="G15" i="8" s="1"/>
  <c r="Y62" i="4"/>
  <c r="E57" i="4"/>
  <c r="E49" i="4"/>
  <c r="G49" i="4" s="1"/>
  <c r="K50" i="8" s="1"/>
  <c r="E65" i="4"/>
  <c r="G65" i="4" s="1"/>
  <c r="K66" i="8" s="1"/>
  <c r="E51" i="4"/>
  <c r="E43" i="4"/>
  <c r="E33" i="4"/>
  <c r="E27" i="4"/>
  <c r="G27" i="4" s="1"/>
  <c r="K28" i="8" s="1"/>
  <c r="E61" i="4"/>
  <c r="E44" i="4"/>
  <c r="E56" i="4"/>
  <c r="G56" i="4" s="1"/>
  <c r="K57" i="8" s="1"/>
  <c r="E39" i="4"/>
  <c r="G39" i="4" s="1"/>
  <c r="K40" i="8" s="1"/>
  <c r="E62" i="4"/>
  <c r="E22" i="4"/>
  <c r="E13" i="4"/>
  <c r="E20" i="4"/>
  <c r="G20" i="4" s="1"/>
  <c r="K21" i="8" s="1"/>
  <c r="E45" i="4"/>
  <c r="E37" i="4"/>
  <c r="E50" i="4"/>
  <c r="E21" i="4"/>
  <c r="E58" i="4"/>
  <c r="E41" i="4"/>
  <c r="E12" i="4"/>
  <c r="G12" i="4" s="1"/>
  <c r="K13" i="8" s="1"/>
  <c r="E48" i="4"/>
  <c r="G48" i="4" s="1"/>
  <c r="K49" i="8" s="1"/>
  <c r="E8" i="4"/>
  <c r="E23" i="4"/>
  <c r="E54" i="4"/>
  <c r="G54" i="4" s="1"/>
  <c r="K55" i="8" s="1"/>
  <c r="E14" i="4"/>
  <c r="G14" i="4" s="1"/>
  <c r="K15" i="8" s="1"/>
  <c r="O31" i="4"/>
  <c r="O35" i="4"/>
  <c r="Y48" i="4"/>
  <c r="Y16" i="4"/>
  <c r="AI41" i="4"/>
  <c r="AI25" i="4"/>
  <c r="AI9" i="4"/>
  <c r="O30" i="4"/>
  <c r="Q30" i="4" s="1"/>
  <c r="I31" i="8" s="1"/>
  <c r="Y51" i="4"/>
  <c r="AI48" i="4"/>
  <c r="AI16" i="4"/>
  <c r="O52" i="4"/>
  <c r="O36" i="4"/>
  <c r="O20" i="4"/>
  <c r="Y65" i="4"/>
  <c r="Y49" i="4"/>
  <c r="Y29" i="4"/>
  <c r="Y13" i="4"/>
  <c r="AI58" i="4"/>
  <c r="AI38" i="4"/>
  <c r="AI22" i="4"/>
  <c r="AI6" i="4"/>
  <c r="Y36" i="4"/>
  <c r="AI61" i="4"/>
  <c r="O58" i="4"/>
  <c r="O34" i="4"/>
  <c r="O10" i="4"/>
  <c r="Y43" i="4"/>
  <c r="Y11" i="4"/>
  <c r="AI44" i="4"/>
  <c r="AI12" i="4"/>
  <c r="O53" i="4"/>
  <c r="Q53" i="4" s="1"/>
  <c r="I54" i="8" s="1"/>
  <c r="O37" i="4"/>
  <c r="O21" i="4"/>
  <c r="Y5" i="4"/>
  <c r="Y42" i="4"/>
  <c r="Y26" i="4"/>
  <c r="AI63" i="4"/>
  <c r="AI47" i="4"/>
  <c r="AI31" i="4"/>
  <c r="AI15" i="4"/>
  <c r="O55" i="4"/>
  <c r="Y18" i="4"/>
  <c r="AA18" i="4" s="1"/>
  <c r="G19" i="8" s="1"/>
  <c r="O27" i="4"/>
  <c r="F7" i="4"/>
  <c r="F26" i="4"/>
  <c r="F54" i="4"/>
  <c r="F10" i="4"/>
  <c r="L5" i="4"/>
  <c r="Q5" i="4" s="1"/>
  <c r="I6" i="8" s="1"/>
  <c r="AK43" i="4"/>
  <c r="Q39" i="4"/>
  <c r="I40" i="8" s="1"/>
  <c r="G31" i="4"/>
  <c r="K32" i="8" s="1"/>
  <c r="G10" i="4"/>
  <c r="K11" i="8" s="1"/>
  <c r="AA29" i="4"/>
  <c r="G30" i="8" s="1"/>
  <c r="AA45" i="4"/>
  <c r="G46" i="8" s="1"/>
  <c r="F62" i="4"/>
  <c r="F42" i="4"/>
  <c r="F22" i="4"/>
  <c r="G19" i="4"/>
  <c r="K20" i="8" s="1"/>
  <c r="Q21" i="4"/>
  <c r="I22" i="8" s="1"/>
  <c r="AA48" i="4"/>
  <c r="G49" i="8" s="1"/>
  <c r="G36" i="4"/>
  <c r="K37" i="8" s="1"/>
  <c r="F58" i="4"/>
  <c r="F38" i="4"/>
  <c r="F14" i="4"/>
  <c r="G57" i="3"/>
  <c r="M58" i="8" s="1"/>
  <c r="G51" i="3"/>
  <c r="M52" i="8" s="1"/>
  <c r="AA37" i="4"/>
  <c r="G38" i="8" s="1"/>
  <c r="E63" i="3"/>
  <c r="E16" i="3"/>
  <c r="G16" i="3" s="1"/>
  <c r="M17" i="8" s="1"/>
  <c r="E50" i="3"/>
  <c r="E55" i="3"/>
  <c r="G55" i="3" s="1"/>
  <c r="M56" i="8" s="1"/>
  <c r="G53" i="3"/>
  <c r="M54" i="8" s="1"/>
  <c r="G17" i="3"/>
  <c r="M18" i="8" s="1"/>
  <c r="AA46" i="4"/>
  <c r="G47" i="8" s="1"/>
  <c r="E65" i="3"/>
  <c r="G65" i="3" s="1"/>
  <c r="M66" i="8" s="1"/>
  <c r="E23" i="3"/>
  <c r="G23" i="3" s="1"/>
  <c r="M24" i="8" s="1"/>
  <c r="E40" i="3"/>
  <c r="E46" i="3"/>
  <c r="G46" i="3" s="1"/>
  <c r="M47" i="8" s="1"/>
  <c r="E13" i="3"/>
  <c r="G13" i="3" s="1"/>
  <c r="M14" i="8" s="1"/>
  <c r="G63" i="4"/>
  <c r="K64" i="8" s="1"/>
  <c r="E34" i="3"/>
  <c r="G34" i="3" s="1"/>
  <c r="M35" i="8" s="1"/>
  <c r="E28" i="3"/>
  <c r="G28" i="3" s="1"/>
  <c r="M29" i="8" s="1"/>
  <c r="E15" i="3"/>
  <c r="G15" i="3" s="1"/>
  <c r="M16" i="8" s="1"/>
  <c r="E35" i="3"/>
  <c r="G35" i="3" s="1"/>
  <c r="M36" i="8" s="1"/>
  <c r="E6" i="3"/>
  <c r="G6" i="3" s="1"/>
  <c r="M7" i="8" s="1"/>
  <c r="E64" i="3"/>
  <c r="G64" i="3" s="1"/>
  <c r="M65" i="8" s="1"/>
  <c r="E48" i="3"/>
  <c r="G48" i="3" s="1"/>
  <c r="M49" i="8" s="1"/>
  <c r="E9" i="3"/>
  <c r="G9" i="3" s="1"/>
  <c r="M10" i="8" s="1"/>
  <c r="E38" i="3"/>
  <c r="E11" i="3"/>
  <c r="G11" i="3" s="1"/>
  <c r="M12" i="8" s="1"/>
  <c r="E52" i="3"/>
  <c r="G52" i="3" s="1"/>
  <c r="M53" i="8" s="1"/>
  <c r="E45" i="3"/>
  <c r="G45" i="3" s="1"/>
  <c r="M46" i="8" s="1"/>
  <c r="G40" i="3"/>
  <c r="M41" i="8" s="1"/>
  <c r="E36" i="3"/>
  <c r="G33" i="3"/>
  <c r="M34" i="8" s="1"/>
  <c r="E29" i="3"/>
  <c r="G29" i="3" s="1"/>
  <c r="M30" i="8" s="1"/>
  <c r="P65" i="1"/>
  <c r="E66" i="8" s="1"/>
  <c r="P61" i="1"/>
  <c r="E62" i="8" s="1"/>
  <c r="P57" i="1"/>
  <c r="E58" i="8" s="1"/>
  <c r="P53" i="1"/>
  <c r="E54" i="8" s="1"/>
  <c r="P49" i="1"/>
  <c r="E50" i="8" s="1"/>
  <c r="P45" i="1"/>
  <c r="E46" i="8" s="1"/>
  <c r="P41" i="1"/>
  <c r="E42" i="8" s="1"/>
  <c r="P37" i="1"/>
  <c r="E38" i="8" s="1"/>
  <c r="P33" i="1"/>
  <c r="E34" i="8" s="1"/>
  <c r="P29" i="1"/>
  <c r="E30" i="8" s="1"/>
  <c r="P25" i="1"/>
  <c r="E26" i="8" s="1"/>
  <c r="P21" i="1"/>
  <c r="E22" i="8" s="1"/>
  <c r="P17" i="1"/>
  <c r="E18" i="8" s="1"/>
  <c r="P13" i="1"/>
  <c r="E14" i="8" s="1"/>
  <c r="P9" i="1"/>
  <c r="E10" i="8" s="1"/>
  <c r="AK42" i="4"/>
  <c r="AA27" i="4"/>
  <c r="G28" i="8" s="1"/>
  <c r="AA7" i="4"/>
  <c r="G8" i="8" s="1"/>
  <c r="AA24" i="4"/>
  <c r="G25" i="8" s="1"/>
  <c r="AA65" i="4"/>
  <c r="G66" i="8" s="1"/>
  <c r="AA38" i="4"/>
  <c r="G39" i="8" s="1"/>
  <c r="AA62" i="4"/>
  <c r="G63" i="8" s="1"/>
  <c r="G47" i="3"/>
  <c r="M48" i="8" s="1"/>
  <c r="G38" i="3"/>
  <c r="M39" i="8" s="1"/>
  <c r="AA55" i="4"/>
  <c r="G56" i="8" s="1"/>
  <c r="AA12" i="4"/>
  <c r="G13" i="8" s="1"/>
  <c r="AK30" i="4"/>
  <c r="E58" i="3"/>
  <c r="G58" i="3" s="1"/>
  <c r="M59" i="8" s="1"/>
  <c r="E49" i="3"/>
  <c r="G49" i="3" s="1"/>
  <c r="M50" i="8" s="1"/>
  <c r="E31" i="3"/>
  <c r="G31" i="3" s="1"/>
  <c r="M32" i="8" s="1"/>
  <c r="E22" i="3"/>
  <c r="G22" i="3" s="1"/>
  <c r="M23" i="8" s="1"/>
  <c r="E61" i="3"/>
  <c r="G61" i="3" s="1"/>
  <c r="M62" i="8" s="1"/>
  <c r="G56" i="3"/>
  <c r="M57" i="8" s="1"/>
  <c r="G50" i="3"/>
  <c r="M51" i="8" s="1"/>
  <c r="G44" i="3"/>
  <c r="M45" i="8" s="1"/>
  <c r="G41" i="3"/>
  <c r="M42" i="8" s="1"/>
  <c r="G30" i="3"/>
  <c r="M31" i="8" s="1"/>
  <c r="G27" i="3"/>
  <c r="M28" i="8" s="1"/>
  <c r="G20" i="3"/>
  <c r="M21" i="8" s="1"/>
  <c r="G10" i="3"/>
  <c r="M11" i="8" s="1"/>
  <c r="AK35" i="4"/>
  <c r="AA15" i="4"/>
  <c r="G16" i="8" s="1"/>
  <c r="AA64" i="4"/>
  <c r="G65" i="8" s="1"/>
  <c r="E19" i="3"/>
  <c r="G19" i="3" s="1"/>
  <c r="M20" i="8" s="1"/>
  <c r="E39" i="3"/>
  <c r="E25" i="3"/>
  <c r="G25" i="3" s="1"/>
  <c r="M26" i="8" s="1"/>
  <c r="E8" i="3"/>
  <c r="G8" i="3" s="1"/>
  <c r="M9" i="8" s="1"/>
  <c r="E18" i="3"/>
  <c r="G18" i="3" s="1"/>
  <c r="M19" i="8" s="1"/>
  <c r="E43" i="3"/>
  <c r="G43" i="3" s="1"/>
  <c r="M44" i="8" s="1"/>
  <c r="E37" i="3"/>
  <c r="G37" i="3" s="1"/>
  <c r="M38" i="8" s="1"/>
  <c r="E26" i="3"/>
  <c r="G26" i="3" s="1"/>
  <c r="M27" i="8" s="1"/>
  <c r="E14" i="3"/>
  <c r="G14" i="3" s="1"/>
  <c r="M15" i="8" s="1"/>
  <c r="E54" i="3"/>
  <c r="G54" i="3" s="1"/>
  <c r="M55" i="8" s="1"/>
  <c r="E59" i="3"/>
  <c r="G59" i="3" s="1"/>
  <c r="M60" i="8" s="1"/>
  <c r="E62" i="3"/>
  <c r="G62" i="3" s="1"/>
  <c r="M63" i="8" s="1"/>
  <c r="E24" i="3"/>
  <c r="G24" i="3" s="1"/>
  <c r="M25" i="8" s="1"/>
  <c r="E7" i="3"/>
  <c r="G7" i="3" s="1"/>
  <c r="M8" i="8" s="1"/>
  <c r="G63" i="3"/>
  <c r="M64" i="8" s="1"/>
  <c r="E60" i="3"/>
  <c r="G60" i="3" s="1"/>
  <c r="M61" i="8" s="1"/>
  <c r="G42" i="3"/>
  <c r="M43" i="8" s="1"/>
  <c r="G39" i="3"/>
  <c r="M40" i="8" s="1"/>
  <c r="G36" i="3"/>
  <c r="M37" i="8" s="1"/>
  <c r="G32" i="3"/>
  <c r="M33" i="8" s="1"/>
  <c r="G21" i="3"/>
  <c r="M22" i="8" s="1"/>
  <c r="G12" i="3"/>
  <c r="M13" i="8" s="1"/>
  <c r="P64" i="1"/>
  <c r="E65" i="8" s="1"/>
  <c r="P60" i="1"/>
  <c r="E61" i="8" s="1"/>
  <c r="P56" i="1"/>
  <c r="E57" i="8" s="1"/>
  <c r="P52" i="1"/>
  <c r="E53" i="8" s="1"/>
  <c r="P48" i="1"/>
  <c r="E49" i="8" s="1"/>
  <c r="P44" i="1"/>
  <c r="E45" i="8" s="1"/>
  <c r="P40" i="1"/>
  <c r="E41" i="8" s="1"/>
  <c r="P36" i="1"/>
  <c r="E37" i="8" s="1"/>
  <c r="P32" i="1"/>
  <c r="E33" i="8" s="1"/>
  <c r="P28" i="1"/>
  <c r="E29" i="8" s="1"/>
  <c r="P24" i="1"/>
  <c r="E25" i="8" s="1"/>
  <c r="P20" i="1"/>
  <c r="E21" i="8" s="1"/>
  <c r="P16" i="1"/>
  <c r="E17" i="8" s="1"/>
  <c r="P12" i="1"/>
  <c r="E13" i="8" s="1"/>
  <c r="P8" i="1"/>
  <c r="E9" i="8" s="1"/>
  <c r="AA26" i="4"/>
  <c r="G27" i="8" s="1"/>
  <c r="AA5" i="4"/>
  <c r="G6" i="8" s="1"/>
  <c r="AA33" i="4"/>
  <c r="G34" i="8" s="1"/>
  <c r="G61" i="4"/>
  <c r="K62" i="8" s="1"/>
  <c r="AA54" i="4"/>
  <c r="G55" i="8" s="1"/>
  <c r="L63" i="3"/>
  <c r="AP57" i="4"/>
  <c r="L49" i="3"/>
  <c r="L41" i="3"/>
  <c r="L29" i="3"/>
  <c r="U21" i="1"/>
  <c r="AP7" i="4"/>
  <c r="L33" i="3"/>
  <c r="L27" i="3"/>
  <c r="G11" i="4"/>
  <c r="K12" i="8" s="1"/>
  <c r="V51" i="4"/>
  <c r="AA51" i="4" s="1"/>
  <c r="G52" i="8" s="1"/>
  <c r="G64" i="4"/>
  <c r="K65" i="8" s="1"/>
  <c r="V47" i="4"/>
  <c r="AA47" i="4" s="1"/>
  <c r="G48" i="8" s="1"/>
  <c r="L15" i="4"/>
  <c r="AF15" i="4" s="1"/>
  <c r="AK15" i="4" s="1"/>
  <c r="G21" i="4"/>
  <c r="K22" i="8" s="1"/>
  <c r="U57" i="1"/>
  <c r="H64" i="1"/>
  <c r="D65" i="8" s="1"/>
  <c r="H62" i="1"/>
  <c r="D63" i="8" s="1"/>
  <c r="H60" i="1"/>
  <c r="D61" i="8" s="1"/>
  <c r="H58" i="1"/>
  <c r="D59" i="8" s="1"/>
  <c r="H56" i="1"/>
  <c r="D57" i="8" s="1"/>
  <c r="H54" i="1"/>
  <c r="D55" i="8" s="1"/>
  <c r="H50" i="1"/>
  <c r="D51" i="8" s="1"/>
  <c r="H48" i="1"/>
  <c r="D49" i="8" s="1"/>
  <c r="H46" i="1"/>
  <c r="D47" i="8" s="1"/>
  <c r="H44" i="1"/>
  <c r="D45" i="8" s="1"/>
  <c r="H42" i="1"/>
  <c r="D43" i="8" s="1"/>
  <c r="H40" i="1"/>
  <c r="D41" i="8" s="1"/>
  <c r="H38" i="1"/>
  <c r="D39" i="8" s="1"/>
  <c r="H36" i="1"/>
  <c r="D37" i="8" s="1"/>
  <c r="H34" i="1"/>
  <c r="D35" i="8" s="1"/>
  <c r="H32" i="1"/>
  <c r="D33" i="8" s="1"/>
  <c r="H30" i="1"/>
  <c r="D31" i="8" s="1"/>
  <c r="H28" i="1"/>
  <c r="D29" i="8" s="1"/>
  <c r="H26" i="1"/>
  <c r="D27" i="8" s="1"/>
  <c r="H24" i="1"/>
  <c r="D25" i="8" s="1"/>
  <c r="H22" i="1"/>
  <c r="D23" i="8" s="1"/>
  <c r="H20" i="1"/>
  <c r="D21" i="8" s="1"/>
  <c r="H18" i="1"/>
  <c r="D19" i="8" s="1"/>
  <c r="H16" i="1"/>
  <c r="D17" i="8" s="1"/>
  <c r="H14" i="1"/>
  <c r="D15" i="8" s="1"/>
  <c r="H12" i="1"/>
  <c r="D13" i="8" s="1"/>
  <c r="H10" i="1"/>
  <c r="D11" i="8" s="1"/>
  <c r="H8" i="1"/>
  <c r="D9" i="8" s="1"/>
  <c r="F6" i="4"/>
  <c r="F50" i="4"/>
  <c r="F34" i="4"/>
  <c r="H6" i="1"/>
  <c r="D7" i="8" s="1"/>
  <c r="L12" i="4"/>
  <c r="AF12" i="4" s="1"/>
  <c r="L45" i="4"/>
  <c r="Q45" i="4" s="1"/>
  <c r="I46" i="8" s="1"/>
  <c r="V35" i="4"/>
  <c r="AA35" i="4" s="1"/>
  <c r="G36" i="8" s="1"/>
  <c r="V56" i="4"/>
  <c r="AA56" i="4" s="1"/>
  <c r="G57" i="8" s="1"/>
  <c r="G45" i="4"/>
  <c r="K46" i="8" s="1"/>
  <c r="G51" i="4"/>
  <c r="K52" i="8" s="1"/>
  <c r="L44" i="4"/>
  <c r="Q44" i="4" s="1"/>
  <c r="I45" i="8" s="1"/>
  <c r="L54" i="4"/>
  <c r="Q54" i="4" s="1"/>
  <c r="I55" i="8" s="1"/>
  <c r="G44" i="4"/>
  <c r="K45" i="8" s="1"/>
  <c r="L37" i="4"/>
  <c r="Q37" i="4" s="1"/>
  <c r="I38" i="8" s="1"/>
  <c r="AF47" i="4"/>
  <c r="AK47" i="4" s="1"/>
  <c r="Q47" i="4"/>
  <c r="I48" i="8" s="1"/>
  <c r="U63" i="1"/>
  <c r="V21" i="4"/>
  <c r="AA21" i="4" s="1"/>
  <c r="G22" i="8" s="1"/>
  <c r="G9" i="4"/>
  <c r="K10" i="8" s="1"/>
  <c r="G60" i="4"/>
  <c r="K61" i="8" s="1"/>
  <c r="G47" i="4"/>
  <c r="K48" i="8" s="1"/>
  <c r="G15" i="4"/>
  <c r="K16" i="8" s="1"/>
  <c r="G22" i="4"/>
  <c r="K23" i="8" s="1"/>
  <c r="L60" i="4"/>
  <c r="AF60" i="4" s="1"/>
  <c r="AK60" i="4" s="1"/>
  <c r="V22" i="4"/>
  <c r="AA22" i="4" s="1"/>
  <c r="G23" i="8" s="1"/>
  <c r="V30" i="4"/>
  <c r="AA30" i="4" s="1"/>
  <c r="G31" i="8" s="1"/>
  <c r="L27" i="4"/>
  <c r="L64" i="4"/>
  <c r="AF64" i="4" s="1"/>
  <c r="AK64" i="4" s="1"/>
  <c r="G58" i="4"/>
  <c r="K59" i="8" s="1"/>
  <c r="V58" i="4"/>
  <c r="AA58" i="4" s="1"/>
  <c r="G59" i="8" s="1"/>
  <c r="L48" i="4"/>
  <c r="Q48" i="4" s="1"/>
  <c r="I49" i="8" s="1"/>
  <c r="G30" i="4"/>
  <c r="K31" i="8" s="1"/>
  <c r="V43" i="4"/>
  <c r="V11" i="4"/>
  <c r="AA11" i="4" s="1"/>
  <c r="G12" i="8" s="1"/>
  <c r="G41" i="4"/>
  <c r="K42" i="8" s="1"/>
  <c r="V41" i="4"/>
  <c r="AA41" i="4" s="1"/>
  <c r="G42" i="8" s="1"/>
  <c r="G13" i="4"/>
  <c r="K14" i="8" s="1"/>
  <c r="G18" i="4"/>
  <c r="K19" i="8" s="1"/>
  <c r="G26" i="4"/>
  <c r="K27" i="8" s="1"/>
  <c r="V13" i="4"/>
  <c r="AA13" i="4" s="1"/>
  <c r="G14" i="8" s="1"/>
  <c r="L7" i="4"/>
  <c r="Q7" i="4" s="1"/>
  <c r="I8" i="8" s="1"/>
  <c r="L55" i="4"/>
  <c r="Q55" i="4" s="1"/>
  <c r="I56" i="8" s="1"/>
  <c r="L31" i="4"/>
  <c r="G43" i="4"/>
  <c r="K44" i="8" s="1"/>
  <c r="G24" i="4"/>
  <c r="K25" i="8" s="1"/>
  <c r="G55" i="4"/>
  <c r="K56" i="8" s="1"/>
  <c r="U27" i="1"/>
  <c r="V31" i="4"/>
  <c r="AA31" i="4" s="1"/>
  <c r="G32" i="8" s="1"/>
  <c r="V39" i="4"/>
  <c r="AA39" i="4" s="1"/>
  <c r="G40" i="8" s="1"/>
  <c r="L18" i="4"/>
  <c r="AF18" i="4" s="1"/>
  <c r="AK18" i="4" s="1"/>
  <c r="AF39" i="4"/>
  <c r="AK39" i="4" s="1"/>
  <c r="L26" i="4"/>
  <c r="AF21" i="4"/>
  <c r="AK21" i="4" s="1"/>
  <c r="AP27" i="4"/>
  <c r="V63" i="4"/>
  <c r="AA63" i="4" s="1"/>
  <c r="G64" i="8" s="1"/>
  <c r="G5" i="4"/>
  <c r="K6" i="8" s="1"/>
  <c r="L33" i="4"/>
  <c r="AF33" i="4" s="1"/>
  <c r="AK33" i="4" s="1"/>
  <c r="L63" i="4"/>
  <c r="AF63" i="4" s="1"/>
  <c r="AK63" i="4" s="1"/>
  <c r="G35" i="4"/>
  <c r="K36" i="8" s="1"/>
  <c r="U29" i="1"/>
  <c r="AP29" i="4"/>
  <c r="V57" i="4"/>
  <c r="AA57" i="4" s="1"/>
  <c r="G58" i="8" s="1"/>
  <c r="U25" i="1"/>
  <c r="AP25" i="4"/>
  <c r="L39" i="3"/>
  <c r="U39" i="1"/>
  <c r="L10" i="4"/>
  <c r="Q10" i="4" s="1"/>
  <c r="I11" i="8" s="1"/>
  <c r="G37" i="4"/>
  <c r="K38" i="8" s="1"/>
  <c r="G29" i="4"/>
  <c r="K30" i="8" s="1"/>
  <c r="U41" i="1"/>
  <c r="L29" i="4"/>
  <c r="G53" i="4"/>
  <c r="K54" i="8" s="1"/>
  <c r="V19" i="4"/>
  <c r="AA19" i="4" s="1"/>
  <c r="G20" i="8" s="1"/>
  <c r="L17" i="4"/>
  <c r="L62" i="4"/>
  <c r="AP41" i="4"/>
  <c r="Q42" i="4"/>
  <c r="I43" i="8" s="1"/>
  <c r="G62" i="4"/>
  <c r="K63" i="8" s="1"/>
  <c r="G17" i="4"/>
  <c r="K18" i="8" s="1"/>
  <c r="G8" i="4"/>
  <c r="K9" i="8" s="1"/>
  <c r="V8" i="4"/>
  <c r="AA8" i="4" s="1"/>
  <c r="G9" i="8" s="1"/>
  <c r="AF8" i="4"/>
  <c r="AK8" i="4" s="1"/>
  <c r="Q13" i="4"/>
  <c r="I14" i="8" s="1"/>
  <c r="AF13" i="4"/>
  <c r="L61" i="3"/>
  <c r="AP61" i="4"/>
  <c r="U61" i="1"/>
  <c r="Q28" i="4"/>
  <c r="I29" i="8" s="1"/>
  <c r="AF28" i="4"/>
  <c r="AK28" i="4" s="1"/>
  <c r="U47" i="1"/>
  <c r="L46" i="4"/>
  <c r="L57" i="3"/>
  <c r="L19" i="4"/>
  <c r="G46" i="4"/>
  <c r="K47" i="8" s="1"/>
  <c r="V28" i="4"/>
  <c r="AA28" i="4" s="1"/>
  <c r="G29" i="8" s="1"/>
  <c r="Q35" i="4"/>
  <c r="I36" i="8" s="1"/>
  <c r="AP47" i="4"/>
  <c r="L14" i="4"/>
  <c r="V10" i="4"/>
  <c r="AA10" i="4" s="1"/>
  <c r="G11" i="8" s="1"/>
  <c r="L47" i="3"/>
  <c r="G57" i="4"/>
  <c r="K58" i="8" s="1"/>
  <c r="G28" i="4"/>
  <c r="K29" i="8" s="1"/>
  <c r="L65" i="4"/>
  <c r="V42" i="4"/>
  <c r="G33" i="4"/>
  <c r="K34" i="8" s="1"/>
  <c r="V50" i="4"/>
  <c r="AA50" i="4" s="1"/>
  <c r="G51" i="8" s="1"/>
  <c r="V34" i="4"/>
  <c r="AA34" i="4" s="1"/>
  <c r="G35" i="8" s="1"/>
  <c r="AF34" i="4"/>
  <c r="AK34" i="4" s="1"/>
  <c r="Q34" i="4"/>
  <c r="I35" i="8" s="1"/>
  <c r="Q16" i="4"/>
  <c r="I17" i="8" s="1"/>
  <c r="AF16" i="4"/>
  <c r="U55" i="1"/>
  <c r="L55" i="3"/>
  <c r="AP55" i="4"/>
  <c r="AF53" i="4"/>
  <c r="AK53" i="4" s="1"/>
  <c r="Q9" i="4"/>
  <c r="I10" i="8" s="1"/>
  <c r="AF9" i="4"/>
  <c r="AK9" i="4" s="1"/>
  <c r="AF41" i="4"/>
  <c r="AK41" i="4" s="1"/>
  <c r="Q41" i="4"/>
  <c r="I42" i="8" s="1"/>
  <c r="L19" i="3"/>
  <c r="AP19" i="4"/>
  <c r="U19" i="1"/>
  <c r="L13" i="3"/>
  <c r="U13" i="1"/>
  <c r="AP13" i="4"/>
  <c r="Q51" i="4"/>
  <c r="I52" i="8" s="1"/>
  <c r="AP63" i="4"/>
  <c r="V53" i="4"/>
  <c r="AA53" i="4" s="1"/>
  <c r="G54" i="8" s="1"/>
  <c r="L24" i="4"/>
  <c r="G34" i="4"/>
  <c r="K35" i="8" s="1"/>
  <c r="G59" i="4"/>
  <c r="K60" i="8" s="1"/>
  <c r="G38" i="4"/>
  <c r="K39" i="8" s="1"/>
  <c r="L6" i="4"/>
  <c r="L38" i="4"/>
  <c r="L25" i="3"/>
  <c r="V59" i="4"/>
  <c r="AA59" i="4" s="1"/>
  <c r="G60" i="8" s="1"/>
  <c r="Q43" i="4"/>
  <c r="I44" i="8" s="1"/>
  <c r="G42" i="4"/>
  <c r="K43" i="8" s="1"/>
  <c r="G16" i="4"/>
  <c r="K17" i="8" s="1"/>
  <c r="G6" i="4"/>
  <c r="K7" i="8" s="1"/>
  <c r="AP39" i="4"/>
  <c r="V9" i="4"/>
  <c r="AA9" i="4" s="1"/>
  <c r="G10" i="8" s="1"/>
  <c r="G50" i="4"/>
  <c r="K51" i="8" s="1"/>
  <c r="G7" i="4"/>
  <c r="K8" i="8" s="1"/>
  <c r="V16" i="4"/>
  <c r="AF50" i="4"/>
  <c r="AK50" i="4" s="1"/>
  <c r="Q50" i="4"/>
  <c r="I51" i="8" s="1"/>
  <c r="U65" i="1"/>
  <c r="L65" i="3"/>
  <c r="AP65" i="4"/>
  <c r="AP31" i="4"/>
  <c r="U31" i="1"/>
  <c r="L31" i="3"/>
  <c r="L15" i="3"/>
  <c r="AP15" i="4"/>
  <c r="U15" i="1"/>
  <c r="L43" i="3"/>
  <c r="U43" i="1"/>
  <c r="AP43" i="4"/>
  <c r="U9" i="1"/>
  <c r="L9" i="3"/>
  <c r="AP9" i="4"/>
  <c r="U23" i="1"/>
  <c r="G32" i="4"/>
  <c r="K33" i="8" s="1"/>
  <c r="L32" i="4"/>
  <c r="V32" i="4"/>
  <c r="AA32" i="4" s="1"/>
  <c r="G33" i="8" s="1"/>
  <c r="V40" i="4"/>
  <c r="AA40" i="4" s="1"/>
  <c r="G41" i="8" s="1"/>
  <c r="G40" i="4"/>
  <c r="K41" i="8" s="1"/>
  <c r="L40" i="4"/>
  <c r="Q57" i="4"/>
  <c r="I58" i="8" s="1"/>
  <c r="AF57" i="4"/>
  <c r="AK57" i="4" s="1"/>
  <c r="Q22" i="4"/>
  <c r="I23" i="8" s="1"/>
  <c r="AF22" i="4"/>
  <c r="AK22" i="4" s="1"/>
  <c r="V52" i="4"/>
  <c r="AA52" i="4" s="1"/>
  <c r="G53" i="8" s="1"/>
  <c r="G52" i="4"/>
  <c r="K53" i="8" s="1"/>
  <c r="L52" i="4"/>
  <c r="L59" i="3"/>
  <c r="U59" i="1"/>
  <c r="AP59" i="4"/>
  <c r="AP53" i="4"/>
  <c r="U53" i="1"/>
  <c r="L53" i="3"/>
  <c r="T44" i="1"/>
  <c r="AP51" i="4"/>
  <c r="U51" i="1"/>
  <c r="L51" i="3"/>
  <c r="U45" i="1"/>
  <c r="L45" i="3"/>
  <c r="AP45" i="4"/>
  <c r="AP37" i="4"/>
  <c r="L37" i="3"/>
  <c r="U37" i="1"/>
  <c r="L11" i="3"/>
  <c r="AP11" i="4"/>
  <c r="U11" i="1"/>
  <c r="AP5" i="4"/>
  <c r="U5" i="1"/>
  <c r="L5" i="3"/>
  <c r="Q49" i="4"/>
  <c r="I50" i="8" s="1"/>
  <c r="AF49" i="4"/>
  <c r="AK49" i="4" s="1"/>
  <c r="Q59" i="4"/>
  <c r="I60" i="8" s="1"/>
  <c r="AF59" i="4"/>
  <c r="AK59" i="4" s="1"/>
  <c r="Q58" i="4"/>
  <c r="I59" i="8" s="1"/>
  <c r="AF58" i="4"/>
  <c r="AK58" i="4" s="1"/>
  <c r="L25" i="4"/>
  <c r="G25" i="4"/>
  <c r="K26" i="8" s="1"/>
  <c r="V25" i="4"/>
  <c r="AA25" i="4" s="1"/>
  <c r="G26" i="8" s="1"/>
  <c r="L61" i="4"/>
  <c r="V61" i="4"/>
  <c r="AA61" i="4" s="1"/>
  <c r="G62" i="8" s="1"/>
  <c r="L36" i="4"/>
  <c r="V36" i="4"/>
  <c r="AA36" i="4" s="1"/>
  <c r="G37" i="8" s="1"/>
  <c r="AP21" i="4"/>
  <c r="L21" i="3"/>
  <c r="U7" i="1"/>
  <c r="L7" i="3"/>
  <c r="Q56" i="4"/>
  <c r="I57" i="8" s="1"/>
  <c r="AF56" i="4"/>
  <c r="AK56" i="4" s="1"/>
  <c r="AP49" i="4"/>
  <c r="U49" i="1"/>
  <c r="AP35" i="4"/>
  <c r="L35" i="3"/>
  <c r="U35" i="1"/>
  <c r="AP33" i="4"/>
  <c r="U33" i="1"/>
  <c r="AF11" i="4"/>
  <c r="AK11" i="4" s="1"/>
  <c r="Q11" i="4"/>
  <c r="I12" i="8" s="1"/>
  <c r="V23" i="4"/>
  <c r="AA23" i="4" s="1"/>
  <c r="G24" i="8" s="1"/>
  <c r="G23" i="4"/>
  <c r="K24" i="8" s="1"/>
  <c r="L23" i="4"/>
  <c r="V49" i="4"/>
  <c r="V20" i="4"/>
  <c r="AA20" i="4" s="1"/>
  <c r="G21" i="8" s="1"/>
  <c r="L20" i="4"/>
  <c r="L23" i="3"/>
  <c r="AP23" i="4"/>
  <c r="L17" i="3"/>
  <c r="AP17" i="4"/>
  <c r="U17" i="1"/>
  <c r="AF5" i="4" l="1"/>
  <c r="AK5" i="4" s="1"/>
  <c r="AA49" i="4"/>
  <c r="G50" i="8" s="1"/>
  <c r="Q27" i="4"/>
  <c r="I28" i="8" s="1"/>
  <c r="AK16" i="4"/>
  <c r="AA42" i="4"/>
  <c r="G43" i="8" s="1"/>
  <c r="AA43" i="4"/>
  <c r="G44" i="8" s="1"/>
  <c r="AK12" i="4"/>
  <c r="AA16" i="4"/>
  <c r="G17" i="8" s="1"/>
  <c r="AK13" i="4"/>
  <c r="U14" i="1"/>
  <c r="I22" i="1"/>
  <c r="I30" i="1"/>
  <c r="L38" i="3"/>
  <c r="L46" i="3"/>
  <c r="L54" i="3"/>
  <c r="U62" i="1"/>
  <c r="L6" i="3"/>
  <c r="I8" i="1"/>
  <c r="I17" i="1"/>
  <c r="U24" i="1"/>
  <c r="L32" i="3"/>
  <c r="I41" i="1"/>
  <c r="AP48" i="4"/>
  <c r="I57" i="1"/>
  <c r="AP64" i="4"/>
  <c r="U10" i="1"/>
  <c r="I19" i="1"/>
  <c r="AP34" i="4"/>
  <c r="I42" i="1"/>
  <c r="I51" i="1"/>
  <c r="I59" i="1"/>
  <c r="I26" i="1"/>
  <c r="I12" i="1"/>
  <c r="L20" i="3"/>
  <c r="AP28" i="4"/>
  <c r="I36" i="1"/>
  <c r="U44" i="1"/>
  <c r="L52" i="3"/>
  <c r="AP60" i="4"/>
  <c r="AP36" i="4"/>
  <c r="I34" i="1"/>
  <c r="I24" i="1"/>
  <c r="I32" i="1"/>
  <c r="Q64" i="4"/>
  <c r="I65" i="8" s="1"/>
  <c r="I63" i="1"/>
  <c r="AP30" i="4"/>
  <c r="U38" i="1"/>
  <c r="L14" i="3"/>
  <c r="I39" i="1"/>
  <c r="I38" i="1"/>
  <c r="Q15" i="4"/>
  <c r="I16" i="8" s="1"/>
  <c r="U48" i="1"/>
  <c r="I56" i="1"/>
  <c r="AP6" i="4"/>
  <c r="AF10" i="4"/>
  <c r="AK10" i="4" s="1"/>
  <c r="L64" i="3"/>
  <c r="U8" i="1"/>
  <c r="U40" i="1"/>
  <c r="R39" i="1" s="1"/>
  <c r="I7" i="1"/>
  <c r="L24" i="3"/>
  <c r="AP24" i="4"/>
  <c r="I40" i="1"/>
  <c r="U32" i="1"/>
  <c r="L48" i="3"/>
  <c r="I64" i="1"/>
  <c r="L8" i="3"/>
  <c r="U56" i="1"/>
  <c r="U6" i="1"/>
  <c r="I6" i="1"/>
  <c r="I25" i="1"/>
  <c r="AP26" i="4"/>
  <c r="L40" i="3"/>
  <c r="I39" i="3" s="1"/>
  <c r="AP40" i="4"/>
  <c r="AL40" i="4" s="1"/>
  <c r="AH40" i="4" s="1"/>
  <c r="I50" i="1"/>
  <c r="I58" i="1"/>
  <c r="L42" i="3"/>
  <c r="I41" i="3" s="1"/>
  <c r="I9" i="1"/>
  <c r="AP32" i="4"/>
  <c r="I49" i="1"/>
  <c r="U64" i="1"/>
  <c r="AP8" i="4"/>
  <c r="I16" i="1"/>
  <c r="AP56" i="4"/>
  <c r="L56" i="3"/>
  <c r="I65" i="1"/>
  <c r="AF48" i="4"/>
  <c r="AK48" i="4" s="1"/>
  <c r="I33" i="1"/>
  <c r="I27" i="1"/>
  <c r="U26" i="1"/>
  <c r="I48" i="1"/>
  <c r="L30" i="3"/>
  <c r="I54" i="1"/>
  <c r="Q12" i="4"/>
  <c r="I13" i="8" s="1"/>
  <c r="AP14" i="4"/>
  <c r="I15" i="1"/>
  <c r="L62" i="3"/>
  <c r="I46" i="1"/>
  <c r="I23" i="1"/>
  <c r="AP62" i="4"/>
  <c r="Q60" i="4"/>
  <c r="I61" i="8" s="1"/>
  <c r="I13" i="1"/>
  <c r="L28" i="3"/>
  <c r="AF27" i="4"/>
  <c r="AK27" i="4" s="1"/>
  <c r="L60" i="3"/>
  <c r="I21" i="1"/>
  <c r="Q18" i="4"/>
  <c r="I19" i="8" s="1"/>
  <c r="L44" i="3"/>
  <c r="AP12" i="4"/>
  <c r="U28" i="1"/>
  <c r="L36" i="3"/>
  <c r="I37" i="1"/>
  <c r="T53" i="1"/>
  <c r="U20" i="1"/>
  <c r="U52" i="1"/>
  <c r="I61" i="1"/>
  <c r="AP44" i="4"/>
  <c r="U12" i="1"/>
  <c r="I28" i="1"/>
  <c r="U36" i="1"/>
  <c r="T45" i="1"/>
  <c r="I53" i="1"/>
  <c r="I20" i="1"/>
  <c r="AP20" i="4"/>
  <c r="U60" i="1"/>
  <c r="AF54" i="4"/>
  <c r="AK54" i="4" s="1"/>
  <c r="AF45" i="4"/>
  <c r="AK45" i="4" s="1"/>
  <c r="L12" i="3"/>
  <c r="I29" i="1"/>
  <c r="I45" i="1"/>
  <c r="I52" i="1"/>
  <c r="I60" i="1"/>
  <c r="I44" i="1"/>
  <c r="AP52" i="4"/>
  <c r="I14" i="1"/>
  <c r="AP38" i="4"/>
  <c r="I55" i="1"/>
  <c r="U46" i="1"/>
  <c r="I62" i="1"/>
  <c r="AF37" i="4"/>
  <c r="AK37" i="4" s="1"/>
  <c r="U30" i="1"/>
  <c r="I31" i="1"/>
  <c r="AF44" i="4"/>
  <c r="AK44" i="4" s="1"/>
  <c r="AP46" i="4"/>
  <c r="I47" i="1"/>
  <c r="AP10" i="4"/>
  <c r="L10" i="3"/>
  <c r="L18" i="3"/>
  <c r="AP18" i="4"/>
  <c r="U18" i="1"/>
  <c r="L26" i="3"/>
  <c r="L34" i="3"/>
  <c r="L50" i="3"/>
  <c r="U58" i="1"/>
  <c r="AP42" i="4"/>
  <c r="AC41" i="4" s="1"/>
  <c r="I43" i="1"/>
  <c r="I35" i="1"/>
  <c r="U50" i="1"/>
  <c r="L58" i="3"/>
  <c r="U42" i="1"/>
  <c r="R41" i="1" s="1"/>
  <c r="R42" i="1" s="1"/>
  <c r="U22" i="1"/>
  <c r="L22" i="3"/>
  <c r="AP22" i="4"/>
  <c r="U54" i="1"/>
  <c r="AP54" i="4"/>
  <c r="I11" i="1"/>
  <c r="U34" i="1"/>
  <c r="AP50" i="4"/>
  <c r="AP58" i="4"/>
  <c r="I10" i="1"/>
  <c r="I18" i="1"/>
  <c r="U16" i="1"/>
  <c r="L16" i="3"/>
  <c r="AP16" i="4"/>
  <c r="AF7" i="4"/>
  <c r="AK7" i="4" s="1"/>
  <c r="Q33" i="4"/>
  <c r="I34" i="8" s="1"/>
  <c r="AF26" i="4"/>
  <c r="AK26" i="4" s="1"/>
  <c r="Q26" i="4"/>
  <c r="I27" i="8" s="1"/>
  <c r="AF55" i="4"/>
  <c r="AK55" i="4" s="1"/>
  <c r="AF31" i="4"/>
  <c r="AK31" i="4" s="1"/>
  <c r="Q31" i="4"/>
  <c r="I32" i="8" s="1"/>
  <c r="Q63" i="4"/>
  <c r="I64" i="8" s="1"/>
  <c r="Q62" i="4"/>
  <c r="I63" i="8" s="1"/>
  <c r="AF62" i="4"/>
  <c r="AK62" i="4" s="1"/>
  <c r="Q29" i="4"/>
  <c r="I30" i="8" s="1"/>
  <c r="AF29" i="4"/>
  <c r="AK29" i="4" s="1"/>
  <c r="Q17" i="4"/>
  <c r="I18" i="8" s="1"/>
  <c r="AF17" i="4"/>
  <c r="AK17" i="4" s="1"/>
  <c r="Q65" i="4"/>
  <c r="I66" i="8" s="1"/>
  <c r="AF65" i="4"/>
  <c r="AK65" i="4" s="1"/>
  <c r="Q19" i="4"/>
  <c r="I20" i="8" s="1"/>
  <c r="AF19" i="4"/>
  <c r="AK19" i="4" s="1"/>
  <c r="AF14" i="4"/>
  <c r="AK14" i="4" s="1"/>
  <c r="Q14" i="4"/>
  <c r="I15" i="8" s="1"/>
  <c r="AF46" i="4"/>
  <c r="AK46" i="4" s="1"/>
  <c r="Q46" i="4"/>
  <c r="I47" i="8" s="1"/>
  <c r="Q24" i="4"/>
  <c r="I25" i="8" s="1"/>
  <c r="AF24" i="4"/>
  <c r="AK24" i="4" s="1"/>
  <c r="Q38" i="4"/>
  <c r="I39" i="8" s="1"/>
  <c r="AF38" i="4"/>
  <c r="AK38" i="4" s="1"/>
  <c r="AF6" i="4"/>
  <c r="AK6" i="4" s="1"/>
  <c r="Q6" i="4"/>
  <c r="I7" i="8" s="1"/>
  <c r="AF61" i="4"/>
  <c r="AK61" i="4" s="1"/>
  <c r="Q61" i="4"/>
  <c r="I62" i="8" s="1"/>
  <c r="Q20" i="4"/>
  <c r="I21" i="8" s="1"/>
  <c r="AF20" i="4"/>
  <c r="AK20" i="4" s="1"/>
  <c r="AF40" i="4"/>
  <c r="AK40" i="4" s="1"/>
  <c r="Q40" i="4"/>
  <c r="I41" i="8" s="1"/>
  <c r="Q32" i="4"/>
  <c r="I33" i="8" s="1"/>
  <c r="AF32" i="4"/>
  <c r="AK32" i="4" s="1"/>
  <c r="Q23" i="4"/>
  <c r="I24" i="8" s="1"/>
  <c r="AF23" i="4"/>
  <c r="AK23" i="4" s="1"/>
  <c r="Q36" i="4"/>
  <c r="I37" i="8" s="1"/>
  <c r="AF36" i="4"/>
  <c r="AK36" i="4" s="1"/>
  <c r="AF25" i="4"/>
  <c r="AK25" i="4" s="1"/>
  <c r="Q25" i="4"/>
  <c r="I26" i="8" s="1"/>
  <c r="AF52" i="4"/>
  <c r="AK52" i="4" s="1"/>
  <c r="Q52" i="4"/>
  <c r="I53" i="8" s="1"/>
  <c r="R43" i="1" l="1"/>
  <c r="Q43" i="1" s="1"/>
  <c r="F44" i="8" s="1"/>
  <c r="I42" i="3"/>
  <c r="H42" i="3" s="1"/>
  <c r="I38" i="3"/>
  <c r="I37" i="3" s="1"/>
  <c r="I41" i="4"/>
  <c r="I42" i="4" s="1"/>
  <c r="Q40" i="1"/>
  <c r="S39" i="4"/>
  <c r="R39" i="4" s="1"/>
  <c r="H41" i="3"/>
  <c r="AM41" i="4"/>
  <c r="AL41" i="4" s="1"/>
  <c r="AH41" i="4" s="1"/>
  <c r="AG41" i="4" s="1"/>
  <c r="AC39" i="4"/>
  <c r="AB39" i="4" s="1"/>
  <c r="R40" i="4"/>
  <c r="H40" i="4"/>
  <c r="I39" i="4"/>
  <c r="I38" i="4" s="1"/>
  <c r="H40" i="3"/>
  <c r="AB40" i="4"/>
  <c r="AM39" i="4"/>
  <c r="AL39" i="4" s="1"/>
  <c r="AH39" i="4" s="1"/>
  <c r="AG39" i="4" s="1"/>
  <c r="AG40" i="4"/>
  <c r="H39" i="3"/>
  <c r="I66" i="1"/>
  <c r="S41" i="4"/>
  <c r="S42" i="4" s="1"/>
  <c r="Q41" i="1"/>
  <c r="Q42" i="1"/>
  <c r="AC42" i="4"/>
  <c r="AB41" i="4"/>
  <c r="Q39" i="1"/>
  <c r="R38" i="1"/>
  <c r="R44" i="1" l="1"/>
  <c r="R45" i="1" s="1"/>
  <c r="Q45" i="1" s="1"/>
  <c r="M43" i="1"/>
  <c r="L43" i="1" s="1"/>
  <c r="D42" i="3"/>
  <c r="C42" i="3" s="1"/>
  <c r="N43" i="8"/>
  <c r="D41" i="3"/>
  <c r="C41" i="3" s="1"/>
  <c r="N42" i="8"/>
  <c r="D39" i="3"/>
  <c r="C39" i="3" s="1"/>
  <c r="N40" i="8"/>
  <c r="D40" i="3"/>
  <c r="C40" i="3" s="1"/>
  <c r="N41" i="8"/>
  <c r="H38" i="3"/>
  <c r="I43" i="3"/>
  <c r="X41" i="4"/>
  <c r="W41" i="4" s="1"/>
  <c r="H42" i="8"/>
  <c r="X39" i="4"/>
  <c r="W39" i="4" s="1"/>
  <c r="H40" i="8"/>
  <c r="M39" i="1"/>
  <c r="L39" i="1" s="1"/>
  <c r="F40" i="8"/>
  <c r="M41" i="1"/>
  <c r="L41" i="1" s="1"/>
  <c r="F42" i="8"/>
  <c r="M40" i="1"/>
  <c r="L40" i="1" s="1"/>
  <c r="F41" i="8"/>
  <c r="M42" i="1"/>
  <c r="L42" i="1" s="1"/>
  <c r="F43" i="8"/>
  <c r="D40" i="4"/>
  <c r="C40" i="4" s="1"/>
  <c r="L41" i="8"/>
  <c r="X40" i="4"/>
  <c r="W40" i="4" s="1"/>
  <c r="H41" i="8"/>
  <c r="N40" i="4"/>
  <c r="M40" i="4" s="1"/>
  <c r="J41" i="8"/>
  <c r="N39" i="4"/>
  <c r="M39" i="4" s="1"/>
  <c r="J40" i="8"/>
  <c r="S38" i="4"/>
  <c r="S37" i="4" s="1"/>
  <c r="H41" i="4"/>
  <c r="L42" i="8" s="1"/>
  <c r="AC38" i="4"/>
  <c r="AC37" i="4" s="1"/>
  <c r="H39" i="4"/>
  <c r="C67" i="7"/>
  <c r="AM42" i="4"/>
  <c r="AL42" i="4" s="1"/>
  <c r="AH42" i="4" s="1"/>
  <c r="AG42" i="4" s="1"/>
  <c r="AM38" i="4"/>
  <c r="AM37" i="4" s="1"/>
  <c r="R41" i="4"/>
  <c r="Q44" i="1"/>
  <c r="R42" i="4"/>
  <c r="S43" i="4"/>
  <c r="AB42" i="4"/>
  <c r="AC43" i="4"/>
  <c r="H42" i="4"/>
  <c r="L43" i="8" s="1"/>
  <c r="I43" i="4"/>
  <c r="I37" i="4"/>
  <c r="H38" i="4"/>
  <c r="L39" i="8" s="1"/>
  <c r="R46" i="1"/>
  <c r="R37" i="1"/>
  <c r="Q38" i="1"/>
  <c r="F39" i="8" s="1"/>
  <c r="I36" i="3"/>
  <c r="H37" i="3"/>
  <c r="D37" i="3" l="1"/>
  <c r="C37" i="3" s="1"/>
  <c r="N38" i="8"/>
  <c r="D38" i="3"/>
  <c r="C38" i="3" s="1"/>
  <c r="N39" i="8"/>
  <c r="H43" i="3"/>
  <c r="I44" i="3"/>
  <c r="D41" i="4"/>
  <c r="C41" i="4" s="1"/>
  <c r="AB38" i="4"/>
  <c r="H39" i="8" s="1"/>
  <c r="R38" i="4"/>
  <c r="N38" i="4" s="1"/>
  <c r="M38" i="4" s="1"/>
  <c r="M44" i="1"/>
  <c r="L44" i="1" s="1"/>
  <c r="F45" i="8"/>
  <c r="C68" i="7"/>
  <c r="N41" i="4"/>
  <c r="M41" i="4" s="1"/>
  <c r="J42" i="8"/>
  <c r="D39" i="4"/>
  <c r="C39" i="4" s="1"/>
  <c r="L40" i="8"/>
  <c r="M38" i="1"/>
  <c r="L38" i="1" s="1"/>
  <c r="M45" i="1"/>
  <c r="L45" i="1" s="1"/>
  <c r="F46" i="8"/>
  <c r="X42" i="4"/>
  <c r="W42" i="4" s="1"/>
  <c r="H43" i="8"/>
  <c r="N42" i="4"/>
  <c r="M42" i="4" s="1"/>
  <c r="J43" i="8"/>
  <c r="C66" i="7"/>
  <c r="AM43" i="4"/>
  <c r="AM44" i="4" s="1"/>
  <c r="AM45" i="4" s="1"/>
  <c r="AL38" i="4"/>
  <c r="AH38" i="4" s="1"/>
  <c r="AG38" i="4" s="1"/>
  <c r="I44" i="4"/>
  <c r="H43" i="4"/>
  <c r="L44" i="8" s="1"/>
  <c r="AC44" i="4"/>
  <c r="AB43" i="4"/>
  <c r="R43" i="4"/>
  <c r="S44" i="4"/>
  <c r="D42" i="4"/>
  <c r="C42" i="4" s="1"/>
  <c r="C69" i="7"/>
  <c r="D38" i="4"/>
  <c r="C38" i="4" s="1"/>
  <c r="C65" i="7"/>
  <c r="I35" i="3"/>
  <c r="H36" i="3"/>
  <c r="S36" i="4"/>
  <c r="R37" i="4"/>
  <c r="AM36" i="4"/>
  <c r="AL37" i="4"/>
  <c r="AH37" i="4" s="1"/>
  <c r="AG37" i="4" s="1"/>
  <c r="I36" i="4"/>
  <c r="H37" i="4"/>
  <c r="L38" i="8" s="1"/>
  <c r="R36" i="1"/>
  <c r="Q37" i="1"/>
  <c r="R47" i="1"/>
  <c r="Q46" i="1"/>
  <c r="AC36" i="4"/>
  <c r="AB37" i="4"/>
  <c r="D36" i="3" l="1"/>
  <c r="C36" i="3" s="1"/>
  <c r="N37" i="8"/>
  <c r="D43" i="3"/>
  <c r="C43" i="3" s="1"/>
  <c r="N44" i="8"/>
  <c r="X38" i="4"/>
  <c r="W38" i="4" s="1"/>
  <c r="I45" i="3"/>
  <c r="H44" i="3"/>
  <c r="J39" i="8"/>
  <c r="N43" i="4"/>
  <c r="M43" i="4" s="1"/>
  <c r="J44" i="8"/>
  <c r="X37" i="4"/>
  <c r="W37" i="4" s="1"/>
  <c r="H38" i="8"/>
  <c r="M37" i="1"/>
  <c r="L37" i="1" s="1"/>
  <c r="F38" i="8"/>
  <c r="N37" i="4"/>
  <c r="M37" i="4" s="1"/>
  <c r="J38" i="8"/>
  <c r="M46" i="1"/>
  <c r="L46" i="1" s="1"/>
  <c r="F47" i="8"/>
  <c r="X43" i="4"/>
  <c r="W43" i="4" s="1"/>
  <c r="H44" i="8"/>
  <c r="AL44" i="4"/>
  <c r="AH44" i="4" s="1"/>
  <c r="AG44" i="4" s="1"/>
  <c r="AL43" i="4"/>
  <c r="AH43" i="4" s="1"/>
  <c r="AG43" i="4" s="1"/>
  <c r="AC45" i="4"/>
  <c r="AB44" i="4"/>
  <c r="S45" i="4"/>
  <c r="R44" i="4"/>
  <c r="C70" i="7"/>
  <c r="D43" i="4"/>
  <c r="C43" i="4" s="1"/>
  <c r="I45" i="4"/>
  <c r="H44" i="4"/>
  <c r="L45" i="8" s="1"/>
  <c r="D37" i="4"/>
  <c r="C37" i="4" s="1"/>
  <c r="C64" i="7"/>
  <c r="R48" i="1"/>
  <c r="Q47" i="1"/>
  <c r="AM46" i="4"/>
  <c r="AL45" i="4"/>
  <c r="AH45" i="4" s="1"/>
  <c r="AG45" i="4" s="1"/>
  <c r="I35" i="4"/>
  <c r="H36" i="4"/>
  <c r="L37" i="8" s="1"/>
  <c r="AM35" i="4"/>
  <c r="AL36" i="4"/>
  <c r="AH36" i="4" s="1"/>
  <c r="AG36" i="4" s="1"/>
  <c r="S35" i="4"/>
  <c r="R36" i="4"/>
  <c r="AC35" i="4"/>
  <c r="AB36" i="4"/>
  <c r="R35" i="1"/>
  <c r="Q36" i="1"/>
  <c r="I34" i="3"/>
  <c r="H35" i="3"/>
  <c r="D35" i="3" l="1"/>
  <c r="C35" i="3" s="1"/>
  <c r="N36" i="8"/>
  <c r="D44" i="3"/>
  <c r="C44" i="3" s="1"/>
  <c r="N45" i="8"/>
  <c r="H45" i="3"/>
  <c r="I46" i="3"/>
  <c r="X36" i="4"/>
  <c r="W36" i="4" s="1"/>
  <c r="H37" i="8"/>
  <c r="X44" i="4"/>
  <c r="W44" i="4" s="1"/>
  <c r="H45" i="8"/>
  <c r="M36" i="1"/>
  <c r="L36" i="1" s="1"/>
  <c r="F37" i="8"/>
  <c r="N36" i="4"/>
  <c r="M36" i="4" s="1"/>
  <c r="J37" i="8"/>
  <c r="M47" i="1"/>
  <c r="L47" i="1" s="1"/>
  <c r="F48" i="8"/>
  <c r="N44" i="4"/>
  <c r="M44" i="4" s="1"/>
  <c r="J45" i="8"/>
  <c r="D44" i="4"/>
  <c r="C44" i="4" s="1"/>
  <c r="C71" i="7"/>
  <c r="I46" i="4"/>
  <c r="H45" i="4"/>
  <c r="L46" i="8" s="1"/>
  <c r="R45" i="4"/>
  <c r="S46" i="4"/>
  <c r="AC46" i="4"/>
  <c r="AB45" i="4"/>
  <c r="C63" i="7"/>
  <c r="D36" i="4"/>
  <c r="C36" i="4" s="1"/>
  <c r="S34" i="4"/>
  <c r="R35" i="4"/>
  <c r="R49" i="1"/>
  <c r="Q48" i="1"/>
  <c r="I33" i="3"/>
  <c r="H34" i="3"/>
  <c r="R34" i="1"/>
  <c r="Q35" i="1"/>
  <c r="I34" i="4"/>
  <c r="H35" i="4"/>
  <c r="L36" i="8" s="1"/>
  <c r="AC34" i="4"/>
  <c r="AB35" i="4"/>
  <c r="AM34" i="4"/>
  <c r="AL35" i="4"/>
  <c r="AH35" i="4" s="1"/>
  <c r="AG35" i="4" s="1"/>
  <c r="AM47" i="4"/>
  <c r="AL46" i="4"/>
  <c r="AH46" i="4" s="1"/>
  <c r="AG46" i="4" s="1"/>
  <c r="D45" i="3" l="1"/>
  <c r="C45" i="3" s="1"/>
  <c r="N46" i="8"/>
  <c r="D34" i="3"/>
  <c r="C34" i="3" s="1"/>
  <c r="N35" i="8"/>
  <c r="I47" i="3"/>
  <c r="H46" i="3"/>
  <c r="N35" i="4"/>
  <c r="M35" i="4" s="1"/>
  <c r="J36" i="8"/>
  <c r="X45" i="4"/>
  <c r="W45" i="4" s="1"/>
  <c r="H46" i="8"/>
  <c r="X35" i="4"/>
  <c r="W35" i="4" s="1"/>
  <c r="H36" i="8"/>
  <c r="M35" i="1"/>
  <c r="L35" i="1" s="1"/>
  <c r="F36" i="8"/>
  <c r="M48" i="1"/>
  <c r="L48" i="1" s="1"/>
  <c r="F49" i="8"/>
  <c r="N45" i="4"/>
  <c r="M45" i="4" s="1"/>
  <c r="J46" i="8"/>
  <c r="C72" i="7"/>
  <c r="D45" i="4"/>
  <c r="C45" i="4" s="1"/>
  <c r="AB46" i="4"/>
  <c r="AC47" i="4"/>
  <c r="I47" i="4"/>
  <c r="H46" i="4"/>
  <c r="L47" i="8" s="1"/>
  <c r="R46" i="4"/>
  <c r="S47" i="4"/>
  <c r="AL47" i="4"/>
  <c r="AH47" i="4" s="1"/>
  <c r="AG47" i="4" s="1"/>
  <c r="AM48" i="4"/>
  <c r="R33" i="1"/>
  <c r="Q34" i="1"/>
  <c r="S33" i="4"/>
  <c r="R34" i="4"/>
  <c r="AC33" i="4"/>
  <c r="AB34" i="4"/>
  <c r="D35" i="4"/>
  <c r="C35" i="4" s="1"/>
  <c r="C62" i="7"/>
  <c r="AM33" i="4"/>
  <c r="AL34" i="4"/>
  <c r="AH34" i="4" s="1"/>
  <c r="AG34" i="4" s="1"/>
  <c r="I33" i="4"/>
  <c r="H34" i="4"/>
  <c r="L35" i="8" s="1"/>
  <c r="I32" i="3"/>
  <c r="H33" i="3"/>
  <c r="R50" i="1"/>
  <c r="Q49" i="1"/>
  <c r="D46" i="3" l="1"/>
  <c r="C46" i="3" s="1"/>
  <c r="N47" i="8"/>
  <c r="D33" i="3"/>
  <c r="C33" i="3" s="1"/>
  <c r="N34" i="8"/>
  <c r="I48" i="3"/>
  <c r="H47" i="3"/>
  <c r="N46" i="4"/>
  <c r="M46" i="4" s="1"/>
  <c r="J47" i="8"/>
  <c r="X46" i="4"/>
  <c r="W46" i="4" s="1"/>
  <c r="H47" i="8"/>
  <c r="M49" i="1"/>
  <c r="L49" i="1" s="1"/>
  <c r="F50" i="8"/>
  <c r="N34" i="4"/>
  <c r="M34" i="4" s="1"/>
  <c r="J35" i="8"/>
  <c r="X34" i="4"/>
  <c r="W34" i="4" s="1"/>
  <c r="H35" i="8"/>
  <c r="M34" i="1"/>
  <c r="L34" i="1" s="1"/>
  <c r="F35" i="8"/>
  <c r="S48" i="4"/>
  <c r="R47" i="4"/>
  <c r="AB47" i="4"/>
  <c r="AC48" i="4"/>
  <c r="D46" i="4"/>
  <c r="C46" i="4" s="1"/>
  <c r="C73" i="7"/>
  <c r="I48" i="4"/>
  <c r="H47" i="4"/>
  <c r="L48" i="8" s="1"/>
  <c r="C61" i="7"/>
  <c r="D34" i="4"/>
  <c r="C34" i="4" s="1"/>
  <c r="AM49" i="4"/>
  <c r="AL48" i="4"/>
  <c r="AH48" i="4" s="1"/>
  <c r="AG48" i="4" s="1"/>
  <c r="R51" i="1"/>
  <c r="Q50" i="1"/>
  <c r="AM32" i="4"/>
  <c r="AL33" i="4"/>
  <c r="AH33" i="4" s="1"/>
  <c r="AG33" i="4" s="1"/>
  <c r="I32" i="4"/>
  <c r="H33" i="4"/>
  <c r="L34" i="8" s="1"/>
  <c r="S32" i="4"/>
  <c r="R33" i="4"/>
  <c r="H32" i="3"/>
  <c r="I31" i="3"/>
  <c r="AC32" i="4"/>
  <c r="AB33" i="4"/>
  <c r="R32" i="1"/>
  <c r="Q33" i="1"/>
  <c r="D47" i="3" l="1"/>
  <c r="C47" i="3" s="1"/>
  <c r="N48" i="8"/>
  <c r="D32" i="3"/>
  <c r="C32" i="3" s="1"/>
  <c r="N33" i="8"/>
  <c r="H48" i="3"/>
  <c r="I49" i="3"/>
  <c r="X33" i="4"/>
  <c r="W33" i="4" s="1"/>
  <c r="H34" i="8"/>
  <c r="X47" i="4"/>
  <c r="W47" i="4" s="1"/>
  <c r="H48" i="8"/>
  <c r="N33" i="4"/>
  <c r="M33" i="4" s="1"/>
  <c r="J34" i="8"/>
  <c r="M33" i="1"/>
  <c r="L33" i="1" s="1"/>
  <c r="F34" i="8"/>
  <c r="M50" i="1"/>
  <c r="L50" i="1" s="1"/>
  <c r="F51" i="8"/>
  <c r="N47" i="4"/>
  <c r="M47" i="4" s="1"/>
  <c r="J48" i="8"/>
  <c r="D47" i="4"/>
  <c r="C47" i="4" s="1"/>
  <c r="C74" i="7"/>
  <c r="AC49" i="4"/>
  <c r="AB48" i="4"/>
  <c r="I49" i="4"/>
  <c r="H48" i="4"/>
  <c r="L49" i="8" s="1"/>
  <c r="S49" i="4"/>
  <c r="R48" i="4"/>
  <c r="H31" i="3"/>
  <c r="I30" i="3"/>
  <c r="C60" i="7"/>
  <c r="D33" i="4"/>
  <c r="C33" i="4" s="1"/>
  <c r="AB32" i="4"/>
  <c r="AC31" i="4"/>
  <c r="I31" i="4"/>
  <c r="H32" i="4"/>
  <c r="L33" i="8" s="1"/>
  <c r="AM50" i="4"/>
  <c r="AL49" i="4"/>
  <c r="AH49" i="4" s="1"/>
  <c r="AG49" i="4" s="1"/>
  <c r="AM31" i="4"/>
  <c r="AL32" i="4"/>
  <c r="AH32" i="4" s="1"/>
  <c r="AG32" i="4" s="1"/>
  <c r="Q32" i="1"/>
  <c r="R31" i="1"/>
  <c r="S31" i="4"/>
  <c r="R32" i="4"/>
  <c r="R52" i="1"/>
  <c r="Q51" i="1"/>
  <c r="D31" i="3" l="1"/>
  <c r="C31" i="3" s="1"/>
  <c r="N32" i="8"/>
  <c r="D48" i="3"/>
  <c r="C48" i="3" s="1"/>
  <c r="N49" i="8"/>
  <c r="H49" i="3"/>
  <c r="I50" i="3"/>
  <c r="N48" i="4"/>
  <c r="M48" i="4" s="1"/>
  <c r="J49" i="8"/>
  <c r="N32" i="4"/>
  <c r="M32" i="4" s="1"/>
  <c r="J33" i="8"/>
  <c r="M51" i="1"/>
  <c r="L51" i="1" s="1"/>
  <c r="F52" i="8"/>
  <c r="X48" i="4"/>
  <c r="W48" i="4" s="1"/>
  <c r="H49" i="8"/>
  <c r="M32" i="1"/>
  <c r="L32" i="1" s="1"/>
  <c r="F33" i="8"/>
  <c r="X32" i="4"/>
  <c r="W32" i="4" s="1"/>
  <c r="H33" i="8"/>
  <c r="S50" i="4"/>
  <c r="R49" i="4"/>
  <c r="AC50" i="4"/>
  <c r="AB49" i="4"/>
  <c r="C75" i="7"/>
  <c r="D48" i="4"/>
  <c r="C48" i="4" s="1"/>
  <c r="I50" i="4"/>
  <c r="H49" i="4"/>
  <c r="L50" i="8" s="1"/>
  <c r="D32" i="4"/>
  <c r="C32" i="4" s="1"/>
  <c r="C59" i="7"/>
  <c r="AM30" i="4"/>
  <c r="AL31" i="4"/>
  <c r="AH31" i="4" s="1"/>
  <c r="AG31" i="4" s="1"/>
  <c r="S30" i="4"/>
  <c r="R31" i="4"/>
  <c r="AC30" i="4"/>
  <c r="AB31" i="4"/>
  <c r="I29" i="3"/>
  <c r="H30" i="3"/>
  <c r="R53" i="1"/>
  <c r="Q52" i="1"/>
  <c r="I30" i="4"/>
  <c r="H31" i="4"/>
  <c r="L32" i="8" s="1"/>
  <c r="R30" i="1"/>
  <c r="Q31" i="1"/>
  <c r="AM51" i="4"/>
  <c r="AL50" i="4"/>
  <c r="AH50" i="4" s="1"/>
  <c r="AG50" i="4" s="1"/>
  <c r="D30" i="3" l="1"/>
  <c r="C30" i="3" s="1"/>
  <c r="N31" i="8"/>
  <c r="D49" i="3"/>
  <c r="C49" i="3" s="1"/>
  <c r="N50" i="8"/>
  <c r="I51" i="3"/>
  <c r="H50" i="3"/>
  <c r="M31" i="1"/>
  <c r="L31" i="1" s="1"/>
  <c r="F32" i="8"/>
  <c r="X31" i="4"/>
  <c r="W31" i="4" s="1"/>
  <c r="H32" i="8"/>
  <c r="X49" i="4"/>
  <c r="W49" i="4" s="1"/>
  <c r="H50" i="8"/>
  <c r="N49" i="4"/>
  <c r="M49" i="4" s="1"/>
  <c r="J50" i="8"/>
  <c r="M52" i="1"/>
  <c r="L52" i="1" s="1"/>
  <c r="F53" i="8"/>
  <c r="N31" i="4"/>
  <c r="M31" i="4" s="1"/>
  <c r="J32" i="8"/>
  <c r="D49" i="4"/>
  <c r="C49" i="4" s="1"/>
  <c r="C76" i="7"/>
  <c r="AC51" i="4"/>
  <c r="AB50" i="4"/>
  <c r="I51" i="4"/>
  <c r="H50" i="4"/>
  <c r="L51" i="8" s="1"/>
  <c r="S51" i="4"/>
  <c r="R50" i="4"/>
  <c r="I29" i="4"/>
  <c r="H30" i="4"/>
  <c r="L31" i="8" s="1"/>
  <c r="AM29" i="4"/>
  <c r="AL30" i="4"/>
  <c r="AH30" i="4" s="1"/>
  <c r="AG30" i="4" s="1"/>
  <c r="C58" i="7"/>
  <c r="D31" i="4"/>
  <c r="C31" i="4" s="1"/>
  <c r="AM52" i="4"/>
  <c r="AL51" i="4"/>
  <c r="AH51" i="4" s="1"/>
  <c r="AG51" i="4" s="1"/>
  <c r="R54" i="1"/>
  <c r="Q53" i="1"/>
  <c r="Q30" i="1"/>
  <c r="R29" i="1"/>
  <c r="AC29" i="4"/>
  <c r="AB30" i="4"/>
  <c r="H29" i="3"/>
  <c r="I28" i="3"/>
  <c r="S29" i="4"/>
  <c r="R30" i="4"/>
  <c r="D50" i="3" l="1"/>
  <c r="C50" i="3" s="1"/>
  <c r="N51" i="8"/>
  <c r="D29" i="3"/>
  <c r="C29" i="3" s="1"/>
  <c r="N30" i="8"/>
  <c r="H51" i="3"/>
  <c r="I52" i="3"/>
  <c r="N30" i="4"/>
  <c r="M30" i="4" s="1"/>
  <c r="J31" i="8"/>
  <c r="X50" i="4"/>
  <c r="W50" i="4" s="1"/>
  <c r="H51" i="8"/>
  <c r="M30" i="1"/>
  <c r="L30" i="1" s="1"/>
  <c r="F31" i="8"/>
  <c r="X30" i="4"/>
  <c r="W30" i="4" s="1"/>
  <c r="H31" i="8"/>
  <c r="N50" i="4"/>
  <c r="M50" i="4" s="1"/>
  <c r="J51" i="8"/>
  <c r="M53" i="1"/>
  <c r="L53" i="1" s="1"/>
  <c r="F54" i="8"/>
  <c r="AC52" i="4"/>
  <c r="AB51" i="4"/>
  <c r="C77" i="7"/>
  <c r="D50" i="4"/>
  <c r="C50" i="4" s="1"/>
  <c r="S52" i="4"/>
  <c r="R51" i="4"/>
  <c r="I52" i="4"/>
  <c r="H51" i="4"/>
  <c r="L52" i="8" s="1"/>
  <c r="R28" i="1"/>
  <c r="Q29" i="1"/>
  <c r="S28" i="4"/>
  <c r="R29" i="4"/>
  <c r="C57" i="7"/>
  <c r="D30" i="4"/>
  <c r="C30" i="4" s="1"/>
  <c r="AL52" i="4"/>
  <c r="AH52" i="4" s="1"/>
  <c r="AG52" i="4" s="1"/>
  <c r="AM53" i="4"/>
  <c r="AM28" i="4"/>
  <c r="AL29" i="4"/>
  <c r="AH29" i="4" s="1"/>
  <c r="AG29" i="4" s="1"/>
  <c r="I27" i="3"/>
  <c r="H28" i="3"/>
  <c r="AC28" i="4"/>
  <c r="AB29" i="4"/>
  <c r="R55" i="1"/>
  <c r="Q54" i="1"/>
  <c r="I28" i="4"/>
  <c r="H29" i="4"/>
  <c r="L30" i="8" s="1"/>
  <c r="D28" i="3" l="1"/>
  <c r="C28" i="3" s="1"/>
  <c r="N29" i="8"/>
  <c r="D51" i="3"/>
  <c r="C51" i="3" s="1"/>
  <c r="N52" i="8"/>
  <c r="I53" i="3"/>
  <c r="H52" i="3"/>
  <c r="X29" i="4"/>
  <c r="W29" i="4" s="1"/>
  <c r="H30" i="8"/>
  <c r="N29" i="4"/>
  <c r="M29" i="4" s="1"/>
  <c r="J30" i="8"/>
  <c r="M29" i="1"/>
  <c r="L29" i="1" s="1"/>
  <c r="F30" i="8"/>
  <c r="N51" i="4"/>
  <c r="M51" i="4" s="1"/>
  <c r="J52" i="8"/>
  <c r="X51" i="4"/>
  <c r="W51" i="4" s="1"/>
  <c r="H52" i="8"/>
  <c r="M54" i="1"/>
  <c r="L54" i="1" s="1"/>
  <c r="F55" i="8"/>
  <c r="C78" i="7"/>
  <c r="D51" i="4"/>
  <c r="C51" i="4" s="1"/>
  <c r="I53" i="4"/>
  <c r="H52" i="4"/>
  <c r="L53" i="8" s="1"/>
  <c r="S53" i="4"/>
  <c r="R52" i="4"/>
  <c r="AC53" i="4"/>
  <c r="AB52" i="4"/>
  <c r="AM54" i="4"/>
  <c r="AL53" i="4"/>
  <c r="AH53" i="4" s="1"/>
  <c r="AG53" i="4" s="1"/>
  <c r="AC27" i="4"/>
  <c r="AB28" i="4"/>
  <c r="D29" i="4"/>
  <c r="C29" i="4" s="1"/>
  <c r="C56" i="7"/>
  <c r="I26" i="3"/>
  <c r="H27" i="3"/>
  <c r="I27" i="4"/>
  <c r="H28" i="4"/>
  <c r="L29" i="8" s="1"/>
  <c r="S27" i="4"/>
  <c r="R28" i="4"/>
  <c r="R56" i="1"/>
  <c r="Q55" i="1"/>
  <c r="AM27" i="4"/>
  <c r="AL28" i="4"/>
  <c r="AH28" i="4" s="1"/>
  <c r="AG28" i="4" s="1"/>
  <c r="R27" i="1"/>
  <c r="Q28" i="1"/>
  <c r="D52" i="3" l="1"/>
  <c r="C52" i="3" s="1"/>
  <c r="N53" i="8"/>
  <c r="D27" i="3"/>
  <c r="C27" i="3" s="1"/>
  <c r="N28" i="8"/>
  <c r="H53" i="3"/>
  <c r="I54" i="3"/>
  <c r="M28" i="1"/>
  <c r="L28" i="1" s="1"/>
  <c r="F29" i="8"/>
  <c r="N28" i="4"/>
  <c r="M28" i="4" s="1"/>
  <c r="J29" i="8"/>
  <c r="X28" i="4"/>
  <c r="W28" i="4" s="1"/>
  <c r="H29" i="8"/>
  <c r="X52" i="4"/>
  <c r="W52" i="4" s="1"/>
  <c r="H53" i="8"/>
  <c r="N52" i="4"/>
  <c r="M52" i="4" s="1"/>
  <c r="J53" i="8"/>
  <c r="M55" i="1"/>
  <c r="L55" i="1" s="1"/>
  <c r="F56" i="8"/>
  <c r="C79" i="7"/>
  <c r="D52" i="4"/>
  <c r="C52" i="4" s="1"/>
  <c r="AC54" i="4"/>
  <c r="AB53" i="4"/>
  <c r="I54" i="4"/>
  <c r="H53" i="4"/>
  <c r="L54" i="8" s="1"/>
  <c r="S54" i="4"/>
  <c r="R53" i="4"/>
  <c r="R26" i="1"/>
  <c r="Q27" i="1"/>
  <c r="C55" i="7"/>
  <c r="D28" i="4"/>
  <c r="C28" i="4" s="1"/>
  <c r="AM26" i="4"/>
  <c r="AL27" i="4"/>
  <c r="AH27" i="4" s="1"/>
  <c r="AG27" i="4" s="1"/>
  <c r="I26" i="4"/>
  <c r="H27" i="4"/>
  <c r="L28" i="8" s="1"/>
  <c r="Q56" i="1"/>
  <c r="R57" i="1"/>
  <c r="I25" i="3"/>
  <c r="H26" i="3"/>
  <c r="S26" i="4"/>
  <c r="R27" i="4"/>
  <c r="AB27" i="4"/>
  <c r="AC26" i="4"/>
  <c r="AM55" i="4"/>
  <c r="AL54" i="4"/>
  <c r="AH54" i="4" s="1"/>
  <c r="AG54" i="4" s="1"/>
  <c r="D26" i="3" l="1"/>
  <c r="C26" i="3" s="1"/>
  <c r="N27" i="8"/>
  <c r="D53" i="3"/>
  <c r="C53" i="3" s="1"/>
  <c r="N54" i="8"/>
  <c r="I55" i="3"/>
  <c r="H54" i="3"/>
  <c r="N27" i="4"/>
  <c r="M27" i="4" s="1"/>
  <c r="J28" i="8"/>
  <c r="N53" i="4"/>
  <c r="M53" i="4" s="1"/>
  <c r="J54" i="8"/>
  <c r="X53" i="4"/>
  <c r="W53" i="4" s="1"/>
  <c r="H54" i="8"/>
  <c r="M27" i="1"/>
  <c r="L27" i="1" s="1"/>
  <c r="F28" i="8"/>
  <c r="X27" i="4"/>
  <c r="W27" i="4" s="1"/>
  <c r="H28" i="8"/>
  <c r="M56" i="1"/>
  <c r="L56" i="1" s="1"/>
  <c r="F57" i="8"/>
  <c r="S55" i="4"/>
  <c r="R54" i="4"/>
  <c r="AC55" i="4"/>
  <c r="AB54" i="4"/>
  <c r="C80" i="7"/>
  <c r="D53" i="4"/>
  <c r="C53" i="4" s="1"/>
  <c r="I55" i="4"/>
  <c r="H54" i="4"/>
  <c r="L55" i="8" s="1"/>
  <c r="Q57" i="1"/>
  <c r="R58" i="1"/>
  <c r="D27" i="4"/>
  <c r="C27" i="4" s="1"/>
  <c r="C54" i="7"/>
  <c r="R25" i="1"/>
  <c r="Q26" i="1"/>
  <c r="AL55" i="4"/>
  <c r="AH55" i="4" s="1"/>
  <c r="AG55" i="4" s="1"/>
  <c r="AM56" i="4"/>
  <c r="S25" i="4"/>
  <c r="R26" i="4"/>
  <c r="I25" i="4"/>
  <c r="H26" i="4"/>
  <c r="L27" i="8" s="1"/>
  <c r="AC25" i="4"/>
  <c r="AB26" i="4"/>
  <c r="I24" i="3"/>
  <c r="H25" i="3"/>
  <c r="AM25" i="4"/>
  <c r="AL26" i="4"/>
  <c r="AH26" i="4" s="1"/>
  <c r="AG26" i="4" s="1"/>
  <c r="D25" i="3" l="1"/>
  <c r="C25" i="3" s="1"/>
  <c r="N26" i="8"/>
  <c r="D54" i="3"/>
  <c r="C54" i="3" s="1"/>
  <c r="N55" i="8"/>
  <c r="H55" i="3"/>
  <c r="I56" i="3"/>
  <c r="X26" i="4"/>
  <c r="W26" i="4" s="1"/>
  <c r="H27" i="8"/>
  <c r="X54" i="4"/>
  <c r="W54" i="4" s="1"/>
  <c r="H55" i="8"/>
  <c r="M26" i="1"/>
  <c r="L26" i="1" s="1"/>
  <c r="F27" i="8"/>
  <c r="N54" i="4"/>
  <c r="M54" i="4" s="1"/>
  <c r="J55" i="8"/>
  <c r="N26" i="4"/>
  <c r="M26" i="4" s="1"/>
  <c r="J27" i="8"/>
  <c r="M57" i="1"/>
  <c r="L57" i="1" s="1"/>
  <c r="F58" i="8"/>
  <c r="C81" i="7"/>
  <c r="D54" i="4"/>
  <c r="C54" i="4" s="1"/>
  <c r="H55" i="4"/>
  <c r="L56" i="8" s="1"/>
  <c r="I56" i="4"/>
  <c r="AC56" i="4"/>
  <c r="AB55" i="4"/>
  <c r="S56" i="4"/>
  <c r="R55" i="4"/>
  <c r="D26" i="4"/>
  <c r="C26" i="4" s="1"/>
  <c r="C53" i="7"/>
  <c r="AL56" i="4"/>
  <c r="AH56" i="4" s="1"/>
  <c r="AG56" i="4" s="1"/>
  <c r="AM57" i="4"/>
  <c r="I24" i="4"/>
  <c r="H25" i="4"/>
  <c r="L26" i="8" s="1"/>
  <c r="R59" i="1"/>
  <c r="Q58" i="1"/>
  <c r="AL25" i="4"/>
  <c r="AH25" i="4" s="1"/>
  <c r="AG25" i="4" s="1"/>
  <c r="AM24" i="4"/>
  <c r="I23" i="3"/>
  <c r="H24" i="3"/>
  <c r="AC24" i="4"/>
  <c r="AB25" i="4"/>
  <c r="R25" i="4"/>
  <c r="S24" i="4"/>
  <c r="Q25" i="1"/>
  <c r="R24" i="1"/>
  <c r="D24" i="3" l="1"/>
  <c r="C24" i="3" s="1"/>
  <c r="N25" i="8"/>
  <c r="D55" i="3"/>
  <c r="C55" i="3" s="1"/>
  <c r="N56" i="8"/>
  <c r="I57" i="3"/>
  <c r="H56" i="3"/>
  <c r="X25" i="4"/>
  <c r="W25" i="4" s="1"/>
  <c r="H26" i="8"/>
  <c r="N55" i="4"/>
  <c r="M55" i="4" s="1"/>
  <c r="J56" i="8"/>
  <c r="M25" i="1"/>
  <c r="L25" i="1" s="1"/>
  <c r="F26" i="8"/>
  <c r="M58" i="1"/>
  <c r="L58" i="1" s="1"/>
  <c r="F59" i="8"/>
  <c r="X55" i="4"/>
  <c r="W55" i="4" s="1"/>
  <c r="H56" i="8"/>
  <c r="N25" i="4"/>
  <c r="M25" i="4" s="1"/>
  <c r="J26" i="8"/>
  <c r="H56" i="4"/>
  <c r="L57" i="8" s="1"/>
  <c r="I57" i="4"/>
  <c r="R56" i="4"/>
  <c r="S57" i="4"/>
  <c r="C82" i="7"/>
  <c r="D55" i="4"/>
  <c r="C55" i="4" s="1"/>
  <c r="AB56" i="4"/>
  <c r="AC57" i="4"/>
  <c r="I22" i="3"/>
  <c r="H23" i="3"/>
  <c r="S23" i="4"/>
  <c r="R24" i="4"/>
  <c r="D25" i="4"/>
  <c r="C25" i="4" s="1"/>
  <c r="C52" i="7"/>
  <c r="AL57" i="4"/>
  <c r="AH57" i="4" s="1"/>
  <c r="AG57" i="4" s="1"/>
  <c r="AM58" i="4"/>
  <c r="R23" i="1"/>
  <c r="Q24" i="1"/>
  <c r="AM23" i="4"/>
  <c r="AL24" i="4"/>
  <c r="AH24" i="4" s="1"/>
  <c r="AG24" i="4" s="1"/>
  <c r="AC23" i="4"/>
  <c r="AB24" i="4"/>
  <c r="R60" i="1"/>
  <c r="Q59" i="1"/>
  <c r="I23" i="4"/>
  <c r="H24" i="4"/>
  <c r="L25" i="8" s="1"/>
  <c r="D23" i="3" l="1"/>
  <c r="C23" i="3" s="1"/>
  <c r="N24" i="8"/>
  <c r="D56" i="3"/>
  <c r="C56" i="3" s="1"/>
  <c r="N57" i="8"/>
  <c r="H57" i="3"/>
  <c r="I58" i="3"/>
  <c r="M59" i="1"/>
  <c r="L59" i="1" s="1"/>
  <c r="F60" i="8"/>
  <c r="N24" i="4"/>
  <c r="M24" i="4" s="1"/>
  <c r="J25" i="8"/>
  <c r="X56" i="4"/>
  <c r="W56" i="4" s="1"/>
  <c r="H57" i="8"/>
  <c r="N56" i="4"/>
  <c r="M56" i="4" s="1"/>
  <c r="J57" i="8"/>
  <c r="X24" i="4"/>
  <c r="W24" i="4" s="1"/>
  <c r="H25" i="8"/>
  <c r="M24" i="1"/>
  <c r="L24" i="1" s="1"/>
  <c r="F25" i="8"/>
  <c r="AB57" i="4"/>
  <c r="AC58" i="4"/>
  <c r="S58" i="4"/>
  <c r="R57" i="4"/>
  <c r="H57" i="4"/>
  <c r="L58" i="8" s="1"/>
  <c r="I58" i="4"/>
  <c r="C83" i="7"/>
  <c r="D56" i="4"/>
  <c r="C56" i="4" s="1"/>
  <c r="R61" i="1"/>
  <c r="Q60" i="1"/>
  <c r="R22" i="1"/>
  <c r="Q23" i="1"/>
  <c r="I21" i="3"/>
  <c r="H22" i="3"/>
  <c r="C51" i="7"/>
  <c r="D24" i="4"/>
  <c r="C24" i="4" s="1"/>
  <c r="AM22" i="4"/>
  <c r="AL23" i="4"/>
  <c r="AH23" i="4" s="1"/>
  <c r="AG23" i="4" s="1"/>
  <c r="AM59" i="4"/>
  <c r="AL58" i="4"/>
  <c r="AH58" i="4" s="1"/>
  <c r="AG58" i="4" s="1"/>
  <c r="I22" i="4"/>
  <c r="H23" i="4"/>
  <c r="L24" i="8" s="1"/>
  <c r="AC22" i="4"/>
  <c r="AB23" i="4"/>
  <c r="S22" i="4"/>
  <c r="R23" i="4"/>
  <c r="D22" i="3" l="1"/>
  <c r="C22" i="3" s="1"/>
  <c r="N23" i="8"/>
  <c r="D57" i="3"/>
  <c r="C57" i="3" s="1"/>
  <c r="N58" i="8"/>
  <c r="I59" i="3"/>
  <c r="H58" i="3"/>
  <c r="M23" i="1"/>
  <c r="L23" i="1" s="1"/>
  <c r="F24" i="8"/>
  <c r="N57" i="4"/>
  <c r="M57" i="4" s="1"/>
  <c r="J58" i="8"/>
  <c r="X23" i="4"/>
  <c r="W23" i="4" s="1"/>
  <c r="H24" i="8"/>
  <c r="N23" i="4"/>
  <c r="M23" i="4" s="1"/>
  <c r="J24" i="8"/>
  <c r="M60" i="1"/>
  <c r="L60" i="1" s="1"/>
  <c r="F61" i="8"/>
  <c r="X57" i="4"/>
  <c r="W57" i="4" s="1"/>
  <c r="H58" i="8"/>
  <c r="S59" i="4"/>
  <c r="R58" i="4"/>
  <c r="AC59" i="4"/>
  <c r="AB58" i="4"/>
  <c r="I59" i="4"/>
  <c r="H58" i="4"/>
  <c r="L59" i="8" s="1"/>
  <c r="C84" i="7"/>
  <c r="D57" i="4"/>
  <c r="C57" i="4" s="1"/>
  <c r="AC21" i="4"/>
  <c r="AB22" i="4"/>
  <c r="AM60" i="4"/>
  <c r="AL59" i="4"/>
  <c r="AH59" i="4" s="1"/>
  <c r="AG59" i="4" s="1"/>
  <c r="I20" i="3"/>
  <c r="H21" i="3"/>
  <c r="R21" i="1"/>
  <c r="Q22" i="1"/>
  <c r="D23" i="4"/>
  <c r="C23" i="4" s="1"/>
  <c r="C50" i="7"/>
  <c r="S21" i="4"/>
  <c r="R22" i="4"/>
  <c r="H22" i="4"/>
  <c r="L23" i="8" s="1"/>
  <c r="I21" i="4"/>
  <c r="AM21" i="4"/>
  <c r="AL22" i="4"/>
  <c r="AH22" i="4" s="1"/>
  <c r="AG22" i="4" s="1"/>
  <c r="R62" i="1"/>
  <c r="Q61" i="1"/>
  <c r="D21" i="3" l="1"/>
  <c r="C21" i="3" s="1"/>
  <c r="N22" i="8"/>
  <c r="D58" i="3"/>
  <c r="C58" i="3" s="1"/>
  <c r="N59" i="8"/>
  <c r="I60" i="3"/>
  <c r="H59" i="3"/>
  <c r="M22" i="1"/>
  <c r="L22" i="1" s="1"/>
  <c r="F23" i="8"/>
  <c r="X58" i="4"/>
  <c r="W58" i="4" s="1"/>
  <c r="H59" i="8"/>
  <c r="N58" i="4"/>
  <c r="M58" i="4" s="1"/>
  <c r="J59" i="8"/>
  <c r="M61" i="1"/>
  <c r="L61" i="1" s="1"/>
  <c r="F62" i="8"/>
  <c r="N22" i="4"/>
  <c r="M22" i="4" s="1"/>
  <c r="J23" i="8"/>
  <c r="X22" i="4"/>
  <c r="W22" i="4" s="1"/>
  <c r="H23" i="8"/>
  <c r="AC60" i="4"/>
  <c r="AB59" i="4"/>
  <c r="C85" i="7"/>
  <c r="D58" i="4"/>
  <c r="C58" i="4" s="1"/>
  <c r="I60" i="4"/>
  <c r="H59" i="4"/>
  <c r="L60" i="8" s="1"/>
  <c r="S60" i="4"/>
  <c r="R59" i="4"/>
  <c r="Q62" i="1"/>
  <c r="R63" i="1"/>
  <c r="AM20" i="4"/>
  <c r="AL21" i="4"/>
  <c r="AH21" i="4" s="1"/>
  <c r="AG21" i="4" s="1"/>
  <c r="S20" i="4"/>
  <c r="R21" i="4"/>
  <c r="H20" i="3"/>
  <c r="I19" i="3"/>
  <c r="AC20" i="4"/>
  <c r="AB21" i="4"/>
  <c r="I20" i="4"/>
  <c r="H21" i="4"/>
  <c r="L22" i="8" s="1"/>
  <c r="D22" i="4"/>
  <c r="C22" i="4" s="1"/>
  <c r="C49" i="7"/>
  <c r="Q21" i="1"/>
  <c r="R20" i="1"/>
  <c r="AM61" i="4"/>
  <c r="AL60" i="4"/>
  <c r="AH60" i="4" s="1"/>
  <c r="AG60" i="4" s="1"/>
  <c r="D59" i="3" l="1"/>
  <c r="C59" i="3" s="1"/>
  <c r="N60" i="8"/>
  <c r="D20" i="3"/>
  <c r="C20" i="3" s="1"/>
  <c r="N21" i="8"/>
  <c r="H60" i="3"/>
  <c r="I61" i="3"/>
  <c r="X21" i="4"/>
  <c r="W21" i="4" s="1"/>
  <c r="H22" i="8"/>
  <c r="N21" i="4"/>
  <c r="M21" i="4" s="1"/>
  <c r="J22" i="8"/>
  <c r="N59" i="4"/>
  <c r="M59" i="4" s="1"/>
  <c r="J60" i="8"/>
  <c r="X59" i="4"/>
  <c r="W59" i="4" s="1"/>
  <c r="H60" i="8"/>
  <c r="M21" i="1"/>
  <c r="L21" i="1" s="1"/>
  <c r="F22" i="8"/>
  <c r="M62" i="1"/>
  <c r="L62" i="1" s="1"/>
  <c r="F63" i="8"/>
  <c r="D59" i="4"/>
  <c r="C59" i="4" s="1"/>
  <c r="C86" i="7"/>
  <c r="R60" i="4"/>
  <c r="S61" i="4"/>
  <c r="I61" i="4"/>
  <c r="H60" i="4"/>
  <c r="L61" i="8" s="1"/>
  <c r="AB60" i="4"/>
  <c r="AC61" i="4"/>
  <c r="AC19" i="4"/>
  <c r="AB20" i="4"/>
  <c r="R20" i="4"/>
  <c r="S19" i="4"/>
  <c r="C48" i="7"/>
  <c r="D21" i="4"/>
  <c r="C21" i="4" s="1"/>
  <c r="H19" i="3"/>
  <c r="I18" i="3"/>
  <c r="Q63" i="1"/>
  <c r="R64" i="1"/>
  <c r="Q20" i="1"/>
  <c r="R19" i="1"/>
  <c r="AM62" i="4"/>
  <c r="AL61" i="4"/>
  <c r="AH61" i="4" s="1"/>
  <c r="AG61" i="4" s="1"/>
  <c r="H20" i="4"/>
  <c r="L21" i="8" s="1"/>
  <c r="I19" i="4"/>
  <c r="AL20" i="4"/>
  <c r="AH20" i="4" s="1"/>
  <c r="AG20" i="4" s="1"/>
  <c r="AM19" i="4"/>
  <c r="D19" i="3" l="1"/>
  <c r="C19" i="3" s="1"/>
  <c r="N20" i="8"/>
  <c r="D60" i="3"/>
  <c r="C60" i="3" s="1"/>
  <c r="N61" i="8"/>
  <c r="H61" i="3"/>
  <c r="I62" i="3"/>
  <c r="N20" i="4"/>
  <c r="M20" i="4" s="1"/>
  <c r="J21" i="8"/>
  <c r="X60" i="4"/>
  <c r="W60" i="4" s="1"/>
  <c r="H61" i="8"/>
  <c r="N60" i="4"/>
  <c r="M60" i="4" s="1"/>
  <c r="J61" i="8"/>
  <c r="M20" i="1"/>
  <c r="L20" i="1" s="1"/>
  <c r="F21" i="8"/>
  <c r="X20" i="4"/>
  <c r="W20" i="4" s="1"/>
  <c r="H21" i="8"/>
  <c r="M63" i="1"/>
  <c r="L63" i="1" s="1"/>
  <c r="F64" i="8"/>
  <c r="AB61" i="4"/>
  <c r="AC62" i="4"/>
  <c r="R61" i="4"/>
  <c r="S62" i="4"/>
  <c r="D60" i="4"/>
  <c r="C60" i="4" s="1"/>
  <c r="C87" i="7"/>
  <c r="H61" i="4"/>
  <c r="L62" i="8" s="1"/>
  <c r="I62" i="4"/>
  <c r="S18" i="4"/>
  <c r="R19" i="4"/>
  <c r="I18" i="4"/>
  <c r="H19" i="4"/>
  <c r="L20" i="8" s="1"/>
  <c r="C47" i="7"/>
  <c r="D20" i="4"/>
  <c r="C20" i="4" s="1"/>
  <c r="AM18" i="4"/>
  <c r="AL19" i="4"/>
  <c r="AH19" i="4" s="1"/>
  <c r="AG19" i="4" s="1"/>
  <c r="R18" i="1"/>
  <c r="Q19" i="1"/>
  <c r="I17" i="3"/>
  <c r="H18" i="3"/>
  <c r="R65" i="1"/>
  <c r="Q65" i="1" s="1"/>
  <c r="Q64" i="1"/>
  <c r="AL62" i="4"/>
  <c r="AH62" i="4" s="1"/>
  <c r="AG62" i="4" s="1"/>
  <c r="AM63" i="4"/>
  <c r="AB19" i="4"/>
  <c r="AC18" i="4"/>
  <c r="D18" i="3" l="1"/>
  <c r="C18" i="3" s="1"/>
  <c r="N19" i="8"/>
  <c r="D61" i="3"/>
  <c r="C61" i="3" s="1"/>
  <c r="N62" i="8"/>
  <c r="I63" i="3"/>
  <c r="H62" i="3"/>
  <c r="X19" i="4"/>
  <c r="W19" i="4" s="1"/>
  <c r="H20" i="8"/>
  <c r="N61" i="4"/>
  <c r="M61" i="4" s="1"/>
  <c r="J62" i="8"/>
  <c r="M64" i="1"/>
  <c r="L64" i="1" s="1"/>
  <c r="F65" i="8"/>
  <c r="M19" i="1"/>
  <c r="L19" i="1" s="1"/>
  <c r="F20" i="8"/>
  <c r="N19" i="4"/>
  <c r="M19" i="4" s="1"/>
  <c r="J20" i="8"/>
  <c r="M65" i="1"/>
  <c r="L65" i="1" s="1"/>
  <c r="F66" i="8"/>
  <c r="X61" i="4"/>
  <c r="W61" i="4" s="1"/>
  <c r="H62" i="8"/>
  <c r="H62" i="4"/>
  <c r="L63" i="8" s="1"/>
  <c r="I63" i="4"/>
  <c r="S63" i="4"/>
  <c r="R62" i="4"/>
  <c r="C88" i="7"/>
  <c r="D61" i="4"/>
  <c r="C61" i="4" s="1"/>
  <c r="AC63" i="4"/>
  <c r="AB62" i="4"/>
  <c r="AB18" i="4"/>
  <c r="AC17" i="4"/>
  <c r="AM64" i="4"/>
  <c r="AL63" i="4"/>
  <c r="AH63" i="4" s="1"/>
  <c r="AG63" i="4" s="1"/>
  <c r="Q18" i="1"/>
  <c r="R17" i="1"/>
  <c r="S17" i="4"/>
  <c r="R18" i="4"/>
  <c r="I16" i="3"/>
  <c r="H17" i="3"/>
  <c r="D19" i="4"/>
  <c r="C19" i="4" s="1"/>
  <c r="C46" i="7"/>
  <c r="AM17" i="4"/>
  <c r="AL18" i="4"/>
  <c r="AH18" i="4" s="1"/>
  <c r="AG18" i="4" s="1"/>
  <c r="H18" i="4"/>
  <c r="L19" i="8" s="1"/>
  <c r="I17" i="4"/>
  <c r="D17" i="3" l="1"/>
  <c r="C17" i="3" s="1"/>
  <c r="N18" i="8"/>
  <c r="D62" i="3"/>
  <c r="C62" i="3" s="1"/>
  <c r="N63" i="8"/>
  <c r="I64" i="3"/>
  <c r="H63" i="3"/>
  <c r="X18" i="4"/>
  <c r="W18" i="4" s="1"/>
  <c r="H19" i="8"/>
  <c r="N18" i="4"/>
  <c r="M18" i="4" s="1"/>
  <c r="J19" i="8"/>
  <c r="X62" i="4"/>
  <c r="W62" i="4" s="1"/>
  <c r="H63" i="8"/>
  <c r="N62" i="4"/>
  <c r="M62" i="4" s="1"/>
  <c r="J63" i="8"/>
  <c r="M18" i="1"/>
  <c r="L18" i="1" s="1"/>
  <c r="F19" i="8"/>
  <c r="AC64" i="4"/>
  <c r="AB63" i="4"/>
  <c r="S64" i="4"/>
  <c r="R63" i="4"/>
  <c r="H63" i="4"/>
  <c r="L64" i="8" s="1"/>
  <c r="I64" i="4"/>
  <c r="C89" i="7"/>
  <c r="D62" i="4"/>
  <c r="C62" i="4" s="1"/>
  <c r="I16" i="4"/>
  <c r="H17" i="4"/>
  <c r="L18" i="8" s="1"/>
  <c r="R16" i="1"/>
  <c r="Q17" i="1"/>
  <c r="AC16" i="4"/>
  <c r="AB17" i="4"/>
  <c r="I15" i="3"/>
  <c r="H16" i="3"/>
  <c r="D18" i="4"/>
  <c r="C18" i="4" s="1"/>
  <c r="C45" i="7"/>
  <c r="AM16" i="4"/>
  <c r="AL17" i="4"/>
  <c r="AH17" i="4" s="1"/>
  <c r="AG17" i="4" s="1"/>
  <c r="S16" i="4"/>
  <c r="R17" i="4"/>
  <c r="AM65" i="4"/>
  <c r="AL65" i="4" s="1"/>
  <c r="AH65" i="4" s="1"/>
  <c r="AG65" i="4" s="1"/>
  <c r="AL64" i="4"/>
  <c r="AH64" i="4" s="1"/>
  <c r="AG64" i="4" s="1"/>
  <c r="D16" i="3" l="1"/>
  <c r="C16" i="3" s="1"/>
  <c r="N17" i="8"/>
  <c r="D63" i="3"/>
  <c r="C63" i="3" s="1"/>
  <c r="N64" i="8"/>
  <c r="H64" i="3"/>
  <c r="I65" i="3"/>
  <c r="N63" i="4"/>
  <c r="M63" i="4" s="1"/>
  <c r="J64" i="8"/>
  <c r="N17" i="4"/>
  <c r="M17" i="4" s="1"/>
  <c r="J18" i="8"/>
  <c r="X17" i="4"/>
  <c r="W17" i="4" s="1"/>
  <c r="H18" i="8"/>
  <c r="X63" i="4"/>
  <c r="W63" i="4" s="1"/>
  <c r="H64" i="8"/>
  <c r="M17" i="1"/>
  <c r="L17" i="1" s="1"/>
  <c r="F18" i="8"/>
  <c r="S65" i="4"/>
  <c r="R65" i="4" s="1"/>
  <c r="R64" i="4"/>
  <c r="H64" i="4"/>
  <c r="L65" i="8" s="1"/>
  <c r="I65" i="4"/>
  <c r="H65" i="4" s="1"/>
  <c r="L66" i="8" s="1"/>
  <c r="D63" i="4"/>
  <c r="C63" i="4" s="1"/>
  <c r="C90" i="7"/>
  <c r="AB64" i="4"/>
  <c r="AC65" i="4"/>
  <c r="AB65" i="4" s="1"/>
  <c r="H15" i="3"/>
  <c r="I14" i="3"/>
  <c r="R15" i="1"/>
  <c r="Q16" i="1"/>
  <c r="R16" i="4"/>
  <c r="S15" i="4"/>
  <c r="D17" i="4"/>
  <c r="C17" i="4" s="1"/>
  <c r="C44" i="7"/>
  <c r="AM15" i="4"/>
  <c r="AL16" i="4"/>
  <c r="AH16" i="4" s="1"/>
  <c r="AG16" i="4" s="1"/>
  <c r="AC15" i="4"/>
  <c r="AB16" i="4"/>
  <c r="H16" i="4"/>
  <c r="L17" i="8" s="1"/>
  <c r="I15" i="4"/>
  <c r="D15" i="3" l="1"/>
  <c r="C15" i="3" s="1"/>
  <c r="N16" i="8"/>
  <c r="D64" i="3"/>
  <c r="C64" i="3" s="1"/>
  <c r="N65" i="8"/>
  <c r="H65" i="3"/>
  <c r="N65" i="4"/>
  <c r="M65" i="4" s="1"/>
  <c r="J66" i="8"/>
  <c r="N64" i="4"/>
  <c r="M64" i="4" s="1"/>
  <c r="J65" i="8"/>
  <c r="X16" i="4"/>
  <c r="W16" i="4" s="1"/>
  <c r="H17" i="8"/>
  <c r="M16" i="1"/>
  <c r="L16" i="1" s="1"/>
  <c r="F17" i="8"/>
  <c r="N16" i="4"/>
  <c r="M16" i="4" s="1"/>
  <c r="J17" i="8"/>
  <c r="X65" i="4"/>
  <c r="W65" i="4" s="1"/>
  <c r="H66" i="8"/>
  <c r="X64" i="4"/>
  <c r="W64" i="4" s="1"/>
  <c r="H65" i="8"/>
  <c r="D65" i="4"/>
  <c r="C65" i="4" s="1"/>
  <c r="C92" i="7"/>
  <c r="C91" i="7"/>
  <c r="D64" i="4"/>
  <c r="C64" i="4" s="1"/>
  <c r="AC14" i="4"/>
  <c r="AB15" i="4"/>
  <c r="Q15" i="1"/>
  <c r="R14" i="1"/>
  <c r="H15" i="4"/>
  <c r="L16" i="8" s="1"/>
  <c r="I14" i="4"/>
  <c r="R15" i="4"/>
  <c r="S14" i="4"/>
  <c r="I13" i="3"/>
  <c r="H14" i="3"/>
  <c r="D16" i="4"/>
  <c r="C16" i="4" s="1"/>
  <c r="C43" i="7"/>
  <c r="AM14" i="4"/>
  <c r="AL15" i="4"/>
  <c r="AH15" i="4" s="1"/>
  <c r="AG15" i="4" s="1"/>
  <c r="D14" i="3" l="1"/>
  <c r="C14" i="3" s="1"/>
  <c r="N15" i="8"/>
  <c r="D65" i="3"/>
  <c r="C65" i="3" s="1"/>
  <c r="N66" i="8"/>
  <c r="X15" i="4"/>
  <c r="W15" i="4" s="1"/>
  <c r="H16" i="8"/>
  <c r="N15" i="4"/>
  <c r="M15" i="4" s="1"/>
  <c r="J16" i="8"/>
  <c r="M15" i="1"/>
  <c r="L15" i="1" s="1"/>
  <c r="F16" i="8"/>
  <c r="S13" i="4"/>
  <c r="R14" i="4"/>
  <c r="Q14" i="1"/>
  <c r="R13" i="1"/>
  <c r="H14" i="4"/>
  <c r="L15" i="8" s="1"/>
  <c r="I13" i="4"/>
  <c r="AM13" i="4"/>
  <c r="AL14" i="4"/>
  <c r="AH14" i="4" s="1"/>
  <c r="AG14" i="4" s="1"/>
  <c r="I12" i="3"/>
  <c r="H13" i="3"/>
  <c r="C42" i="7"/>
  <c r="D15" i="4"/>
  <c r="C15" i="4" s="1"/>
  <c r="AB14" i="4"/>
  <c r="AC13" i="4"/>
  <c r="D13" i="3" l="1"/>
  <c r="C13" i="3" s="1"/>
  <c r="N14" i="8"/>
  <c r="N14" i="4"/>
  <c r="M14" i="4" s="1"/>
  <c r="J15" i="8"/>
  <c r="X14" i="4"/>
  <c r="W14" i="4" s="1"/>
  <c r="H15" i="8"/>
  <c r="M14" i="1"/>
  <c r="L14" i="1" s="1"/>
  <c r="F15" i="8"/>
  <c r="R12" i="1"/>
  <c r="Q13" i="1"/>
  <c r="AM12" i="4"/>
  <c r="AL13" i="4"/>
  <c r="AH13" i="4" s="1"/>
  <c r="AG13" i="4" s="1"/>
  <c r="AB13" i="4"/>
  <c r="AC12" i="4"/>
  <c r="H13" i="4"/>
  <c r="L14" i="8" s="1"/>
  <c r="I12" i="4"/>
  <c r="I11" i="3"/>
  <c r="H12" i="3"/>
  <c r="C41" i="7"/>
  <c r="D14" i="4"/>
  <c r="C14" i="4" s="1"/>
  <c r="R13" i="4"/>
  <c r="S12" i="4"/>
  <c r="D12" i="3" l="1"/>
  <c r="C12" i="3" s="1"/>
  <c r="N13" i="8"/>
  <c r="M13" i="1"/>
  <c r="L13" i="1" s="1"/>
  <c r="F14" i="8"/>
  <c r="X13" i="4"/>
  <c r="W13" i="4" s="1"/>
  <c r="H14" i="8"/>
  <c r="N13" i="4"/>
  <c r="M13" i="4" s="1"/>
  <c r="J14" i="8"/>
  <c r="I11" i="4"/>
  <c r="H12" i="4"/>
  <c r="L13" i="8" s="1"/>
  <c r="C40" i="7"/>
  <c r="D13" i="4"/>
  <c r="C13" i="4" s="1"/>
  <c r="AM11" i="4"/>
  <c r="AL12" i="4"/>
  <c r="AH12" i="4" s="1"/>
  <c r="AG12" i="4" s="1"/>
  <c r="AC11" i="4"/>
  <c r="AB12" i="4"/>
  <c r="S11" i="4"/>
  <c r="R12" i="4"/>
  <c r="I10" i="3"/>
  <c r="H11" i="3"/>
  <c r="R11" i="1"/>
  <c r="Q12" i="1"/>
  <c r="D11" i="3" l="1"/>
  <c r="C11" i="3" s="1"/>
  <c r="N12" i="8"/>
  <c r="N12" i="4"/>
  <c r="M12" i="4" s="1"/>
  <c r="J13" i="8"/>
  <c r="X12" i="4"/>
  <c r="W12" i="4" s="1"/>
  <c r="H13" i="8"/>
  <c r="M12" i="1"/>
  <c r="L12" i="1" s="1"/>
  <c r="F13" i="8"/>
  <c r="AC10" i="4"/>
  <c r="AB11" i="4"/>
  <c r="D12" i="4"/>
  <c r="C12" i="4" s="1"/>
  <c r="C39" i="7"/>
  <c r="I9" i="3"/>
  <c r="H10" i="3"/>
  <c r="R10" i="1"/>
  <c r="Q11" i="1"/>
  <c r="S10" i="4"/>
  <c r="R11" i="4"/>
  <c r="AM10" i="4"/>
  <c r="AL11" i="4"/>
  <c r="AH11" i="4" s="1"/>
  <c r="AG11" i="4" s="1"/>
  <c r="I10" i="4"/>
  <c r="H11" i="4"/>
  <c r="L12" i="8" s="1"/>
  <c r="D10" i="3" l="1"/>
  <c r="C10" i="3" s="1"/>
  <c r="N11" i="8"/>
  <c r="X11" i="4"/>
  <c r="W11" i="4" s="1"/>
  <c r="H12" i="8"/>
  <c r="M11" i="1"/>
  <c r="L11" i="1" s="1"/>
  <c r="F12" i="8"/>
  <c r="N11" i="4"/>
  <c r="M11" i="4" s="1"/>
  <c r="J12" i="8"/>
  <c r="AL10" i="4"/>
  <c r="AH10" i="4" s="1"/>
  <c r="AG10" i="4" s="1"/>
  <c r="AM9" i="4"/>
  <c r="Q10" i="1"/>
  <c r="R9" i="1"/>
  <c r="D11" i="4"/>
  <c r="C11" i="4" s="1"/>
  <c r="C38" i="7"/>
  <c r="H10" i="4"/>
  <c r="L11" i="8" s="1"/>
  <c r="I9" i="4"/>
  <c r="R10" i="4"/>
  <c r="S9" i="4"/>
  <c r="H9" i="3"/>
  <c r="I8" i="3"/>
  <c r="AB10" i="4"/>
  <c r="AC9" i="4"/>
  <c r="D9" i="3" l="1"/>
  <c r="C9" i="3" s="1"/>
  <c r="N10" i="8"/>
  <c r="X10" i="4"/>
  <c r="W10" i="4" s="1"/>
  <c r="H11" i="8"/>
  <c r="N10" i="4"/>
  <c r="M10" i="4" s="1"/>
  <c r="J11" i="8"/>
  <c r="M10" i="1"/>
  <c r="L10" i="1" s="1"/>
  <c r="F11" i="8"/>
  <c r="H8" i="3"/>
  <c r="I7" i="3"/>
  <c r="R8" i="1"/>
  <c r="Q9" i="1"/>
  <c r="D10" i="4"/>
  <c r="C10" i="4" s="1"/>
  <c r="C37" i="7"/>
  <c r="I8" i="4"/>
  <c r="H9" i="4"/>
  <c r="L10" i="8" s="1"/>
  <c r="AB9" i="4"/>
  <c r="AC8" i="4"/>
  <c r="S8" i="4"/>
  <c r="R9" i="4"/>
  <c r="AM8" i="4"/>
  <c r="AL9" i="4"/>
  <c r="AH9" i="4" s="1"/>
  <c r="AG9" i="4" s="1"/>
  <c r="D8" i="3" l="1"/>
  <c r="C8" i="3" s="1"/>
  <c r="N9" i="8"/>
  <c r="X9" i="4"/>
  <c r="W9" i="4" s="1"/>
  <c r="H10" i="8"/>
  <c r="N9" i="4"/>
  <c r="M9" i="4" s="1"/>
  <c r="J10" i="8"/>
  <c r="M9" i="1"/>
  <c r="L9" i="1" s="1"/>
  <c r="F10" i="8"/>
  <c r="C36" i="7"/>
  <c r="D9" i="4"/>
  <c r="C9" i="4" s="1"/>
  <c r="S7" i="4"/>
  <c r="R8" i="4"/>
  <c r="I7" i="4"/>
  <c r="H8" i="4"/>
  <c r="L9" i="8" s="1"/>
  <c r="R7" i="1"/>
  <c r="Q8" i="1"/>
  <c r="I6" i="3"/>
  <c r="H7" i="3"/>
  <c r="AC7" i="4"/>
  <c r="AB8" i="4"/>
  <c r="AL8" i="4"/>
  <c r="AH8" i="4" s="1"/>
  <c r="AG8" i="4" s="1"/>
  <c r="AM7" i="4"/>
  <c r="D7" i="3" l="1"/>
  <c r="C7" i="3" s="1"/>
  <c r="N8" i="8"/>
  <c r="X8" i="4"/>
  <c r="W8" i="4" s="1"/>
  <c r="H9" i="8"/>
  <c r="N8" i="4"/>
  <c r="M8" i="4" s="1"/>
  <c r="J9" i="8"/>
  <c r="M8" i="1"/>
  <c r="L8" i="1" s="1"/>
  <c r="F9" i="8"/>
  <c r="AB7" i="4"/>
  <c r="AC6" i="4"/>
  <c r="R6" i="1"/>
  <c r="Q7" i="1"/>
  <c r="R7" i="4"/>
  <c r="S6" i="4"/>
  <c r="D8" i="4"/>
  <c r="C8" i="4" s="1"/>
  <c r="C35" i="7"/>
  <c r="AL7" i="4"/>
  <c r="AH7" i="4" s="1"/>
  <c r="AG7" i="4" s="1"/>
  <c r="AM6" i="4"/>
  <c r="I5" i="3"/>
  <c r="H5" i="3" s="1"/>
  <c r="N6" i="8" s="1"/>
  <c r="H6" i="3"/>
  <c r="H7" i="4"/>
  <c r="L8" i="8" s="1"/>
  <c r="I6" i="4"/>
  <c r="D6" i="3" l="1"/>
  <c r="C6" i="3" s="1"/>
  <c r="N7" i="8"/>
  <c r="N7" i="4"/>
  <c r="M7" i="4" s="1"/>
  <c r="J8" i="8"/>
  <c r="X7" i="4"/>
  <c r="W7" i="4" s="1"/>
  <c r="H8" i="8"/>
  <c r="M7" i="1"/>
  <c r="L7" i="1" s="1"/>
  <c r="F8" i="8"/>
  <c r="D5" i="3"/>
  <c r="C5" i="3" s="1"/>
  <c r="R5" i="1"/>
  <c r="Q5" i="1" s="1"/>
  <c r="Q6" i="1"/>
  <c r="I5" i="4"/>
  <c r="H5" i="4" s="1"/>
  <c r="L6" i="8" s="1"/>
  <c r="H6" i="4"/>
  <c r="L7" i="8" s="1"/>
  <c r="AM5" i="4"/>
  <c r="AL5" i="4" s="1"/>
  <c r="AH5" i="4" s="1"/>
  <c r="AG5" i="4" s="1"/>
  <c r="AL6" i="4"/>
  <c r="AH6" i="4" s="1"/>
  <c r="AG6" i="4" s="1"/>
  <c r="S5" i="4"/>
  <c r="R5" i="4" s="1"/>
  <c r="R6" i="4"/>
  <c r="AC5" i="4"/>
  <c r="AB5" i="4" s="1"/>
  <c r="AB6" i="4"/>
  <c r="C34" i="7"/>
  <c r="D7" i="4"/>
  <c r="C7" i="4" s="1"/>
  <c r="N6" i="4" l="1"/>
  <c r="M6" i="4" s="1"/>
  <c r="J7" i="8"/>
  <c r="N5" i="4"/>
  <c r="M5" i="4" s="1"/>
  <c r="J6" i="8"/>
  <c r="X6" i="4"/>
  <c r="W6" i="4" s="1"/>
  <c r="H7" i="8"/>
  <c r="M6" i="1"/>
  <c r="L6" i="1" s="1"/>
  <c r="F7" i="8"/>
  <c r="X5" i="4"/>
  <c r="W5" i="4" s="1"/>
  <c r="H6" i="8"/>
  <c r="M5" i="1"/>
  <c r="L5" i="1" s="1"/>
  <c r="F6" i="8"/>
  <c r="C32" i="7"/>
  <c r="D5" i="4"/>
  <c r="C5" i="4" s="1"/>
  <c r="D6" i="4"/>
  <c r="C6" i="4" s="1"/>
  <c r="C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a0552</author>
  </authors>
  <commentList>
    <comment ref="A2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a0552:</t>
        </r>
        <r>
          <rPr>
            <sz val="9"/>
            <color indexed="81"/>
            <rFont val="Tahoma"/>
            <family val="2"/>
          </rPr>
          <t xml:space="preserve">
1~2</t>
        </r>
      </text>
    </comment>
    <comment ref="A4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a0552:</t>
        </r>
        <r>
          <rPr>
            <sz val="9"/>
            <color indexed="81"/>
            <rFont val="Tahoma"/>
            <family val="2"/>
          </rPr>
          <t xml:space="preserve">
3~5, 10</t>
        </r>
      </text>
    </comment>
    <comment ref="A4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a0552:</t>
        </r>
        <r>
          <rPr>
            <sz val="9"/>
            <color indexed="81"/>
            <rFont val="Tahoma"/>
            <family val="2"/>
          </rPr>
          <t xml:space="preserve">
6~9</t>
        </r>
      </text>
    </comment>
  </commentList>
</comments>
</file>

<file path=xl/sharedStrings.xml><?xml version="1.0" encoding="utf-8"?>
<sst xmlns="http://schemas.openxmlformats.org/spreadsheetml/2006/main" count="212" uniqueCount="65">
  <si>
    <t>위례열병합 Baseload Test ('26.04.15)</t>
    <phoneticPr fontId="2" type="noConversion"/>
  </si>
  <si>
    <t>적용 대기압</t>
    <phoneticPr fontId="2" type="noConversion"/>
  </si>
  <si>
    <t>2026-04-15 18:09:12</t>
  </si>
  <si>
    <t>Update time :</t>
  </si>
  <si>
    <t>17:00</t>
  </si>
  <si>
    <t>외기온도</t>
    <phoneticPr fontId="2" type="noConversion"/>
  </si>
  <si>
    <t>M3</t>
    <phoneticPr fontId="2" type="noConversion"/>
  </si>
  <si>
    <t>M3ECO</t>
    <phoneticPr fontId="2" type="noConversion"/>
  </si>
  <si>
    <t>M5D25</t>
    <phoneticPr fontId="2" type="noConversion"/>
  </si>
  <si>
    <t>M5D50</t>
    <phoneticPr fontId="2" type="noConversion"/>
  </si>
  <si>
    <t>M5D75</t>
    <phoneticPr fontId="2" type="noConversion"/>
  </si>
  <si>
    <t>M1</t>
    <phoneticPr fontId="2" type="noConversion"/>
  </si>
  <si>
    <t>Pressure</t>
  </si>
  <si>
    <t>GT</t>
    <phoneticPr fontId="2" type="noConversion"/>
  </si>
  <si>
    <t>CC</t>
    <phoneticPr fontId="2" type="noConversion"/>
  </si>
  <si>
    <t>Local time</t>
  </si>
  <si>
    <t>중위</t>
  </si>
  <si>
    <t>최소</t>
  </si>
  <si>
    <t>수요일, 4월 15일</t>
  </si>
  <si>
    <t>목요일, 4월 16일</t>
  </si>
  <si>
    <t>금요일, 4월 17일</t>
  </si>
  <si>
    <t>토요일, 4월 18일</t>
  </si>
  <si>
    <t>일요일, 4월 19일</t>
  </si>
  <si>
    <t>월요일, 4월 20일</t>
  </si>
  <si>
    <t>화요일, 4월 21일</t>
  </si>
  <si>
    <t>MODE 3</t>
    <phoneticPr fontId="2" type="noConversion"/>
  </si>
  <si>
    <t>MODE 3 - DH ECO</t>
    <phoneticPr fontId="2" type="noConversion"/>
  </si>
  <si>
    <t>발전량</t>
  </si>
  <si>
    <t>열생산량</t>
  </si>
  <si>
    <t>열전비</t>
  </si>
  <si>
    <t>감발량</t>
    <phoneticPr fontId="2" type="noConversion"/>
  </si>
  <si>
    <t>(15도씨 기준)</t>
  </si>
  <si>
    <t>외기 온도</t>
    <phoneticPr fontId="2" type="noConversion"/>
  </si>
  <si>
    <t>GROSS (MW)</t>
    <phoneticPr fontId="2" type="noConversion"/>
  </si>
  <si>
    <t>Aux Power
(MW)</t>
    <phoneticPr fontId="2" type="noConversion"/>
  </si>
  <si>
    <t>NET (MW)</t>
    <phoneticPr fontId="2" type="noConversion"/>
  </si>
  <si>
    <t>DH (Gcal/h)</t>
    <phoneticPr fontId="2" type="noConversion"/>
  </si>
  <si>
    <t>ST</t>
    <phoneticPr fontId="2" type="noConversion"/>
  </si>
  <si>
    <t>ECO</t>
    <phoneticPr fontId="2" type="noConversion"/>
  </si>
  <si>
    <t>19년 기준</t>
    <phoneticPr fontId="2" type="noConversion"/>
  </si>
  <si>
    <t>MODE 5 - DH75%</t>
    <phoneticPr fontId="2" type="noConversion"/>
  </si>
  <si>
    <t>MODE 5 - DH50%</t>
    <phoneticPr fontId="2" type="noConversion"/>
  </si>
  <si>
    <t>MODE 5 - DH25%</t>
    <phoneticPr fontId="2" type="noConversion"/>
  </si>
  <si>
    <t>MODE 5 - DH Dmin</t>
    <phoneticPr fontId="2" type="noConversion"/>
  </si>
  <si>
    <t>비고</t>
    <phoneticPr fontId="2" type="noConversion"/>
  </si>
  <si>
    <t>열생산량</t>
    <phoneticPr fontId="2" type="noConversion"/>
  </si>
  <si>
    <t>온도별 차등적용</t>
    <phoneticPr fontId="2" type="noConversion"/>
  </si>
  <si>
    <t>설계치</t>
    <phoneticPr fontId="2" type="noConversion"/>
  </si>
  <si>
    <t>M5Dmin</t>
    <phoneticPr fontId="2" type="noConversion"/>
  </si>
  <si>
    <t>계산값</t>
    <phoneticPr fontId="2" type="noConversion"/>
  </si>
  <si>
    <t>MODE 1</t>
    <phoneticPr fontId="2" type="noConversion"/>
  </si>
  <si>
    <t>설계 열전비</t>
    <phoneticPr fontId="2" type="noConversion"/>
  </si>
  <si>
    <t>60, 120, 180, 240 으로 보정</t>
    <phoneticPr fontId="2" type="noConversion"/>
  </si>
  <si>
    <t>M5-15-100</t>
    <phoneticPr fontId="2" type="noConversion"/>
  </si>
  <si>
    <t>15도 기준</t>
    <phoneticPr fontId="2" type="noConversion"/>
  </si>
  <si>
    <t>운전 모드</t>
    <phoneticPr fontId="2" type="noConversion"/>
  </si>
  <si>
    <t>발전량</t>
    <phoneticPr fontId="2" type="noConversion"/>
  </si>
  <si>
    <t>열전비</t>
    <phoneticPr fontId="2" type="noConversion"/>
  </si>
  <si>
    <t>-</t>
    <phoneticPr fontId="2" type="noConversion"/>
  </si>
  <si>
    <t>-</t>
  </si>
  <si>
    <t>19년 신규</t>
    <phoneticPr fontId="2" type="noConversion"/>
  </si>
  <si>
    <t>M5 min</t>
    <phoneticPr fontId="2" type="noConversion"/>
  </si>
  <si>
    <t>측정값</t>
    <phoneticPr fontId="2" type="noConversion"/>
  </si>
  <si>
    <t>’19.12.12</t>
  </si>
  <si>
    <t>’19.12.3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</si>
</sst>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0.000"/>
    <numFmt numFmtId="179" formatCode="0.0000000000000_ "/>
    <numFmt numFmtId="180" formatCode="0.000_ "/>
    <numFmt numFmtId="181" formatCode="0.0_ "/>
    <numFmt numFmtId="182" formatCode="0.00_ "/>
    <numFmt numFmtId="183" formatCode="0.0000"/>
    <numFmt numFmtId="184" formatCode="0.000000000000000_ "/>
  </numFmts>
  <fonts count="45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trike/>
      <sz val="10"/>
      <color rgb="FF0070C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0"/>
      <color rgb="FF7030A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6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12" borderId="13" applyNumberFormat="0" applyFont="0" applyAlignment="0" applyProtection="0">
      <alignment vertical="center"/>
    </xf>
    <xf numFmtId="0" fontId="9" fillId="12" borderId="13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176" fontId="10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0"/>
    <xf numFmtId="9" fontId="7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78" fontId="0" fillId="0" borderId="0" xfId="0" applyNumberFormat="1">
      <alignment vertical="center"/>
    </xf>
    <xf numFmtId="0" fontId="8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176" fontId="8" fillId="0" borderId="0" xfId="1" applyFont="1">
      <alignment vertical="center"/>
    </xf>
    <xf numFmtId="176" fontId="8" fillId="0" borderId="0" xfId="1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27" fillId="5" borderId="1" xfId="0" applyFont="1" applyFill="1" applyBorder="1">
      <alignment vertical="center"/>
    </xf>
    <xf numFmtId="0" fontId="28" fillId="0" borderId="1" xfId="0" applyFont="1" applyBorder="1">
      <alignment vertical="center"/>
    </xf>
    <xf numFmtId="0" fontId="30" fillId="5" borderId="1" xfId="0" applyFont="1" applyFill="1" applyBorder="1">
      <alignment vertical="center"/>
    </xf>
    <xf numFmtId="0" fontId="30" fillId="0" borderId="1" xfId="0" applyFont="1" applyBorder="1">
      <alignment vertical="center"/>
    </xf>
    <xf numFmtId="0" fontId="31" fillId="0" borderId="1" xfId="0" applyFont="1" applyBorder="1">
      <alignment vertical="center"/>
    </xf>
    <xf numFmtId="181" fontId="31" fillId="0" borderId="1" xfId="0" applyNumberFormat="1" applyFont="1" applyBorder="1">
      <alignment vertical="center"/>
    </xf>
    <xf numFmtId="181" fontId="28" fillId="0" borderId="1" xfId="0" applyNumberFormat="1" applyFont="1" applyBorder="1">
      <alignment vertical="center"/>
    </xf>
    <xf numFmtId="181" fontId="30" fillId="0" borderId="1" xfId="0" applyNumberFormat="1" applyFont="1" applyBorder="1">
      <alignment vertical="center"/>
    </xf>
    <xf numFmtId="181" fontId="27" fillId="5" borderId="1" xfId="0" applyNumberFormat="1" applyFont="1" applyFill="1" applyBorder="1">
      <alignment vertical="center"/>
    </xf>
    <xf numFmtId="0" fontId="0" fillId="41" borderId="0" xfId="0" applyFill="1">
      <alignment vertical="center"/>
    </xf>
    <xf numFmtId="0" fontId="0" fillId="41" borderId="1" xfId="0" applyFill="1" applyBorder="1">
      <alignment vertical="center"/>
    </xf>
    <xf numFmtId="0" fontId="0" fillId="41" borderId="1" xfId="0" applyFill="1" applyBorder="1" applyAlignment="1">
      <alignment horizontal="center" vertical="center"/>
    </xf>
    <xf numFmtId="0" fontId="9" fillId="41" borderId="1" xfId="0" applyFont="1" applyFill="1" applyBorder="1" applyAlignment="1">
      <alignment horizontal="center" vertical="center"/>
    </xf>
    <xf numFmtId="178" fontId="0" fillId="41" borderId="1" xfId="0" applyNumberFormat="1" applyFill="1" applyBorder="1" applyAlignment="1">
      <alignment horizontal="center" vertical="center"/>
    </xf>
    <xf numFmtId="180" fontId="0" fillId="41" borderId="1" xfId="0" applyNumberFormat="1" applyFill="1" applyBorder="1">
      <alignment vertical="center"/>
    </xf>
    <xf numFmtId="0" fontId="0" fillId="41" borderId="0" xfId="0" quotePrefix="1" applyFill="1">
      <alignment vertical="center"/>
    </xf>
    <xf numFmtId="0" fontId="0" fillId="41" borderId="2" xfId="0" applyFill="1" applyBorder="1">
      <alignment vertical="center"/>
    </xf>
    <xf numFmtId="0" fontId="0" fillId="41" borderId="3" xfId="0" applyFill="1" applyBorder="1">
      <alignment vertical="center"/>
    </xf>
    <xf numFmtId="0" fontId="1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83" fontId="0" fillId="0" borderId="0" xfId="0" applyNumberFormat="1">
      <alignment vertical="center"/>
    </xf>
    <xf numFmtId="0" fontId="0" fillId="43" borderId="23" xfId="0" applyFill="1" applyBorder="1">
      <alignment vertical="center"/>
    </xf>
    <xf numFmtId="0" fontId="0" fillId="43" borderId="0" xfId="0" applyFill="1">
      <alignment vertical="center"/>
    </xf>
    <xf numFmtId="0" fontId="0" fillId="43" borderId="24" xfId="0" applyFill="1" applyBorder="1" applyAlignment="1">
      <alignment horizontal="right" vertical="center"/>
    </xf>
    <xf numFmtId="0" fontId="0" fillId="43" borderId="25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3" borderId="26" xfId="0" applyFill="1" applyBorder="1" applyAlignment="1">
      <alignment horizontal="center" vertical="center"/>
    </xf>
    <xf numFmtId="0" fontId="9" fillId="43" borderId="25" xfId="0" applyFont="1" applyFill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0" fontId="9" fillId="43" borderId="27" xfId="0" applyFont="1" applyFill="1" applyBorder="1" applyAlignment="1">
      <alignment horizontal="center" vertical="center"/>
    </xf>
    <xf numFmtId="0" fontId="0" fillId="43" borderId="28" xfId="0" applyFill="1" applyBorder="1" applyAlignment="1">
      <alignment horizontal="center" vertical="center"/>
    </xf>
    <xf numFmtId="0" fontId="0" fillId="43" borderId="29" xfId="0" applyFill="1" applyBorder="1" applyAlignment="1">
      <alignment horizontal="center" vertical="center"/>
    </xf>
    <xf numFmtId="182" fontId="27" fillId="5" borderId="2" xfId="0" applyNumberFormat="1" applyFont="1" applyFill="1" applyBorder="1">
      <alignment vertical="center"/>
    </xf>
    <xf numFmtId="0" fontId="9" fillId="0" borderId="4" xfId="0" applyFont="1" applyBorder="1">
      <alignment vertical="center"/>
    </xf>
    <xf numFmtId="0" fontId="28" fillId="0" borderId="5" xfId="0" applyFont="1" applyBorder="1">
      <alignment vertical="center"/>
    </xf>
    <xf numFmtId="177" fontId="35" fillId="0" borderId="3" xfId="0" applyNumberFormat="1" applyFont="1" applyBorder="1">
      <alignment vertical="center"/>
    </xf>
    <xf numFmtId="177" fontId="36" fillId="5" borderId="3" xfId="0" applyNumberFormat="1" applyFont="1" applyFill="1" applyBorder="1">
      <alignment vertical="center"/>
    </xf>
    <xf numFmtId="177" fontId="37" fillId="0" borderId="1" xfId="0" applyNumberFormat="1" applyFont="1" applyBorder="1">
      <alignment vertical="center"/>
    </xf>
    <xf numFmtId="177" fontId="38" fillId="0" borderId="1" xfId="0" applyNumberFormat="1" applyFont="1" applyBorder="1">
      <alignment vertical="center"/>
    </xf>
    <xf numFmtId="177" fontId="39" fillId="0" borderId="1" xfId="0" applyNumberFormat="1" applyFont="1" applyBorder="1">
      <alignment vertical="center"/>
    </xf>
    <xf numFmtId="0" fontId="35" fillId="0" borderId="1" xfId="0" applyFont="1" applyBorder="1">
      <alignment vertical="center"/>
    </xf>
    <xf numFmtId="0" fontId="35" fillId="0" borderId="2" xfId="0" applyFont="1" applyBorder="1">
      <alignment vertical="center"/>
    </xf>
    <xf numFmtId="0" fontId="40" fillId="5" borderId="30" xfId="0" applyFont="1" applyFill="1" applyBorder="1" applyAlignment="1">
      <alignment horizontal="center" vertical="center"/>
    </xf>
    <xf numFmtId="0" fontId="41" fillId="5" borderId="31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184" fontId="0" fillId="0" borderId="0" xfId="0" applyNumberFormat="1">
      <alignment vertical="center"/>
    </xf>
    <xf numFmtId="182" fontId="0" fillId="0" borderId="0" xfId="0" applyNumberFormat="1">
      <alignment vertical="center"/>
    </xf>
    <xf numFmtId="176" fontId="4" fillId="0" borderId="1" xfId="1" applyFont="1" applyFill="1" applyBorder="1">
      <alignment vertical="center"/>
    </xf>
    <xf numFmtId="176" fontId="4" fillId="37" borderId="1" xfId="1" applyFont="1" applyFill="1" applyBorder="1">
      <alignment vertical="center"/>
    </xf>
    <xf numFmtId="176" fontId="4" fillId="4" borderId="1" xfId="1" applyFont="1" applyFill="1" applyBorder="1">
      <alignment vertical="center"/>
    </xf>
    <xf numFmtId="176" fontId="4" fillId="38" borderId="1" xfId="1" applyFont="1" applyFill="1" applyBorder="1">
      <alignment vertical="center"/>
    </xf>
    <xf numFmtId="176" fontId="4" fillId="5" borderId="1" xfId="1" applyFont="1" applyFill="1" applyBorder="1">
      <alignment vertical="center"/>
    </xf>
    <xf numFmtId="176" fontId="4" fillId="40" borderId="1" xfId="1" applyFont="1" applyFill="1" applyBorder="1">
      <alignment vertical="center"/>
    </xf>
    <xf numFmtId="176" fontId="4" fillId="0" borderId="1" xfId="1" applyFont="1" applyFill="1" applyBorder="1" applyAlignment="1">
      <alignment horizontal="center" vertical="center"/>
    </xf>
    <xf numFmtId="176" fontId="4" fillId="39" borderId="1" xfId="1" applyFont="1" applyFill="1" applyBorder="1">
      <alignment vertical="center"/>
    </xf>
    <xf numFmtId="176" fontId="0" fillId="0" borderId="0" xfId="1" applyFont="1">
      <alignment vertical="center"/>
    </xf>
    <xf numFmtId="176" fontId="3" fillId="0" borderId="0" xfId="1" applyFont="1">
      <alignment vertical="center"/>
    </xf>
    <xf numFmtId="176" fontId="3" fillId="0" borderId="1" xfId="1" applyFont="1" applyBorder="1" applyAlignment="1">
      <alignment horizontal="center" vertical="center"/>
    </xf>
    <xf numFmtId="176" fontId="4" fillId="0" borderId="1" xfId="1" applyFont="1" applyBorder="1" applyAlignment="1">
      <alignment horizontal="center" vertical="center"/>
    </xf>
    <xf numFmtId="176" fontId="1" fillId="3" borderId="3" xfId="1" applyFont="1" applyFill="1" applyBorder="1" applyAlignment="1">
      <alignment horizontal="center" vertical="center"/>
    </xf>
    <xf numFmtId="176" fontId="4" fillId="0" borderId="1" xfId="1" applyFont="1" applyBorder="1">
      <alignment vertical="center"/>
    </xf>
    <xf numFmtId="176" fontId="1" fillId="3" borderId="1" xfId="1" applyFont="1" applyFill="1" applyBorder="1" applyAlignment="1">
      <alignment horizontal="center" vertical="center"/>
    </xf>
    <xf numFmtId="176" fontId="1" fillId="3" borderId="1" xfId="1" applyFont="1" applyFill="1" applyBorder="1" applyAlignment="1">
      <alignment horizontal="center" vertical="center" wrapText="1"/>
    </xf>
    <xf numFmtId="176" fontId="1" fillId="3" borderId="0" xfId="1" applyFont="1" applyFill="1" applyBorder="1" applyAlignment="1">
      <alignment horizontal="center" vertical="center"/>
    </xf>
    <xf numFmtId="176" fontId="3" fillId="0" borderId="1" xfId="1" applyFont="1" applyBorder="1">
      <alignment vertical="center"/>
    </xf>
    <xf numFmtId="176" fontId="27" fillId="5" borderId="1" xfId="1" applyFont="1" applyFill="1" applyBorder="1">
      <alignment vertical="center"/>
    </xf>
    <xf numFmtId="176" fontId="27" fillId="5" borderId="1" xfId="1" applyFont="1" applyFill="1" applyBorder="1" applyAlignment="1">
      <alignment horizontal="center" vertical="center"/>
    </xf>
    <xf numFmtId="176" fontId="28" fillId="0" borderId="1" xfId="1" applyFont="1" applyFill="1" applyBorder="1">
      <alignment vertical="center"/>
    </xf>
    <xf numFmtId="176" fontId="28" fillId="0" borderId="1" xfId="1" applyFont="1" applyFill="1" applyBorder="1" applyAlignment="1">
      <alignment vertical="center"/>
    </xf>
    <xf numFmtId="176" fontId="28" fillId="0" borderId="1" xfId="1" applyFont="1" applyFill="1" applyBorder="1" applyAlignment="1">
      <alignment horizontal="center" vertical="center"/>
    </xf>
    <xf numFmtId="176" fontId="30" fillId="0" borderId="1" xfId="1" applyFont="1" applyFill="1" applyBorder="1">
      <alignment vertical="center"/>
    </xf>
    <xf numFmtId="176" fontId="30" fillId="0" borderId="1" xfId="1" applyFont="1" applyFill="1" applyBorder="1" applyAlignment="1">
      <alignment vertical="center"/>
    </xf>
    <xf numFmtId="176" fontId="30" fillId="0" borderId="1" xfId="1" applyFont="1" applyFill="1" applyBorder="1" applyAlignment="1">
      <alignment horizontal="center" vertical="center"/>
    </xf>
    <xf numFmtId="176" fontId="31" fillId="0" borderId="1" xfId="1" applyFont="1" applyBorder="1">
      <alignment vertical="center"/>
    </xf>
    <xf numFmtId="176" fontId="31" fillId="0" borderId="1" xfId="1" applyFont="1" applyBorder="1" applyAlignment="1">
      <alignment horizontal="center" vertical="center"/>
    </xf>
    <xf numFmtId="176" fontId="32" fillId="0" borderId="0" xfId="1" applyFont="1" applyFill="1" applyAlignment="1">
      <alignment vertical="center"/>
    </xf>
    <xf numFmtId="176" fontId="29" fillId="0" borderId="0" xfId="1" applyFont="1">
      <alignment vertical="center"/>
    </xf>
    <xf numFmtId="176" fontId="0" fillId="0" borderId="0" xfId="1" applyFont="1" applyFill="1">
      <alignment vertical="center"/>
    </xf>
    <xf numFmtId="176" fontId="3" fillId="5" borderId="1" xfId="1" applyFont="1" applyFill="1" applyBorder="1">
      <alignment vertical="center"/>
    </xf>
    <xf numFmtId="176" fontId="4" fillId="42" borderId="1" xfId="1" applyFont="1" applyFill="1" applyBorder="1">
      <alignment vertical="center"/>
    </xf>
    <xf numFmtId="0" fontId="0" fillId="44" borderId="1" xfId="0" applyFill="1" applyBorder="1" applyAlignment="1">
      <alignment horizontal="center" vertical="center"/>
    </xf>
    <xf numFmtId="176" fontId="0" fillId="0" borderId="1" xfId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176" fontId="0" fillId="45" borderId="1" xfId="1" applyFont="1" applyFill="1" applyBorder="1" applyAlignment="1">
      <alignment horizontal="center" vertical="center"/>
    </xf>
    <xf numFmtId="176" fontId="0" fillId="4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42" borderId="1" xfId="0" applyNumberFormat="1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176" fontId="0" fillId="42" borderId="1" xfId="1" applyFont="1" applyFill="1" applyBorder="1" applyAlignment="1">
      <alignment horizontal="center" vertical="center"/>
    </xf>
    <xf numFmtId="0" fontId="43" fillId="46" borderId="0" xfId="0" applyFont="1" applyFill="1" applyAlignment="1">
      <alignment horizontal="center" vertical="center"/>
    </xf>
    <xf numFmtId="0" fontId="0" fillId="0" borderId="0" xfId="0" applyAlignment="1"/>
    <xf numFmtId="0" fontId="43" fillId="0" borderId="1" xfId="0" applyFont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42" fillId="44" borderId="4" xfId="0" applyFont="1" applyFill="1" applyBorder="1" applyAlignment="1">
      <alignment horizontal="center" vertical="center"/>
    </xf>
    <xf numFmtId="0" fontId="42" fillId="44" borderId="5" xfId="0" applyFont="1" applyFill="1" applyBorder="1" applyAlignment="1">
      <alignment horizontal="center" vertical="center"/>
    </xf>
    <xf numFmtId="176" fontId="42" fillId="44" borderId="4" xfId="1" applyFont="1" applyFill="1" applyBorder="1" applyAlignment="1">
      <alignment horizontal="center" vertical="center"/>
    </xf>
    <xf numFmtId="176" fontId="42" fillId="44" borderId="5" xfId="1" applyFont="1" applyFill="1" applyBorder="1" applyAlignment="1">
      <alignment horizontal="center" vertical="center"/>
    </xf>
    <xf numFmtId="9" fontId="0" fillId="44" borderId="4" xfId="95" applyFont="1" applyFill="1" applyBorder="1" applyAlignment="1">
      <alignment horizontal="center" vertical="center"/>
    </xf>
    <xf numFmtId="9" fontId="0" fillId="44" borderId="5" xfId="95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1" fillId="2" borderId="0" xfId="1" applyFont="1" applyFill="1" applyAlignment="1">
      <alignment horizontal="center" vertical="center"/>
    </xf>
    <xf numFmtId="176" fontId="1" fillId="3" borderId="4" xfId="1" applyFont="1" applyFill="1" applyBorder="1" applyAlignment="1">
      <alignment horizontal="center" vertical="center"/>
    </xf>
    <xf numFmtId="176" fontId="1" fillId="3" borderId="5" xfId="1" applyFont="1" applyFill="1" applyBorder="1" applyAlignment="1">
      <alignment horizontal="center" vertical="center"/>
    </xf>
    <xf numFmtId="176" fontId="1" fillId="3" borderId="1" xfId="1" applyFont="1" applyFill="1" applyBorder="1" applyAlignment="1">
      <alignment horizontal="center" vertical="center"/>
    </xf>
    <xf numFmtId="176" fontId="1" fillId="3" borderId="1" xfId="1" applyFont="1" applyFill="1" applyBorder="1" applyAlignment="1">
      <alignment horizontal="center" vertical="center" wrapText="1"/>
    </xf>
    <xf numFmtId="0" fontId="0" fillId="43" borderId="20" xfId="0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43" borderId="22" xfId="0" applyFill="1" applyBorder="1" applyAlignment="1">
      <alignment horizontal="center" vertical="center"/>
    </xf>
  </cellXfs>
  <cellStyles count="96">
    <cellStyle name="20% - 강조색1 2" xfId="3" xr:uid="{00000000-0005-0000-0000-000000000000}"/>
    <cellStyle name="20% - 강조색1 3" xfId="4" xr:uid="{00000000-0005-0000-0000-000001000000}"/>
    <cellStyle name="20% - 강조색2 2" xfId="5" xr:uid="{00000000-0005-0000-0000-000002000000}"/>
    <cellStyle name="20% - 강조색2 3" xfId="6" xr:uid="{00000000-0005-0000-0000-000003000000}"/>
    <cellStyle name="20% - 강조색3 2" xfId="7" xr:uid="{00000000-0005-0000-0000-000004000000}"/>
    <cellStyle name="20% - 강조색3 3" xfId="8" xr:uid="{00000000-0005-0000-0000-000005000000}"/>
    <cellStyle name="20% - 강조색4 2" xfId="9" xr:uid="{00000000-0005-0000-0000-000006000000}"/>
    <cellStyle name="20% - 강조색4 3" xfId="10" xr:uid="{00000000-0005-0000-0000-000007000000}"/>
    <cellStyle name="20% - 강조색5 2" xfId="11" xr:uid="{00000000-0005-0000-0000-000008000000}"/>
    <cellStyle name="20% - 강조색5 3" xfId="12" xr:uid="{00000000-0005-0000-0000-000009000000}"/>
    <cellStyle name="20% - 강조색6 2" xfId="13" xr:uid="{00000000-0005-0000-0000-00000A000000}"/>
    <cellStyle name="20% - 강조색6 3" xfId="14" xr:uid="{00000000-0005-0000-0000-00000B000000}"/>
    <cellStyle name="40% - 강조색1 2" xfId="15" xr:uid="{00000000-0005-0000-0000-00000C000000}"/>
    <cellStyle name="40% - 강조색1 3" xfId="16" xr:uid="{00000000-0005-0000-0000-00000D000000}"/>
    <cellStyle name="40% - 강조색2 2" xfId="17" xr:uid="{00000000-0005-0000-0000-00000E000000}"/>
    <cellStyle name="40% - 강조색2 3" xfId="18" xr:uid="{00000000-0005-0000-0000-00000F000000}"/>
    <cellStyle name="40% - 강조색3 2" xfId="19" xr:uid="{00000000-0005-0000-0000-000010000000}"/>
    <cellStyle name="40% - 강조색3 3" xfId="20" xr:uid="{00000000-0005-0000-0000-000011000000}"/>
    <cellStyle name="40% - 강조색4 2" xfId="21" xr:uid="{00000000-0005-0000-0000-000012000000}"/>
    <cellStyle name="40% - 강조색4 3" xfId="22" xr:uid="{00000000-0005-0000-0000-000013000000}"/>
    <cellStyle name="40% - 강조색5 2" xfId="23" xr:uid="{00000000-0005-0000-0000-000014000000}"/>
    <cellStyle name="40% - 강조색5 3" xfId="24" xr:uid="{00000000-0005-0000-0000-000015000000}"/>
    <cellStyle name="40% - 강조색6 2" xfId="25" xr:uid="{00000000-0005-0000-0000-000016000000}"/>
    <cellStyle name="40% - 강조색6 3" xfId="26" xr:uid="{00000000-0005-0000-0000-000017000000}"/>
    <cellStyle name="60% - 강조색1 2" xfId="27" xr:uid="{00000000-0005-0000-0000-000018000000}"/>
    <cellStyle name="60% - 강조색1 3" xfId="28" xr:uid="{00000000-0005-0000-0000-000019000000}"/>
    <cellStyle name="60% - 강조색2 2" xfId="29" xr:uid="{00000000-0005-0000-0000-00001A000000}"/>
    <cellStyle name="60% - 강조색2 3" xfId="30" xr:uid="{00000000-0005-0000-0000-00001B000000}"/>
    <cellStyle name="60% - 강조색3 2" xfId="31" xr:uid="{00000000-0005-0000-0000-00001C000000}"/>
    <cellStyle name="60% - 강조색3 3" xfId="32" xr:uid="{00000000-0005-0000-0000-00001D000000}"/>
    <cellStyle name="60% - 강조색4 2" xfId="33" xr:uid="{00000000-0005-0000-0000-00001E000000}"/>
    <cellStyle name="60% - 강조색4 3" xfId="34" xr:uid="{00000000-0005-0000-0000-00001F000000}"/>
    <cellStyle name="60% - 강조색5 2" xfId="35" xr:uid="{00000000-0005-0000-0000-000020000000}"/>
    <cellStyle name="60% - 강조색5 3" xfId="36" xr:uid="{00000000-0005-0000-0000-000021000000}"/>
    <cellStyle name="60% - 강조색6 2" xfId="37" xr:uid="{00000000-0005-0000-0000-000022000000}"/>
    <cellStyle name="60% - 강조색6 3" xfId="38" xr:uid="{00000000-0005-0000-0000-000023000000}"/>
    <cellStyle name="강조색1 2" xfId="39" xr:uid="{00000000-0005-0000-0000-000024000000}"/>
    <cellStyle name="강조색1 3" xfId="40" xr:uid="{00000000-0005-0000-0000-000025000000}"/>
    <cellStyle name="강조색2 2" xfId="41" xr:uid="{00000000-0005-0000-0000-000026000000}"/>
    <cellStyle name="강조색2 3" xfId="42" xr:uid="{00000000-0005-0000-0000-000027000000}"/>
    <cellStyle name="강조색3 2" xfId="43" xr:uid="{00000000-0005-0000-0000-000028000000}"/>
    <cellStyle name="강조색3 3" xfId="44" xr:uid="{00000000-0005-0000-0000-000029000000}"/>
    <cellStyle name="강조색4 2" xfId="45" xr:uid="{00000000-0005-0000-0000-00002A000000}"/>
    <cellStyle name="강조색4 3" xfId="46" xr:uid="{00000000-0005-0000-0000-00002B000000}"/>
    <cellStyle name="강조색5 2" xfId="47" xr:uid="{00000000-0005-0000-0000-00002C000000}"/>
    <cellStyle name="강조색5 3" xfId="48" xr:uid="{00000000-0005-0000-0000-00002D000000}"/>
    <cellStyle name="강조색6 2" xfId="49" xr:uid="{00000000-0005-0000-0000-00002E000000}"/>
    <cellStyle name="강조색6 3" xfId="50" xr:uid="{00000000-0005-0000-0000-00002F000000}"/>
    <cellStyle name="경고문 2" xfId="51" xr:uid="{00000000-0005-0000-0000-000030000000}"/>
    <cellStyle name="경고문 3" xfId="52" xr:uid="{00000000-0005-0000-0000-000031000000}"/>
    <cellStyle name="계산 2" xfId="53" xr:uid="{00000000-0005-0000-0000-000032000000}"/>
    <cellStyle name="계산 3" xfId="54" xr:uid="{00000000-0005-0000-0000-000033000000}"/>
    <cellStyle name="나쁨 2" xfId="55" xr:uid="{00000000-0005-0000-0000-000034000000}"/>
    <cellStyle name="나쁨 3" xfId="56" xr:uid="{00000000-0005-0000-0000-000035000000}"/>
    <cellStyle name="메모 2" xfId="57" xr:uid="{00000000-0005-0000-0000-000036000000}"/>
    <cellStyle name="메모 3" xfId="58" xr:uid="{00000000-0005-0000-0000-000037000000}"/>
    <cellStyle name="백분율" xfId="95" builtinId="5"/>
    <cellStyle name="백분율 2" xfId="59" xr:uid="{00000000-0005-0000-0000-000038000000}"/>
    <cellStyle name="보통 2" xfId="60" xr:uid="{00000000-0005-0000-0000-000039000000}"/>
    <cellStyle name="보통 3" xfId="61" xr:uid="{00000000-0005-0000-0000-00003A000000}"/>
    <cellStyle name="설명 텍스트 2" xfId="62" xr:uid="{00000000-0005-0000-0000-00003B000000}"/>
    <cellStyle name="설명 텍스트 3" xfId="63" xr:uid="{00000000-0005-0000-0000-00003C000000}"/>
    <cellStyle name="셀 확인 2" xfId="64" xr:uid="{00000000-0005-0000-0000-00003D000000}"/>
    <cellStyle name="셀 확인 3" xfId="65" xr:uid="{00000000-0005-0000-0000-00003E000000}"/>
    <cellStyle name="쉼표 [0]" xfId="1" builtinId="6"/>
    <cellStyle name="쉼표 [0] 2" xfId="67" xr:uid="{00000000-0005-0000-0000-000040000000}"/>
    <cellStyle name="쉼표 [0] 3" xfId="68" xr:uid="{00000000-0005-0000-0000-000041000000}"/>
    <cellStyle name="쉼표 [0] 4" xfId="66" xr:uid="{00000000-0005-0000-0000-000042000000}"/>
    <cellStyle name="연결된 셀 2" xfId="69" xr:uid="{00000000-0005-0000-0000-000043000000}"/>
    <cellStyle name="연결된 셀 3" xfId="70" xr:uid="{00000000-0005-0000-0000-000044000000}"/>
    <cellStyle name="요약 2" xfId="71" xr:uid="{00000000-0005-0000-0000-000045000000}"/>
    <cellStyle name="요약 3" xfId="72" xr:uid="{00000000-0005-0000-0000-000046000000}"/>
    <cellStyle name="입력 2" xfId="73" xr:uid="{00000000-0005-0000-0000-000047000000}"/>
    <cellStyle name="입력 3" xfId="74" xr:uid="{00000000-0005-0000-0000-000048000000}"/>
    <cellStyle name="제목 1 2" xfId="75" xr:uid="{00000000-0005-0000-0000-000049000000}"/>
    <cellStyle name="제목 1 3" xfId="76" xr:uid="{00000000-0005-0000-0000-00004A000000}"/>
    <cellStyle name="제목 2 2" xfId="77" xr:uid="{00000000-0005-0000-0000-00004B000000}"/>
    <cellStyle name="제목 2 3" xfId="78" xr:uid="{00000000-0005-0000-0000-00004C000000}"/>
    <cellStyle name="제목 3 2" xfId="79" xr:uid="{00000000-0005-0000-0000-00004D000000}"/>
    <cellStyle name="제목 3 3" xfId="80" xr:uid="{00000000-0005-0000-0000-00004E000000}"/>
    <cellStyle name="제목 4 2" xfId="81" xr:uid="{00000000-0005-0000-0000-00004F000000}"/>
    <cellStyle name="제목 4 3" xfId="82" xr:uid="{00000000-0005-0000-0000-000050000000}"/>
    <cellStyle name="제목 5" xfId="83" xr:uid="{00000000-0005-0000-0000-000051000000}"/>
    <cellStyle name="제목 6" xfId="84" xr:uid="{00000000-0005-0000-0000-000052000000}"/>
    <cellStyle name="좋음 2" xfId="85" xr:uid="{00000000-0005-0000-0000-000053000000}"/>
    <cellStyle name="좋음 3" xfId="86" xr:uid="{00000000-0005-0000-0000-000054000000}"/>
    <cellStyle name="출력 2" xfId="87" xr:uid="{00000000-0005-0000-0000-000055000000}"/>
    <cellStyle name="출력 3" xfId="88" xr:uid="{00000000-0005-0000-0000-000056000000}"/>
    <cellStyle name="표준" xfId="0" builtinId="0"/>
    <cellStyle name="표준 2" xfId="89" xr:uid="{00000000-0005-0000-0000-000058000000}"/>
    <cellStyle name="표준 2 2" xfId="90" xr:uid="{00000000-0005-0000-0000-000059000000}"/>
    <cellStyle name="표준 3" xfId="91" xr:uid="{00000000-0005-0000-0000-00005A000000}"/>
    <cellStyle name="표준 4" xfId="92" xr:uid="{00000000-0005-0000-0000-00005B000000}"/>
    <cellStyle name="표준 5" xfId="93" xr:uid="{00000000-0005-0000-0000-00005C000000}"/>
    <cellStyle name="표준 6" xfId="2" xr:uid="{00000000-0005-0000-0000-00005D000000}"/>
    <cellStyle name="표준 7" xfId="94" xr:uid="{33547497-4A89-455B-A08E-F16CAC3553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88.6\re00.&#50948;&#47168;&#49324;&#50629;&#49548;\Users\R9122\Desktop\3.%20&#48156;&#51204;&#51648;&#50896;&#54028;&#53944;\1)%20&#48156;&#51204;&#51648;&#50896;\02.%20&#44277;&#44553;&#44032;&#45733;&#50857;&#47049;\'19&#45380;%209&#50900;%201&#51452;&#52264;\&#52392;&#48512;1%20&#50948;&#47168;%20MODE&#48324;%20&#44277;&#44553;&#44032;&#45733;&#50857;&#47049;_'19&#45380;%209&#50900;%203&#510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9.88.6\re00.&#50948;&#47168;&#49324;&#50629;&#49548;\Users\R9122\Desktop\5.%20&#48156;&#51204;&#51648;&#50896;&#54028;&#53944;\1)%20&#48156;&#51204;&#51648;&#50896;\02.%20&#44277;&#44553;&#44032;&#45733;&#50857;&#47049;\'19&#45380;%203&#50900;%203&#51452;&#52264;\&#52392;&#48512;1%20&#50948;&#47168;%20MODE&#48324;%20&#44277;&#44553;&#44032;&#45733;&#50857;&#47049;_'19&#45380;%203&#50900;%202&#51452;&#52264;_NORMAL%20&#51077;&#522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3"/>
      <sheetName val="Mode5"/>
      <sheetName val="Mode1"/>
      <sheetName val="열전비 Sheet"/>
      <sheetName val="Sheet1"/>
    </sheetNames>
    <sheetDataSet>
      <sheetData sheetId="0">
        <row r="51">
          <cell r="H51">
            <v>391.97107557212621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3"/>
      <sheetName val="Mode5"/>
      <sheetName val="Mode1"/>
      <sheetName val="열전비 Sheet"/>
      <sheetName val="Sheet1"/>
    </sheetNames>
    <sheetDataSet>
      <sheetData sheetId="0" refreshError="1"/>
      <sheetData sheetId="1">
        <row r="5">
          <cell r="H5">
            <v>377.75699053737259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B5F4-3ED0-44EC-80F7-867C4C431AD3}">
  <sheetPr>
    <tabColor rgb="FF92D050"/>
    <pageSetUpPr fitToPage="1"/>
  </sheetPr>
  <dimension ref="B2:Z66"/>
  <sheetViews>
    <sheetView view="pageBreakPreview" topLeftCell="A35" zoomScaleNormal="70" zoomScaleSheetLayoutView="100" workbookViewId="0">
      <selection activeCell="L24" sqref="L24"/>
    </sheetView>
  </sheetViews>
  <sheetFormatPr defaultRowHeight="16.5"/>
  <cols>
    <col min="1" max="15" width="8.625" customWidth="1"/>
    <col min="16" max="16" width="24.375" bestFit="1" customWidth="1"/>
    <col min="17" max="17" width="6.75" bestFit="1" customWidth="1"/>
    <col min="18" max="24" width="6.375" bestFit="1" customWidth="1"/>
    <col min="25" max="25" width="8.25" bestFit="1" customWidth="1"/>
  </cols>
  <sheetData>
    <row r="2" spans="2:26" ht="16.5" customHeight="1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 t="s">
        <v>1</v>
      </c>
      <c r="L2" s="111"/>
      <c r="M2" s="113">
        <f>AVERAGE(Y8:Y12)-8</f>
        <v>1006.2</v>
      </c>
      <c r="N2" s="113"/>
      <c r="P2" s="108" t="s">
        <v>2</v>
      </c>
      <c r="Q2" s="108"/>
      <c r="R2" s="103"/>
      <c r="S2" s="103"/>
      <c r="T2" s="103"/>
      <c r="U2" s="103"/>
      <c r="V2" s="103"/>
      <c r="W2" s="103"/>
      <c r="X2" s="103"/>
      <c r="Y2" s="103"/>
      <c r="Z2" s="103"/>
    </row>
    <row r="3" spans="2:26" ht="16.5" customHeight="1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4"/>
      <c r="N3" s="114"/>
      <c r="P3" s="108" t="s">
        <v>3</v>
      </c>
      <c r="Q3" s="108" t="s">
        <v>4</v>
      </c>
      <c r="R3" s="103"/>
      <c r="S3" s="103"/>
      <c r="T3" s="103"/>
      <c r="U3" s="103"/>
      <c r="V3" s="103"/>
      <c r="W3" s="103"/>
      <c r="X3" s="103"/>
      <c r="Y3" s="103"/>
      <c r="Z3" s="103"/>
    </row>
    <row r="4" spans="2:26">
      <c r="B4" s="115" t="s">
        <v>5</v>
      </c>
      <c r="C4" s="110" t="s">
        <v>6</v>
      </c>
      <c r="D4" s="110"/>
      <c r="E4" s="110" t="s">
        <v>7</v>
      </c>
      <c r="F4" s="110"/>
      <c r="G4" s="110" t="s">
        <v>8</v>
      </c>
      <c r="H4" s="110"/>
      <c r="I4" s="110" t="s">
        <v>9</v>
      </c>
      <c r="J4" s="110"/>
      <c r="K4" s="110" t="s">
        <v>10</v>
      </c>
      <c r="L4" s="110"/>
      <c r="M4" s="110" t="s">
        <v>11</v>
      </c>
      <c r="N4" s="110"/>
      <c r="P4" s="107" t="s">
        <v>12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2:26">
      <c r="B5" s="116"/>
      <c r="C5" s="97" t="s">
        <v>13</v>
      </c>
      <c r="D5" s="97" t="s">
        <v>14</v>
      </c>
      <c r="E5" s="97" t="s">
        <v>13</v>
      </c>
      <c r="F5" s="97" t="s">
        <v>14</v>
      </c>
      <c r="G5" s="97" t="s">
        <v>13</v>
      </c>
      <c r="H5" s="97" t="s">
        <v>14</v>
      </c>
      <c r="I5" s="97" t="s">
        <v>13</v>
      </c>
      <c r="J5" s="97" t="s">
        <v>14</v>
      </c>
      <c r="K5" s="97" t="s">
        <v>13</v>
      </c>
      <c r="L5" s="97" t="s">
        <v>14</v>
      </c>
      <c r="M5" s="97" t="s">
        <v>13</v>
      </c>
      <c r="N5" s="97" t="s">
        <v>14</v>
      </c>
      <c r="P5" s="109" t="s">
        <v>15</v>
      </c>
      <c r="Q5" s="109">
        <v>0</v>
      </c>
      <c r="R5" s="109">
        <v>3</v>
      </c>
      <c r="S5" s="109">
        <v>6</v>
      </c>
      <c r="T5" s="109">
        <v>9</v>
      </c>
      <c r="U5" s="109">
        <v>12</v>
      </c>
      <c r="V5" s="109">
        <v>15</v>
      </c>
      <c r="W5" s="109">
        <v>18</v>
      </c>
      <c r="X5" s="109">
        <v>21</v>
      </c>
      <c r="Y5" s="109" t="s">
        <v>16</v>
      </c>
      <c r="Z5" s="109" t="s">
        <v>17</v>
      </c>
    </row>
    <row r="6" spans="2:26">
      <c r="B6" s="105">
        <v>-20</v>
      </c>
      <c r="C6" s="106">
        <f>Mode3!G5</f>
        <v>279.86992403709252</v>
      </c>
      <c r="D6" s="106">
        <f>Mode3!H5</f>
        <v>433.50460894324601</v>
      </c>
      <c r="E6" s="104">
        <f>Mode3!P5</f>
        <v>279.86992403709252</v>
      </c>
      <c r="F6" s="104">
        <f>Mode3!Q5</f>
        <v>432.09382188009494</v>
      </c>
      <c r="G6" s="104">
        <f>Mode5!AA5</f>
        <v>279.86992403709252</v>
      </c>
      <c r="H6" s="104">
        <f>Mode5!AB5</f>
        <v>419.17917221176708</v>
      </c>
      <c r="I6" s="104">
        <f>Mode5!Q5</f>
        <v>279.86992403709252</v>
      </c>
      <c r="J6" s="104">
        <f>Mode5!R5</f>
        <v>401.73951010387964</v>
      </c>
      <c r="K6" s="104">
        <f>Mode5!G5</f>
        <v>279.86992403709252</v>
      </c>
      <c r="L6" s="104">
        <f>Mode5!H5</f>
        <v>383.88490252284436</v>
      </c>
      <c r="M6" s="104">
        <f>Mode1!G5</f>
        <v>279.86992403709252</v>
      </c>
      <c r="N6" s="104">
        <f>Mode1!H5</f>
        <v>364.9919453606629</v>
      </c>
      <c r="P6" s="11" t="s">
        <v>18</v>
      </c>
      <c r="Q6" s="11">
        <v>1010</v>
      </c>
      <c r="R6" s="11">
        <v>1009</v>
      </c>
      <c r="S6" s="11">
        <v>1010</v>
      </c>
      <c r="T6" s="11">
        <v>1010</v>
      </c>
      <c r="U6" s="11">
        <v>1010</v>
      </c>
      <c r="V6" s="11">
        <v>1009</v>
      </c>
      <c r="W6" s="11">
        <v>1009</v>
      </c>
      <c r="X6" s="11">
        <v>1011</v>
      </c>
      <c r="Y6" s="109">
        <v>1010</v>
      </c>
      <c r="Z6" s="109">
        <v>1009</v>
      </c>
    </row>
    <row r="7" spans="2:26">
      <c r="B7" s="11">
        <v>-19</v>
      </c>
      <c r="C7" s="98">
        <f>Mode3!G6</f>
        <v>280.56244158231618</v>
      </c>
      <c r="D7" s="99">
        <f>Mode3!H6</f>
        <v>434.55871473023052</v>
      </c>
      <c r="E7" s="99">
        <f>Mode3!P6</f>
        <v>280.56244158231618</v>
      </c>
      <c r="F7" s="99">
        <f>Mode3!Q6</f>
        <v>433.14449721033969</v>
      </c>
      <c r="G7" s="99">
        <f>Mode5!AA6</f>
        <v>280.56244158231618</v>
      </c>
      <c r="H7" s="99">
        <f>Mode5!AB6</f>
        <v>420.18316625054877</v>
      </c>
      <c r="I7" s="99">
        <f>Mode5!Q6</f>
        <v>280.56244158231618</v>
      </c>
      <c r="J7" s="99">
        <f>Mode5!R6</f>
        <v>402.68249853615362</v>
      </c>
      <c r="K7" s="99">
        <f>Mode5!G6</f>
        <v>280.56244158231618</v>
      </c>
      <c r="L7" s="99">
        <f>Mode5!H6</f>
        <v>384.76543382964758</v>
      </c>
      <c r="M7" s="99">
        <f>Mode1!G6</f>
        <v>280.56244158231618</v>
      </c>
      <c r="N7" s="99">
        <f>Mode1!H6</f>
        <v>365.80638729582154</v>
      </c>
      <c r="P7" s="11" t="s">
        <v>19</v>
      </c>
      <c r="Q7" s="11">
        <v>1014</v>
      </c>
      <c r="R7" s="11">
        <v>1015</v>
      </c>
      <c r="S7" s="11">
        <v>1015</v>
      </c>
      <c r="T7" s="11">
        <v>1017</v>
      </c>
      <c r="U7" s="11">
        <v>1017</v>
      </c>
      <c r="V7" s="11">
        <v>1015</v>
      </c>
      <c r="W7" s="11">
        <v>1015</v>
      </c>
      <c r="X7" s="11">
        <v>1015</v>
      </c>
      <c r="Y7" s="109">
        <v>1015</v>
      </c>
      <c r="Z7" s="109">
        <v>1014</v>
      </c>
    </row>
    <row r="8" spans="2:26">
      <c r="B8" s="11">
        <v>-18</v>
      </c>
      <c r="C8" s="98">
        <f>Mode3!G7</f>
        <v>281.22581494626007</v>
      </c>
      <c r="D8" s="99">
        <f>Mode3!H7</f>
        <v>435.56845911387484</v>
      </c>
      <c r="E8" s="99">
        <f>Mode3!P7</f>
        <v>281.22581494626007</v>
      </c>
      <c r="F8" s="99">
        <f>Mode3!Q7</f>
        <v>434.15095550593753</v>
      </c>
      <c r="G8" s="99">
        <f>Mode5!AA7</f>
        <v>281.22581494626007</v>
      </c>
      <c r="H8" s="99">
        <f>Mode5!AB7</f>
        <v>421.14419383602393</v>
      </c>
      <c r="I8" s="99">
        <f>Mode5!Q7</f>
        <v>281.22581494626007</v>
      </c>
      <c r="J8" s="99">
        <f>Mode5!R7</f>
        <v>403.58421871516191</v>
      </c>
      <c r="K8" s="99">
        <f>Mode5!G7</f>
        <v>281.22581494626007</v>
      </c>
      <c r="L8" s="99">
        <f>Mode5!H7</f>
        <v>385.60643548884957</v>
      </c>
      <c r="M8" s="99">
        <f>Mode1!G7</f>
        <v>281.22581494626007</v>
      </c>
      <c r="N8" s="99">
        <f>Mode1!H7</f>
        <v>366.5831392991044</v>
      </c>
      <c r="P8" s="11" t="s">
        <v>20</v>
      </c>
      <c r="Q8" s="11">
        <v>1014</v>
      </c>
      <c r="R8" s="11">
        <v>1013</v>
      </c>
      <c r="S8" s="11">
        <v>1013</v>
      </c>
      <c r="T8" s="11">
        <v>1013</v>
      </c>
      <c r="U8" s="11">
        <v>1013</v>
      </c>
      <c r="V8" s="11">
        <v>1012</v>
      </c>
      <c r="W8" s="11">
        <v>1013</v>
      </c>
      <c r="X8" s="11">
        <v>1014</v>
      </c>
      <c r="Y8" s="109">
        <v>1013</v>
      </c>
      <c r="Z8" s="109">
        <v>1012</v>
      </c>
    </row>
    <row r="9" spans="2:26">
      <c r="B9" s="11">
        <v>-17</v>
      </c>
      <c r="C9" s="98">
        <f>Mode3!G8</f>
        <v>281.8727998244043</v>
      </c>
      <c r="D9" s="99">
        <f>Mode3!H8</f>
        <v>436.55325799564616</v>
      </c>
      <c r="E9" s="99">
        <f>Mode3!P8</f>
        <v>281.8727998244043</v>
      </c>
      <c r="F9" s="99">
        <f>Mode3!Q8</f>
        <v>435.13254948170891</v>
      </c>
      <c r="G9" s="99">
        <f>Mode5!AA8</f>
        <v>281.8727998244043</v>
      </c>
      <c r="H9" s="99">
        <f>Mode5!AB8</f>
        <v>422.08103188988304</v>
      </c>
      <c r="I9" s="99">
        <f>Mode5!Q8</f>
        <v>281.8727998244043</v>
      </c>
      <c r="J9" s="99">
        <f>Mode5!R8</f>
        <v>404.46266967417142</v>
      </c>
      <c r="K9" s="99">
        <f>Mode5!G8</f>
        <v>281.8727998244043</v>
      </c>
      <c r="L9" s="99">
        <f>Mode5!H8</f>
        <v>386.42511013683378</v>
      </c>
      <c r="M9" s="99">
        <f>Mode1!G8</f>
        <v>281.8727998244043</v>
      </c>
      <c r="N9" s="99">
        <f>Mode1!H8</f>
        <v>367.33856129488731</v>
      </c>
      <c r="P9" s="11" t="s">
        <v>21</v>
      </c>
      <c r="Q9" s="11">
        <v>1015</v>
      </c>
      <c r="R9" s="11">
        <v>1014</v>
      </c>
      <c r="S9" s="11">
        <v>1015</v>
      </c>
      <c r="T9" s="11">
        <v>1015</v>
      </c>
      <c r="U9" s="11">
        <v>1015</v>
      </c>
      <c r="V9" s="11">
        <v>1013</v>
      </c>
      <c r="W9" s="11">
        <v>1014</v>
      </c>
      <c r="X9" s="11">
        <v>1015</v>
      </c>
      <c r="Y9" s="109">
        <v>1015</v>
      </c>
      <c r="Z9" s="109">
        <v>1013</v>
      </c>
    </row>
    <row r="10" spans="2:26">
      <c r="B10" s="11">
        <v>-16</v>
      </c>
      <c r="C10" s="98">
        <f>Mode3!G9</f>
        <v>282.46220439095146</v>
      </c>
      <c r="D10" s="99">
        <f>Mode3!H9</f>
        <v>437.45041182049528</v>
      </c>
      <c r="E10" s="99">
        <f>Mode3!P9</f>
        <v>282.46220439095146</v>
      </c>
      <c r="F10" s="99">
        <f>Mode3!Q9</f>
        <v>436.02678363054156</v>
      </c>
      <c r="G10" s="99">
        <f>Mode5!AA9</f>
        <v>282.46220439095146</v>
      </c>
      <c r="H10" s="99">
        <f>Mode5!AB9</f>
        <v>422.93306425254298</v>
      </c>
      <c r="I10" s="99">
        <f>Mode5!Q9</f>
        <v>282.46220439095146</v>
      </c>
      <c r="J10" s="99">
        <f>Mode5!R9</f>
        <v>405.25977156112276</v>
      </c>
      <c r="K10" s="99">
        <f>Mode5!G9</f>
        <v>282.46220439095146</v>
      </c>
      <c r="L10" s="99">
        <f>Mode5!H9</f>
        <v>387.16597457595219</v>
      </c>
      <c r="M10" s="99">
        <f>Mode1!G9</f>
        <v>282.46220439095146</v>
      </c>
      <c r="N10" s="99">
        <f>Mode1!H9</f>
        <v>368.01991775053449</v>
      </c>
      <c r="P10" s="11" t="s">
        <v>22</v>
      </c>
      <c r="Q10" s="11">
        <v>1015</v>
      </c>
      <c r="R10" s="11">
        <v>1015</v>
      </c>
      <c r="S10" s="11">
        <v>1015</v>
      </c>
      <c r="T10" s="11">
        <v>1016</v>
      </c>
      <c r="U10" s="11">
        <v>1015</v>
      </c>
      <c r="V10" s="11">
        <v>1014</v>
      </c>
      <c r="W10" s="11">
        <v>1013</v>
      </c>
      <c r="X10" s="11">
        <v>1014</v>
      </c>
      <c r="Y10" s="109">
        <v>1015</v>
      </c>
      <c r="Z10" s="109">
        <v>1013</v>
      </c>
    </row>
    <row r="11" spans="2:26">
      <c r="B11" s="11">
        <v>-15</v>
      </c>
      <c r="C11" s="98">
        <f>Mode3!G10</f>
        <v>283.00768393946197</v>
      </c>
      <c r="D11" s="99">
        <f>Mode3!H10</f>
        <v>438.28070580038411</v>
      </c>
      <c r="E11" s="99">
        <f>Mode3!P10</f>
        <v>283.00768393946197</v>
      </c>
      <c r="F11" s="99">
        <f>Mode3!Q10</f>
        <v>436.85437552149921</v>
      </c>
      <c r="G11" s="99">
        <f>Mode5!AA10</f>
        <v>283.00768393946197</v>
      </c>
      <c r="H11" s="99">
        <f>Mode5!AB10</f>
        <v>423.72039486577654</v>
      </c>
      <c r="I11" s="99">
        <f>Mode5!Q10</f>
        <v>283.00768393946197</v>
      </c>
      <c r="J11" s="99">
        <f>Mode5!R10</f>
        <v>405.99479894538473</v>
      </c>
      <c r="K11" s="99">
        <f>Mode5!G10</f>
        <v>283.00768393946197</v>
      </c>
      <c r="L11" s="99">
        <f>Mode5!H10</f>
        <v>387.84745426974104</v>
      </c>
      <c r="M11" s="99">
        <f>Mode1!G10</f>
        <v>283.00768393946197</v>
      </c>
      <c r="N11" s="99">
        <f>Mode1!H10</f>
        <v>368.64473564329239</v>
      </c>
      <c r="P11" s="11" t="s">
        <v>23</v>
      </c>
      <c r="Q11" s="11">
        <v>1015</v>
      </c>
      <c r="R11" s="11">
        <v>1014</v>
      </c>
      <c r="S11" s="11">
        <v>1014</v>
      </c>
      <c r="T11" s="11">
        <v>1013</v>
      </c>
      <c r="U11" s="11">
        <v>1012</v>
      </c>
      <c r="V11" s="11">
        <v>1012</v>
      </c>
      <c r="W11" s="11">
        <v>1012</v>
      </c>
      <c r="X11" s="11">
        <v>1014</v>
      </c>
      <c r="Y11" s="109">
        <v>1014</v>
      </c>
      <c r="Z11" s="109">
        <v>1012</v>
      </c>
    </row>
    <row r="12" spans="2:26">
      <c r="B12" s="11">
        <v>-14</v>
      </c>
      <c r="C12" s="98">
        <f>Mode3!G11</f>
        <v>283.57676206989032</v>
      </c>
      <c r="D12" s="99">
        <f>Mode3!H11</f>
        <v>439.14692002797779</v>
      </c>
      <c r="E12" s="99">
        <f>Mode3!P11</f>
        <v>283.57676206989032</v>
      </c>
      <c r="F12" s="99">
        <f>Mode3!Q11</f>
        <v>437.71777076216404</v>
      </c>
      <c r="G12" s="99">
        <f>Mode5!AA11</f>
        <v>283.57676206989032</v>
      </c>
      <c r="H12" s="99">
        <f>Mode5!AB11</f>
        <v>424.5423927592131</v>
      </c>
      <c r="I12" s="99">
        <f>Mode5!Q11</f>
        <v>283.57676206989032</v>
      </c>
      <c r="J12" s="99">
        <f>Mode5!R11</f>
        <v>406.76296825810829</v>
      </c>
      <c r="K12" s="99">
        <f>Mode5!G11</f>
        <v>283.57676206989032</v>
      </c>
      <c r="L12" s="99">
        <f>Mode5!H11</f>
        <v>388.56051424724183</v>
      </c>
      <c r="M12" s="99">
        <f>Mode1!G11</f>
        <v>283.57676206989032</v>
      </c>
      <c r="N12" s="99">
        <f>Mode1!H11</f>
        <v>369.29948135626091</v>
      </c>
      <c r="P12" s="11" t="s">
        <v>24</v>
      </c>
      <c r="Q12" s="11">
        <v>1015</v>
      </c>
      <c r="R12" s="11">
        <v>1014</v>
      </c>
      <c r="S12" s="11">
        <v>1015</v>
      </c>
      <c r="T12" s="11">
        <v>1015</v>
      </c>
      <c r="U12" s="11">
        <v>1014</v>
      </c>
      <c r="V12" s="11">
        <v>1013</v>
      </c>
      <c r="W12" s="11">
        <v>1014</v>
      </c>
      <c r="X12" s="11">
        <v>1016</v>
      </c>
      <c r="Y12" s="109">
        <v>1014</v>
      </c>
      <c r="Z12" s="109">
        <v>1013</v>
      </c>
    </row>
    <row r="13" spans="2:26">
      <c r="B13" s="11">
        <v>-13</v>
      </c>
      <c r="C13" s="98">
        <f>Mode3!G12</f>
        <v>284.07239094327417</v>
      </c>
      <c r="D13" s="99">
        <f>Mode3!H12</f>
        <v>439.90133450777523</v>
      </c>
      <c r="E13" s="99">
        <f>Mode3!P12</f>
        <v>284.07239094327417</v>
      </c>
      <c r="F13" s="99">
        <f>Mode3!Q12</f>
        <v>438.46973009346618</v>
      </c>
      <c r="G13" s="99">
        <f>Mode5!AA12</f>
        <v>284.07239094327417</v>
      </c>
      <c r="H13" s="99">
        <f>Mode5!AB12</f>
        <v>425.25625200495244</v>
      </c>
      <c r="I13" s="99">
        <f>Mode5!Q12</f>
        <v>284.07239094327417</v>
      </c>
      <c r="J13" s="99">
        <f>Mode5!R12</f>
        <v>407.42745591455946</v>
      </c>
      <c r="K13" s="99">
        <f>Mode5!G12</f>
        <v>284.07239094327417</v>
      </c>
      <c r="L13" s="99">
        <f>Mode5!H12</f>
        <v>389.17445560601027</v>
      </c>
      <c r="M13" s="99">
        <f>Mode1!G12</f>
        <v>284.07239094327417</v>
      </c>
      <c r="N13" s="99">
        <f>Mode1!H12</f>
        <v>369.8599368552874</v>
      </c>
    </row>
    <row r="14" spans="2:26">
      <c r="B14" s="11">
        <v>-12</v>
      </c>
      <c r="C14" s="98">
        <f>Mode3!G13</f>
        <v>284.45408495361971</v>
      </c>
      <c r="D14" s="99">
        <f>Mode3!H13</f>
        <v>440.48232464721298</v>
      </c>
      <c r="E14" s="99">
        <f>Mode3!P13</f>
        <v>284.45408495361971</v>
      </c>
      <c r="F14" s="99">
        <f>Mode3!Q13</f>
        <v>439.04882947244687</v>
      </c>
      <c r="G14" s="99">
        <f>Mode5!AA13</f>
        <v>284.45408495361971</v>
      </c>
      <c r="H14" s="99">
        <f>Mode5!AB13</f>
        <v>425.80241355907879</v>
      </c>
      <c r="I14" s="99">
        <f>Mode5!Q13</f>
        <v>284.45408495361971</v>
      </c>
      <c r="J14" s="99">
        <f>Mode5!R13</f>
        <v>407.93121745178502</v>
      </c>
      <c r="K14" s="99">
        <f>Mode5!G13</f>
        <v>284.45408495361971</v>
      </c>
      <c r="L14" s="99">
        <f>Mode5!H13</f>
        <v>389.63480829399839</v>
      </c>
      <c r="M14" s="99">
        <f>Mode1!G13</f>
        <v>284.45408495361971</v>
      </c>
      <c r="N14" s="99">
        <f>Mode1!H13</f>
        <v>370.27435621624045</v>
      </c>
    </row>
    <row r="15" spans="2:26">
      <c r="B15" s="11">
        <v>-11</v>
      </c>
      <c r="C15" s="98">
        <f>Mode3!G14</f>
        <v>284.95765080532902</v>
      </c>
      <c r="D15" s="99">
        <f>Mode3!H14</f>
        <v>441.24882028631362</v>
      </c>
      <c r="E15" s="99">
        <f>Mode3!P14</f>
        <v>284.95765080532902</v>
      </c>
      <c r="F15" s="99">
        <f>Mode3!Q14</f>
        <v>439.81283064641548</v>
      </c>
      <c r="G15" s="99">
        <f>Mode5!AA14</f>
        <v>284.95765080532902</v>
      </c>
      <c r="H15" s="99">
        <f>Mode5!AB14</f>
        <v>426.52785091463562</v>
      </c>
      <c r="I15" s="99">
        <f>Mode5!Q14</f>
        <v>284.95765080532902</v>
      </c>
      <c r="J15" s="99">
        <f>Mode5!R14</f>
        <v>408.60667080998417</v>
      </c>
      <c r="K15" s="99">
        <f>Mode5!G14</f>
        <v>284.95765080532902</v>
      </c>
      <c r="L15" s="99">
        <f>Mode5!H14</f>
        <v>390.2590883752938</v>
      </c>
      <c r="M15" s="99">
        <f>Mode1!G14</f>
        <v>284.95765080532902</v>
      </c>
      <c r="N15" s="99">
        <f>Mode1!H14</f>
        <v>370.84448699607401</v>
      </c>
    </row>
    <row r="16" spans="2:26">
      <c r="B16" s="100">
        <v>-10</v>
      </c>
      <c r="C16" s="101">
        <f>Mode3!G15</f>
        <v>285.42085373000418</v>
      </c>
      <c r="D16" s="102">
        <f>Mode3!H15</f>
        <v>441.95387806689382</v>
      </c>
      <c r="E16" s="104">
        <f>Mode3!P15</f>
        <v>285.42085373000418</v>
      </c>
      <c r="F16" s="104">
        <f>Mode3!Q15</f>
        <v>440.51559390376548</v>
      </c>
      <c r="G16" s="104">
        <f>Mode5!AA15</f>
        <v>285.42085373000418</v>
      </c>
      <c r="H16" s="104">
        <f>Mode5!AB15</f>
        <v>427.17831022138898</v>
      </c>
      <c r="I16" s="104">
        <f>Mode5!Q15</f>
        <v>285.42085373000418</v>
      </c>
      <c r="J16" s="104">
        <f>Mode5!R15</f>
        <v>409.19066240947006</v>
      </c>
      <c r="K16" s="104">
        <f>Mode5!G15</f>
        <v>285.42085373000418</v>
      </c>
      <c r="L16" s="104">
        <f>Mode5!H15</f>
        <v>390.77503078766074</v>
      </c>
      <c r="M16" s="104">
        <f>Mode1!G15</f>
        <v>285.42085373000418</v>
      </c>
      <c r="N16" s="104">
        <f>Mode1!H15</f>
        <v>371.28842276414332</v>
      </c>
    </row>
    <row r="17" spans="2:14">
      <c r="B17" s="11">
        <v>-9</v>
      </c>
      <c r="C17" s="98">
        <f>Mode3!G16</f>
        <v>285.84306844606044</v>
      </c>
      <c r="D17" s="99">
        <f>Mode3!H16</f>
        <v>442.59654622543303</v>
      </c>
      <c r="E17" s="99">
        <f>Mode3!P16</f>
        <v>285.84306844606044</v>
      </c>
      <c r="F17" s="99">
        <f>Mode3!Q16</f>
        <v>441.15617057837289</v>
      </c>
      <c r="G17" s="99">
        <f>Mode5!AA16</f>
        <v>285.84306844606044</v>
      </c>
      <c r="H17" s="99">
        <f>Mode5!AB16</f>
        <v>427.78393171501295</v>
      </c>
      <c r="I17" s="99">
        <f>Mode5!Q16</f>
        <v>285.84306844606044</v>
      </c>
      <c r="J17" s="99">
        <f>Mode5!R16</f>
        <v>409.75118361537113</v>
      </c>
      <c r="K17" s="99">
        <f>Mode5!G16</f>
        <v>285.84306844606044</v>
      </c>
      <c r="L17" s="99">
        <f>Mode5!H16</f>
        <v>391.28937862540238</v>
      </c>
      <c r="M17" s="99">
        <f>Mode1!G16</f>
        <v>285.84306844606044</v>
      </c>
      <c r="N17" s="99">
        <f>Mode1!H16</f>
        <v>371.75391198302646</v>
      </c>
    </row>
    <row r="18" spans="2:14">
      <c r="B18" s="11">
        <v>-8</v>
      </c>
      <c r="C18" s="98">
        <f>Mode3!G17</f>
        <v>286.22367561812865</v>
      </c>
      <c r="D18" s="99">
        <f>Mode3!H17</f>
        <v>443.17588204935839</v>
      </c>
      <c r="E18" s="99">
        <f>Mode3!P17</f>
        <v>286.22367561812865</v>
      </c>
      <c r="F18" s="99">
        <f>Mode3!Q17</f>
        <v>441.73362102560617</v>
      </c>
      <c r="G18" s="99">
        <f>Mode5!AA17</f>
        <v>286.22367561812865</v>
      </c>
      <c r="H18" s="99">
        <f>Mode5!AB17</f>
        <v>428.32829748799099</v>
      </c>
      <c r="I18" s="99">
        <f>Mode5!Q17</f>
        <v>286.22367561812865</v>
      </c>
      <c r="J18" s="99">
        <f>Mode5!R17</f>
        <v>410.25297715241334</v>
      </c>
      <c r="K18" s="99">
        <f>Mode5!G17</f>
        <v>286.22367561812865</v>
      </c>
      <c r="L18" s="99">
        <f>Mode5!H17</f>
        <v>391.74758699652909</v>
      </c>
      <c r="M18" s="99">
        <f>Mode1!G17</f>
        <v>286.22367561812865</v>
      </c>
      <c r="N18" s="99">
        <f>Mode1!H17</f>
        <v>372.16600045659675</v>
      </c>
    </row>
    <row r="19" spans="2:14">
      <c r="B19" s="11">
        <v>-7</v>
      </c>
      <c r="C19" s="98">
        <f>Mode3!G18</f>
        <v>286.56206149837618</v>
      </c>
      <c r="D19" s="99">
        <f>Mode3!H18</f>
        <v>443.69095133108692</v>
      </c>
      <c r="E19" s="99">
        <f>Mode3!P18</f>
        <v>286.56206149837618</v>
      </c>
      <c r="F19" s="99">
        <f>Mode3!Q18</f>
        <v>442.24701407814518</v>
      </c>
      <c r="G19" s="99">
        <f>Mode5!AA18</f>
        <v>286.56206149837618</v>
      </c>
      <c r="H19" s="99">
        <f>Mode5!AB18</f>
        <v>428.81051134393846</v>
      </c>
      <c r="I19" s="99">
        <f>Mode5!Q18</f>
        <v>286.56206149837618</v>
      </c>
      <c r="J19" s="99">
        <f>Mode5!R18</f>
        <v>410.69519309871418</v>
      </c>
      <c r="K19" s="99">
        <f>Mode5!G18</f>
        <v>286.56206149837618</v>
      </c>
      <c r="L19" s="99">
        <f>Mode5!H18</f>
        <v>392.14885335467949</v>
      </c>
      <c r="M19" s="99">
        <f>Mode1!G18</f>
        <v>286.56206149837618</v>
      </c>
      <c r="N19" s="99">
        <f>Mode1!H18</f>
        <v>372.52393576917677</v>
      </c>
    </row>
    <row r="20" spans="2:14">
      <c r="B20" s="11">
        <v>-6</v>
      </c>
      <c r="C20" s="98">
        <f>Mode3!G19</f>
        <v>286.85761754106824</v>
      </c>
      <c r="D20" s="99">
        <f>Mode3!H19</f>
        <v>444.14082778133536</v>
      </c>
      <c r="E20" s="99">
        <f>Mode3!P19</f>
        <v>286.85761754106824</v>
      </c>
      <c r="F20" s="99">
        <f>Mode3!Q19</f>
        <v>442.6954264612005</v>
      </c>
      <c r="G20" s="99">
        <f>Mode5!AA19</f>
        <v>286.85761754106824</v>
      </c>
      <c r="H20" s="99">
        <f>Mode5!AB19</f>
        <v>429.24529990587303</v>
      </c>
      <c r="I20" s="99">
        <f>Mode5!Q19</f>
        <v>286.85761754106824</v>
      </c>
      <c r="J20" s="99">
        <f>Mode5!R19</f>
        <v>411.11161379661451</v>
      </c>
      <c r="K20" s="99">
        <f>Mode5!G19</f>
        <v>286.85761754106824</v>
      </c>
      <c r="L20" s="99">
        <f>Mode5!H19</f>
        <v>392.54646915817273</v>
      </c>
      <c r="M20" s="99">
        <f>Mode1!G19</f>
        <v>286.85761754106824</v>
      </c>
      <c r="N20" s="99">
        <f>Mode1!H19</f>
        <v>372.9016530639596</v>
      </c>
    </row>
    <row r="21" spans="2:14">
      <c r="B21" s="11">
        <v>-5</v>
      </c>
      <c r="C21" s="98">
        <f>Mode3!G20</f>
        <v>287.10973999394469</v>
      </c>
      <c r="D21" s="99">
        <f>Mode3!H20</f>
        <v>444.52459240713983</v>
      </c>
      <c r="E21" s="99">
        <f>Mode3!P20</f>
        <v>287.10973999394469</v>
      </c>
      <c r="F21" s="99">
        <f>Mode3!Q20</f>
        <v>443.07794217255696</v>
      </c>
      <c r="G21" s="99">
        <f>Mode5!AA20</f>
        <v>287.10973999394469</v>
      </c>
      <c r="H21" s="99">
        <f>Mode5!AB20</f>
        <v>429.60056536382467</v>
      </c>
      <c r="I21" s="99">
        <f>Mode5!Q20</f>
        <v>287.10973999394469</v>
      </c>
      <c r="J21" s="99">
        <f>Mode5!R20</f>
        <v>411.43218461544092</v>
      </c>
      <c r="K21" s="99">
        <f>Mode5!G20</f>
        <v>287.10973999394469</v>
      </c>
      <c r="L21" s="99">
        <f>Mode5!H20</f>
        <v>392.83151984117808</v>
      </c>
      <c r="M21" s="99">
        <f>Mode1!G20</f>
        <v>287.10973999394469</v>
      </c>
      <c r="N21" s="99">
        <f>Mode1!H20</f>
        <v>373.1491179080482</v>
      </c>
    </row>
    <row r="22" spans="2:14">
      <c r="B22" s="11">
        <v>-4</v>
      </c>
      <c r="C22" s="98">
        <f>Mode3!G21</f>
        <v>287.29073226038815</v>
      </c>
      <c r="D22" s="99">
        <f>Mode3!H21</f>
        <v>444.80008722568039</v>
      </c>
      <c r="E22" s="99">
        <f>Mode3!P21</f>
        <v>287.29073226038815</v>
      </c>
      <c r="F22" s="99">
        <f>Mode3!Q21</f>
        <v>443.35254042732879</v>
      </c>
      <c r="G22" s="99">
        <f>Mode5!AA21</f>
        <v>287.29073226038815</v>
      </c>
      <c r="H22" s="99">
        <f>Mode5!AB21</f>
        <v>429.8664697700907</v>
      </c>
      <c r="I22" s="99">
        <f>Mode5!Q21</f>
        <v>287.29073226038815</v>
      </c>
      <c r="J22" s="99">
        <f>Mode5!R21</f>
        <v>411.6864137371989</v>
      </c>
      <c r="K22" s="99">
        <f>Mode5!G21</f>
        <v>287.29073226038815</v>
      </c>
      <c r="L22" s="99">
        <f>Mode5!H21</f>
        <v>393.07379588597854</v>
      </c>
      <c r="M22" s="99">
        <f>Mode1!G21</f>
        <v>287.29073226038815</v>
      </c>
      <c r="N22" s="99">
        <f>Mode1!H21</f>
        <v>373.37874573474079</v>
      </c>
    </row>
    <row r="23" spans="2:14">
      <c r="B23" s="11">
        <v>-3</v>
      </c>
      <c r="C23" s="98">
        <f>Mode3!G22</f>
        <v>287.43376199134173</v>
      </c>
      <c r="D23" s="99">
        <f>Mode3!H22</f>
        <v>445.01779790774015</v>
      </c>
      <c r="E23" s="99">
        <f>Mode3!P22</f>
        <v>287.43376199134173</v>
      </c>
      <c r="F23" s="99">
        <f>Mode3!Q22</f>
        <v>443.56954259693578</v>
      </c>
      <c r="G23" s="99">
        <f>Mode5!AA22</f>
        <v>287.43376199134173</v>
      </c>
      <c r="H23" s="99">
        <f>Mode5!AB22</f>
        <v>430.07652969303916</v>
      </c>
      <c r="I23" s="99">
        <f>Mode5!Q22</f>
        <v>287.43376199134173</v>
      </c>
      <c r="J23" s="99">
        <f>Mode5!R22</f>
        <v>411.8871596925336</v>
      </c>
      <c r="K23" s="99">
        <f>Mode5!G22</f>
        <v>287.43376199134173</v>
      </c>
      <c r="L23" s="99">
        <f>Mode5!H22</f>
        <v>393.26500626454936</v>
      </c>
      <c r="M23" s="99">
        <f>Mode1!G22</f>
        <v>287.43376199134173</v>
      </c>
      <c r="N23" s="99">
        <f>Mode1!H22</f>
        <v>373.55986598713548</v>
      </c>
    </row>
    <row r="24" spans="2:14">
      <c r="B24" s="11">
        <v>-2</v>
      </c>
      <c r="C24" s="98">
        <f>Mode3!G23</f>
        <v>288.60694899037912</v>
      </c>
      <c r="D24" s="99">
        <f>Mode3!H23</f>
        <v>446.80354790559903</v>
      </c>
      <c r="E24" s="99">
        <f>Mode3!P23</f>
        <v>288.60694899037912</v>
      </c>
      <c r="F24" s="99">
        <f>Mode3!Q23</f>
        <v>445.34948109257988</v>
      </c>
      <c r="G24" s="99">
        <f>Mode5!AA23</f>
        <v>288.60694899037912</v>
      </c>
      <c r="H24" s="99">
        <f>Mode5!AB23</f>
        <v>431.80198119486465</v>
      </c>
      <c r="I24" s="99">
        <f>Mode5!Q23</f>
        <v>288.60694899037912</v>
      </c>
      <c r="J24" s="99">
        <f>Mode5!R23</f>
        <v>413.53920432962281</v>
      </c>
      <c r="K24" s="99">
        <f>Mode5!G23</f>
        <v>288.60694899037912</v>
      </c>
      <c r="L24" s="99">
        <f>Mode5!H23</f>
        <v>394.84189745224762</v>
      </c>
      <c r="M24" s="99">
        <f>Mode1!G23</f>
        <v>288.60694899037912</v>
      </c>
      <c r="N24" s="99">
        <f>Mode1!H23</f>
        <v>375.05723311397219</v>
      </c>
    </row>
    <row r="25" spans="2:14">
      <c r="B25" s="11">
        <v>-1</v>
      </c>
      <c r="C25" s="98">
        <f>Mode3!G24</f>
        <v>289.416660884225</v>
      </c>
      <c r="D25" s="99">
        <f>Mode3!H24</f>
        <v>448.03603941282506</v>
      </c>
      <c r="E25" s="99">
        <f>Mode3!P24</f>
        <v>289.416660884225</v>
      </c>
      <c r="F25" s="99">
        <f>Mode3!Q24</f>
        <v>446.57796160883152</v>
      </c>
      <c r="G25" s="99">
        <f>Mode5!AA24</f>
        <v>289.416660884225</v>
      </c>
      <c r="H25" s="99">
        <f>Mode5!AB24</f>
        <v>432.99274771484517</v>
      </c>
      <c r="I25" s="99">
        <f>Mode5!Q24</f>
        <v>289.416660884225</v>
      </c>
      <c r="J25" s="99">
        <f>Mode5!R24</f>
        <v>414.67917521295658</v>
      </c>
      <c r="K25" s="99">
        <f>Mode5!G24</f>
        <v>289.416660884225</v>
      </c>
      <c r="L25" s="99">
        <f>Mode5!H24</f>
        <v>395.92986410788785</v>
      </c>
      <c r="M25" s="99">
        <f>Mode1!G24</f>
        <v>289.416660884225</v>
      </c>
      <c r="N25" s="99">
        <f>Mode1!H24</f>
        <v>376.09017119272517</v>
      </c>
    </row>
    <row r="26" spans="2:14">
      <c r="B26" s="100">
        <v>0</v>
      </c>
      <c r="C26" s="101">
        <f>Mode3!G25</f>
        <v>290.21083839594246</v>
      </c>
      <c r="D26" s="102">
        <f>Mode3!H25</f>
        <v>449.24488548000159</v>
      </c>
      <c r="E26" s="104">
        <f>Mode3!P25</f>
        <v>290.21083839594246</v>
      </c>
      <c r="F26" s="104">
        <f>Mode3!Q25</f>
        <v>447.78287363618989</v>
      </c>
      <c r="G26" s="104">
        <f>Mode5!AA25</f>
        <v>290.21083839594246</v>
      </c>
      <c r="H26" s="104">
        <f>Mode5!AB25</f>
        <v>434.16066084300439</v>
      </c>
      <c r="I26" s="104">
        <f>Mode5!Q25</f>
        <v>290.21083839594246</v>
      </c>
      <c r="J26" s="104">
        <f>Mode5!R25</f>
        <v>415.79725693709469</v>
      </c>
      <c r="K26" s="104">
        <f>Mode5!G25</f>
        <v>290.21083839594246</v>
      </c>
      <c r="L26" s="104">
        <f>Mode5!H25</f>
        <v>396.99692877914367</v>
      </c>
      <c r="M26" s="104">
        <f>Mode1!G25</f>
        <v>290.21083839594246</v>
      </c>
      <c r="N26" s="104">
        <f>Mode1!H25</f>
        <v>377.10325187187851</v>
      </c>
    </row>
    <row r="27" spans="2:14">
      <c r="B27" s="11">
        <v>1</v>
      </c>
      <c r="C27" s="98">
        <f>Mode3!G26</f>
        <v>289.67291764177224</v>
      </c>
      <c r="D27" s="99">
        <f>Mode3!H26</f>
        <v>448.42609701201155</v>
      </c>
      <c r="E27" s="99">
        <f>Mode3!P26</f>
        <v>289.67291764177224</v>
      </c>
      <c r="F27" s="99">
        <f>Mode3!Q26</f>
        <v>446.96674981386747</v>
      </c>
      <c r="G27" s="99">
        <f>Mode5!AA26</f>
        <v>289.67291764177224</v>
      </c>
      <c r="H27" s="99">
        <f>Mode5!AB26</f>
        <v>433.36902070163217</v>
      </c>
      <c r="I27" s="99">
        <f>Mode5!Q26</f>
        <v>289.67291764177224</v>
      </c>
      <c r="J27" s="99">
        <f>Mode5!R26</f>
        <v>415.0386669324746</v>
      </c>
      <c r="K27" s="99">
        <f>Mode5!G26</f>
        <v>289.67291764177224</v>
      </c>
      <c r="L27" s="99">
        <f>Mode5!H26</f>
        <v>396.27217527998778</v>
      </c>
      <c r="M27" s="99">
        <f>Mode1!G26</f>
        <v>289.67291764177224</v>
      </c>
      <c r="N27" s="99">
        <f>Mode1!H26</f>
        <v>376.4143026683563</v>
      </c>
    </row>
    <row r="28" spans="2:14">
      <c r="B28" s="11">
        <v>2</v>
      </c>
      <c r="C28" s="98">
        <f>Mode3!G27</f>
        <v>289.11418022983611</v>
      </c>
      <c r="D28" s="99">
        <f>Mode3!H27</f>
        <v>447.57562276281919</v>
      </c>
      <c r="E28" s="99">
        <f>Mode3!P27</f>
        <v>289.11418022983611</v>
      </c>
      <c r="F28" s="99">
        <f>Mode3!Q27</f>
        <v>446.11904332779352</v>
      </c>
      <c r="G28" s="99">
        <f>Mode5!AA27</f>
        <v>289.11418022983611</v>
      </c>
      <c r="H28" s="99">
        <f>Mode5!AB27</f>
        <v>432.54675999239538</v>
      </c>
      <c r="I28" s="99">
        <f>Mode5!Q27</f>
        <v>289.11418022983611</v>
      </c>
      <c r="J28" s="99">
        <f>Mode5!R27</f>
        <v>414.25075314144459</v>
      </c>
      <c r="K28" s="99">
        <f>Mode5!G27</f>
        <v>289.11418022983611</v>
      </c>
      <c r="L28" s="99">
        <f>Mode5!H27</f>
        <v>395.51942563046504</v>
      </c>
      <c r="M28" s="99">
        <f>Mode1!G27</f>
        <v>289.11418022983611</v>
      </c>
      <c r="N28" s="99">
        <f>Mode1!H27</f>
        <v>375.69876216029047</v>
      </c>
    </row>
    <row r="29" spans="2:14">
      <c r="B29" s="11">
        <v>3</v>
      </c>
      <c r="C29" s="98">
        <f>Mode3!G28</f>
        <v>288.53195934090326</v>
      </c>
      <c r="D29" s="99">
        <f>Mode3!H28</f>
        <v>446.68940347124982</v>
      </c>
      <c r="E29" s="99">
        <f>Mode3!P28</f>
        <v>288.53195934090326</v>
      </c>
      <c r="F29" s="99">
        <f>Mode3!Q28</f>
        <v>445.23570812715622</v>
      </c>
      <c r="G29" s="99">
        <f>Mode5!AA28</f>
        <v>288.53195934090326</v>
      </c>
      <c r="H29" s="99">
        <f>Mode5!AB28</f>
        <v>431.68995583355542</v>
      </c>
      <c r="I29" s="99">
        <f>Mode5!Q28</f>
        <v>288.53195934090326</v>
      </c>
      <c r="J29" s="99">
        <f>Mode5!R28</f>
        <v>413.42975870940569</v>
      </c>
      <c r="K29" s="99">
        <f>Mode5!G28</f>
        <v>288.53195934090326</v>
      </c>
      <c r="L29" s="99">
        <f>Mode5!H28</f>
        <v>394.73509295343388</v>
      </c>
      <c r="M29" s="99">
        <f>Mode1!G28</f>
        <v>288.53195934090326</v>
      </c>
      <c r="N29" s="99">
        <f>Mode1!H28</f>
        <v>374.95322333317779</v>
      </c>
    </row>
    <row r="30" spans="2:14">
      <c r="B30" s="11">
        <v>4</v>
      </c>
      <c r="C30" s="98">
        <f>Mode3!G29</f>
        <v>287.92361329333698</v>
      </c>
      <c r="D30" s="99">
        <f>Mode3!H29</f>
        <v>445.76341813896238</v>
      </c>
      <c r="E30" s="99">
        <f>Mode3!P29</f>
        <v>287.92361329333698</v>
      </c>
      <c r="F30" s="99">
        <f>Mode3!Q29</f>
        <v>444.31273629945559</v>
      </c>
      <c r="G30" s="99">
        <f>Mode5!AA29</f>
        <v>287.92361329333698</v>
      </c>
      <c r="H30" s="99">
        <f>Mode5!AB29</f>
        <v>430.79472233380091</v>
      </c>
      <c r="I30" s="99">
        <f>Mode5!Q29</f>
        <v>287.92361329333698</v>
      </c>
      <c r="J30" s="99">
        <f>Mode5!R29</f>
        <v>412.57196222316946</v>
      </c>
      <c r="K30" s="99">
        <f>Mode5!G29</f>
        <v>287.92361329333698</v>
      </c>
      <c r="L30" s="99">
        <f>Mode5!H29</f>
        <v>393.91562422729072</v>
      </c>
      <c r="M30" s="99">
        <f>Mode1!G29</f>
        <v>287.92361329333698</v>
      </c>
      <c r="N30" s="99">
        <f>Mode1!H29</f>
        <v>374.17431134995235</v>
      </c>
    </row>
    <row r="31" spans="2:14">
      <c r="B31" s="11">
        <v>5</v>
      </c>
      <c r="C31" s="98">
        <f>Mode3!G30</f>
        <v>287.2865508391854</v>
      </c>
      <c r="D31" s="99">
        <f>Mode3!H30</f>
        <v>444.79372253453562</v>
      </c>
      <c r="E31" s="99">
        <f>Mode3!P30</f>
        <v>287.2865508391854</v>
      </c>
      <c r="F31" s="99">
        <f>Mode3!Q30</f>
        <v>443.34619644928313</v>
      </c>
      <c r="G31" s="99">
        <f>Mode5!AA30</f>
        <v>287.2865508391854</v>
      </c>
      <c r="H31" s="99">
        <f>Mode5!AB30</f>
        <v>429.85724780319356</v>
      </c>
      <c r="I31" s="99">
        <f>Mode5!Q30</f>
        <v>287.2865508391854</v>
      </c>
      <c r="J31" s="99">
        <f>Mode5!R30</f>
        <v>411.67371334764664</v>
      </c>
      <c r="K31" s="99">
        <f>Mode5!G30</f>
        <v>287.2865508391854</v>
      </c>
      <c r="L31" s="99">
        <f>Mode5!H30</f>
        <v>393.05753431094439</v>
      </c>
      <c r="M31" s="99">
        <f>Mode1!G30</f>
        <v>287.2865508391854</v>
      </c>
      <c r="N31" s="99">
        <f>Mode1!H30</f>
        <v>373.35871587051577</v>
      </c>
    </row>
    <row r="32" spans="2:14">
      <c r="B32" s="11">
        <v>6</v>
      </c>
      <c r="C32" s="98">
        <f>Mode3!G31</f>
        <v>286.58256628591647</v>
      </c>
      <c r="D32" s="99">
        <f>Mode3!H31</f>
        <v>443.7221624034363</v>
      </c>
      <c r="E32" s="99">
        <f>Mode3!P31</f>
        <v>286.58256628591647</v>
      </c>
      <c r="F32" s="99">
        <f>Mode3!Q31</f>
        <v>442.27812357792487</v>
      </c>
      <c r="G32" s="99">
        <f>Mode5!AA31</f>
        <v>286.58256628591647</v>
      </c>
      <c r="H32" s="99">
        <f>Mode5!AB31</f>
        <v>428.82133099169823</v>
      </c>
      <c r="I32" s="99">
        <f>Mode5!Q31</f>
        <v>286.58256628591647</v>
      </c>
      <c r="J32" s="99">
        <f>Mode5!R31</f>
        <v>410.68118840349541</v>
      </c>
      <c r="K32" s="99">
        <f>Mode5!G31</f>
        <v>286.58256628591647</v>
      </c>
      <c r="L32" s="99">
        <f>Mode5!H31</f>
        <v>392.10943366577573</v>
      </c>
      <c r="M32" s="99">
        <f>Mode1!G31</f>
        <v>286.58256628591647</v>
      </c>
      <c r="N32" s="99">
        <f>Mode1!H31</f>
        <v>372.45762305645337</v>
      </c>
    </row>
    <row r="33" spans="2:14">
      <c r="B33" s="11">
        <v>7</v>
      </c>
      <c r="C33" s="98">
        <f>Mode3!G32</f>
        <v>285.83524531806978</v>
      </c>
      <c r="D33" s="99">
        <f>Mode3!H32</f>
        <v>442.58463836180675</v>
      </c>
      <c r="E33" s="99">
        <f>Mode3!P32</f>
        <v>285.83524531806978</v>
      </c>
      <c r="F33" s="99">
        <f>Mode3!Q32</f>
        <v>441.14430146741404</v>
      </c>
      <c r="G33" s="99">
        <f>Mode5!AA32</f>
        <v>285.83524531806978</v>
      </c>
      <c r="H33" s="99">
        <f>Mode5!AB32</f>
        <v>427.72166712778096</v>
      </c>
      <c r="I33" s="99">
        <f>Mode5!Q32</f>
        <v>285.83524531806978</v>
      </c>
      <c r="J33" s="99">
        <f>Mode5!R32</f>
        <v>409.62761519070608</v>
      </c>
      <c r="K33" s="99">
        <f>Mode5!G32</f>
        <v>285.83524531806978</v>
      </c>
      <c r="L33" s="99">
        <f>Mode5!H32</f>
        <v>391.10304774847145</v>
      </c>
      <c r="M33" s="99">
        <f>Mode1!G32</f>
        <v>285.83524531806978</v>
      </c>
      <c r="N33" s="99">
        <f>Mode1!H32</f>
        <v>371.50116865112165</v>
      </c>
    </row>
    <row r="34" spans="2:14">
      <c r="B34" s="11">
        <v>8</v>
      </c>
      <c r="C34" s="98">
        <f>Mode3!G33</f>
        <v>285.06300815682295</v>
      </c>
      <c r="D34" s="99">
        <f>Mode3!H33</f>
        <v>441.40918848879033</v>
      </c>
      <c r="E34" s="99">
        <f>Mode3!P33</f>
        <v>285.06300815682295</v>
      </c>
      <c r="F34" s="99">
        <f>Mode3!Q33</f>
        <v>439.97267695043774</v>
      </c>
      <c r="G34" s="99">
        <f>Mode5!AA33</f>
        <v>285.06300815682295</v>
      </c>
      <c r="H34" s="99">
        <f>Mode5!AB33</f>
        <v>426.58535284016318</v>
      </c>
      <c r="I34" s="99">
        <f>Mode5!Q33</f>
        <v>285.06300815682295</v>
      </c>
      <c r="J34" s="99">
        <f>Mode5!R33</f>
        <v>408.53894422444318</v>
      </c>
      <c r="K34" s="99">
        <f>Mode5!G33</f>
        <v>285.06300815682295</v>
      </c>
      <c r="L34" s="99">
        <f>Mode5!H33</f>
        <v>390.06315369092306</v>
      </c>
      <c r="M34" s="99">
        <f>Mode1!G33</f>
        <v>285.06300815682295</v>
      </c>
      <c r="N34" s="99">
        <f>Mode1!H33</f>
        <v>370.51288816405724</v>
      </c>
    </row>
    <row r="35" spans="2:14">
      <c r="B35" s="105">
        <v>9</v>
      </c>
      <c r="C35" s="106">
        <f>Mode3!G34</f>
        <v>284.2498144033587</v>
      </c>
      <c r="D35" s="104">
        <f>Mode3!H34</f>
        <v>440.17139711819118</v>
      </c>
      <c r="E35" s="99">
        <f>Mode3!P34</f>
        <v>284.2498144033587</v>
      </c>
      <c r="F35" s="99">
        <f>Mode3!Q34</f>
        <v>438.73891381856203</v>
      </c>
      <c r="G35" s="99">
        <f>Mode5!AA34</f>
        <v>284.2498144033587</v>
      </c>
      <c r="H35" s="99">
        <f>Mode5!AB34</f>
        <v>425.3887925194752</v>
      </c>
      <c r="I35" s="99">
        <f>Mode5!Q34</f>
        <v>284.2498144033587</v>
      </c>
      <c r="J35" s="99">
        <f>Mode5!R34</f>
        <v>407.39257822538616</v>
      </c>
      <c r="K35" s="99">
        <f>Mode5!G34</f>
        <v>284.2498144033587</v>
      </c>
      <c r="L35" s="99">
        <f>Mode5!H34</f>
        <v>388.96817629733181</v>
      </c>
      <c r="M35" s="99">
        <f>Mode1!G34</f>
        <v>284.2498144033587</v>
      </c>
      <c r="N35" s="99">
        <f>Mode1!H34</f>
        <v>369.47228792310182</v>
      </c>
    </row>
    <row r="36" spans="2:14">
      <c r="B36" s="100">
        <v>10</v>
      </c>
      <c r="C36" s="101">
        <f>Mode3!G35</f>
        <v>283.393744977555</v>
      </c>
      <c r="D36" s="102">
        <f>Mode3!H35</f>
        <v>438.86834314934362</v>
      </c>
      <c r="E36" s="104">
        <f>Mode3!P35</f>
        <v>283.393744977555</v>
      </c>
      <c r="F36" s="104">
        <f>Mode3!Q35</f>
        <v>437.44010047748151</v>
      </c>
      <c r="G36" s="104">
        <f>Mode5!AA35</f>
        <v>283.393744977555</v>
      </c>
      <c r="H36" s="104">
        <f>Mode5!AB35</f>
        <v>424.1291633122699</v>
      </c>
      <c r="I36" s="104">
        <f>Mode5!Q35</f>
        <v>283.393744977555</v>
      </c>
      <c r="J36" s="104">
        <f>Mode5!R35</f>
        <v>406.18581394539751</v>
      </c>
      <c r="K36" s="104">
        <f>Mode5!G35</f>
        <v>283.393744977555</v>
      </c>
      <c r="L36" s="104">
        <f>Mode5!H35</f>
        <v>387.81553477066342</v>
      </c>
      <c r="M36" s="104">
        <f>Mode1!G35</f>
        <v>283.393744977555</v>
      </c>
      <c r="N36" s="104">
        <f>Mode1!H35</f>
        <v>368.37691670357054</v>
      </c>
    </row>
    <row r="37" spans="2:14">
      <c r="B37" s="105">
        <v>11</v>
      </c>
      <c r="C37" s="106">
        <f>Mode3!G36</f>
        <v>282.49297297571434</v>
      </c>
      <c r="D37" s="104">
        <f>Mode3!H36</f>
        <v>437.49724578662301</v>
      </c>
      <c r="E37" s="99">
        <f>Mode3!P36</f>
        <v>282.49297297571434</v>
      </c>
      <c r="F37" s="99">
        <f>Mode3!Q36</f>
        <v>436.07346518132658</v>
      </c>
      <c r="G37" s="99">
        <f>Mode5!AA36</f>
        <v>282.49297297571434</v>
      </c>
      <c r="H37" s="99">
        <f>Mode5!AB36</f>
        <v>422.84511428309332</v>
      </c>
      <c r="I37" s="99">
        <f>Mode5!Q36</f>
        <v>282.49297297571434</v>
      </c>
      <c r="J37" s="99">
        <f>Mode5!R36</f>
        <v>405.0077368005355</v>
      </c>
      <c r="K37" s="99">
        <f>Mode5!G36</f>
        <v>282.49297297571434</v>
      </c>
      <c r="L37" s="99">
        <f>Mode5!H36</f>
        <v>386.7459509209898</v>
      </c>
      <c r="M37" s="99">
        <f>Mode1!G36</f>
        <v>282.49297297571434</v>
      </c>
      <c r="N37" s="99">
        <f>Mode1!H36</f>
        <v>367.42213566706869</v>
      </c>
    </row>
    <row r="38" spans="2:14">
      <c r="B38" s="11">
        <v>12</v>
      </c>
      <c r="C38" s="98">
        <f>Mode3!G37</f>
        <v>281.5457555929865</v>
      </c>
      <c r="D38" s="99">
        <f>Mode3!H37</f>
        <v>436.05545224427544</v>
      </c>
      <c r="E38" s="99">
        <f>Mode3!P37</f>
        <v>281.5457555929865</v>
      </c>
      <c r="F38" s="99">
        <f>Mode3!Q37</f>
        <v>434.63636377750612</v>
      </c>
      <c r="G38" s="99">
        <f>Mode5!AA37</f>
        <v>281.5457555929865</v>
      </c>
      <c r="H38" s="99">
        <f>Mode5!AB37</f>
        <v>421.49247313150624</v>
      </c>
      <c r="I38" s="99">
        <f>Mode5!Q37</f>
        <v>281.5457555929865</v>
      </c>
      <c r="J38" s="99">
        <f>Mode5!R37</f>
        <v>403.76362899422196</v>
      </c>
      <c r="K38" s="99">
        <f>Mode5!G37</f>
        <v>281.5457555929865</v>
      </c>
      <c r="L38" s="99">
        <f>Mode5!H37</f>
        <v>385.61295881619208</v>
      </c>
      <c r="M38" s="99">
        <f>Mode1!G37</f>
        <v>281.5457555929865</v>
      </c>
      <c r="N38" s="99">
        <f>Mode1!H37</f>
        <v>366.40672128999506</v>
      </c>
    </row>
    <row r="39" spans="2:14">
      <c r="B39" s="11">
        <v>13</v>
      </c>
      <c r="C39" s="98">
        <f>Mode3!G38</f>
        <v>280.35704700630055</v>
      </c>
      <c r="D39" s="99">
        <f>Mode3!H38</f>
        <v>434.24607628130377</v>
      </c>
      <c r="E39" s="99">
        <f>Mode3!P38</f>
        <v>280.35704700630055</v>
      </c>
      <c r="F39" s="99">
        <f>Mode3!Q38</f>
        <v>432.83287620452677</v>
      </c>
      <c r="G39" s="99">
        <f>Mode5!AA38</f>
        <v>280.35704700630055</v>
      </c>
      <c r="H39" s="99">
        <f>Mode5!AB38</f>
        <v>419.78422105093273</v>
      </c>
      <c r="I39" s="99">
        <f>Mode5!Q38</f>
        <v>280.35704700630055</v>
      </c>
      <c r="J39" s="99">
        <f>Mode5!R38</f>
        <v>402.17848424874194</v>
      </c>
      <c r="K39" s="99">
        <f>Mode5!G38</f>
        <v>280.35704700630055</v>
      </c>
      <c r="L39" s="99">
        <f>Mode5!H38</f>
        <v>384.15385052398983</v>
      </c>
      <c r="M39" s="99">
        <f>Mode1!G38</f>
        <v>280.35704700630055</v>
      </c>
      <c r="N39" s="99">
        <f>Mode1!H38</f>
        <v>365.08097920603024</v>
      </c>
    </row>
    <row r="40" spans="2:14">
      <c r="B40" s="11">
        <v>14</v>
      </c>
      <c r="C40" s="98">
        <f>Mode3!G39</f>
        <v>279.06975567596032</v>
      </c>
      <c r="D40" s="99">
        <f>Mode3!H39</f>
        <v>432.28664398936303</v>
      </c>
      <c r="E40" s="99">
        <f>Mode3!P39</f>
        <v>279.06975567596032</v>
      </c>
      <c r="F40" s="99">
        <f>Mode3!Q39</f>
        <v>430.87982064231755</v>
      </c>
      <c r="G40" s="99">
        <f>Mode5!AA39</f>
        <v>279.06975567596032</v>
      </c>
      <c r="H40" s="99">
        <f>Mode5!AB39</f>
        <v>417.93055682257557</v>
      </c>
      <c r="I40" s="99">
        <f>Mode5!Q39</f>
        <v>279.06975567596032</v>
      </c>
      <c r="J40" s="99">
        <f>Mode5!R39</f>
        <v>400.45358114126907</v>
      </c>
      <c r="K40" s="99">
        <f>Mode5!G39</f>
        <v>279.06975567596032</v>
      </c>
      <c r="L40" s="99">
        <f>Mode5!H39</f>
        <v>382.56077217727557</v>
      </c>
      <c r="M40" s="99">
        <f>Mode1!G39</f>
        <v>279.06975567596032</v>
      </c>
      <c r="N40" s="99">
        <f>Mode1!H39</f>
        <v>363.62739199887898</v>
      </c>
    </row>
    <row r="41" spans="2:14">
      <c r="B41" s="100">
        <v>15</v>
      </c>
      <c r="C41" s="101">
        <f>Mode3!G40</f>
        <v>277.69230424467059</v>
      </c>
      <c r="D41" s="102">
        <f>Mode3!H40</f>
        <v>430.18997577492274</v>
      </c>
      <c r="E41" s="104">
        <f>Mode3!P40</f>
        <v>277.69230424467059</v>
      </c>
      <c r="F41" s="104">
        <f>Mode3!Q40</f>
        <v>428.78997577492277</v>
      </c>
      <c r="G41" s="104">
        <f>Mode5!AA40</f>
        <v>277.69230424467059</v>
      </c>
      <c r="H41" s="104">
        <f>Mode5!AB40</f>
        <v>415.9438341049584</v>
      </c>
      <c r="I41" s="104">
        <f>Mode5!Q40</f>
        <v>277.69230424467059</v>
      </c>
      <c r="J41" s="104">
        <f>Mode5!R40</f>
        <v>398.60070511543654</v>
      </c>
      <c r="K41" s="104">
        <f>Mode5!G40</f>
        <v>277.69230424467059</v>
      </c>
      <c r="L41" s="104">
        <f>Mode5!H40</f>
        <v>380.84492748513816</v>
      </c>
      <c r="M41" s="104">
        <f>Mode1!G40</f>
        <v>277.69230424467059</v>
      </c>
      <c r="N41" s="104">
        <f>Mode1!H40</f>
        <v>362.05654781182835</v>
      </c>
    </row>
    <row r="42" spans="2:14">
      <c r="B42" s="11">
        <v>16</v>
      </c>
      <c r="C42" s="98">
        <f>Mode3!G41</f>
        <v>276.36295391236041</v>
      </c>
      <c r="D42" s="99">
        <f>Mode3!H41</f>
        <v>428.16652396798634</v>
      </c>
      <c r="E42" s="99">
        <f>Mode3!P41</f>
        <v>276.36295391236041</v>
      </c>
      <c r="F42" s="99">
        <f>Mode3!Q41</f>
        <v>426.77345876906281</v>
      </c>
      <c r="G42" s="99">
        <f>Mode5!AA41</f>
        <v>276.36295391236041</v>
      </c>
      <c r="H42" s="99">
        <f>Mode5!AB41</f>
        <v>414.03106573628122</v>
      </c>
      <c r="I42" s="99">
        <f>Mode5!Q41</f>
        <v>276.36295391236041</v>
      </c>
      <c r="J42" s="99">
        <f>Mode5!R41</f>
        <v>396.82268180203152</v>
      </c>
      <c r="K42" s="99">
        <f>Mode5!G41</f>
        <v>276.36295391236041</v>
      </c>
      <c r="L42" s="99">
        <f>Mode5!H41</f>
        <v>379.20485524386322</v>
      </c>
      <c r="M42" s="99">
        <f>Mode1!G41</f>
        <v>276.36295391236041</v>
      </c>
      <c r="N42" s="99">
        <f>Mode1!H41</f>
        <v>360.56244930223033</v>
      </c>
    </row>
    <row r="43" spans="2:14">
      <c r="B43" s="11">
        <v>17</v>
      </c>
      <c r="C43" s="98">
        <f>Mode3!G42</f>
        <v>274.96958773349917</v>
      </c>
      <c r="D43" s="99">
        <f>Mode3!H42</f>
        <v>426.04563134561693</v>
      </c>
      <c r="E43" s="99">
        <f>Mode3!P42</f>
        <v>274.96958773349917</v>
      </c>
      <c r="F43" s="99">
        <f>Mode3!Q42</f>
        <v>424.65982043408252</v>
      </c>
      <c r="G43" s="99">
        <f>Mode5!AA42</f>
        <v>274.96958773349917</v>
      </c>
      <c r="H43" s="99">
        <f>Mode5!AB42</f>
        <v>412.11709582538236</v>
      </c>
      <c r="I43" s="99">
        <f>Mode5!Q42</f>
        <v>274.96958773349917</v>
      </c>
      <c r="J43" s="99">
        <f>Mode5!R42</f>
        <v>395.16061780074892</v>
      </c>
      <c r="K43" s="99">
        <f>Mode5!G42</f>
        <v>274.96958773349917</v>
      </c>
      <c r="L43" s="99">
        <f>Mode5!H42</f>
        <v>377.80069080139765</v>
      </c>
      <c r="M43" s="99">
        <f>Mode1!G42</f>
        <v>274.96958773349917</v>
      </c>
      <c r="N43" s="99">
        <f>Mode1!H42</f>
        <v>359.43118278231839</v>
      </c>
    </row>
    <row r="44" spans="2:14">
      <c r="B44" s="11">
        <v>18</v>
      </c>
      <c r="C44" s="98">
        <f>Mode3!G43</f>
        <v>273.51202916934147</v>
      </c>
      <c r="D44" s="99">
        <f>Mode3!H43</f>
        <v>423.82702919186005</v>
      </c>
      <c r="E44" s="99">
        <f>Mode3!P43</f>
        <v>273.51202916934147</v>
      </c>
      <c r="F44" s="99">
        <f>Mode3!Q43</f>
        <v>422.44879433554519</v>
      </c>
      <c r="G44" s="99">
        <f>Mode5!AA43</f>
        <v>273.51202916934147</v>
      </c>
      <c r="H44" s="99">
        <f>Mode5!AB43</f>
        <v>410.06077605032453</v>
      </c>
      <c r="I44" s="99">
        <f>Mode5!Q43</f>
        <v>273.51202916934147</v>
      </c>
      <c r="J44" s="99">
        <f>Mode5!R43</f>
        <v>393.30185918236822</v>
      </c>
      <c r="K44" s="99">
        <f>Mode5!G43</f>
        <v>273.51202916934147</v>
      </c>
      <c r="L44" s="99">
        <f>Mode5!H43</f>
        <v>376.14419395299296</v>
      </c>
      <c r="M44" s="99">
        <f>Mode1!G43</f>
        <v>273.51202916934147</v>
      </c>
      <c r="N44" s="99">
        <f>Mode1!H43</f>
        <v>357.98871040565643</v>
      </c>
    </row>
    <row r="45" spans="2:14">
      <c r="B45" s="105">
        <v>19</v>
      </c>
      <c r="C45" s="106">
        <f>Mode3!G44</f>
        <v>271.98981980880046</v>
      </c>
      <c r="D45" s="104">
        <f>Mode3!H44</f>
        <v>421.51001974276357</v>
      </c>
      <c r="E45" s="99">
        <f>Mode3!P44</f>
        <v>271.98981980880046</v>
      </c>
      <c r="F45" s="99">
        <f>Mode3!Q44</f>
        <v>420.1396863152047</v>
      </c>
      <c r="G45" s="99">
        <f>Mode5!AA44</f>
        <v>271.98981980880046</v>
      </c>
      <c r="H45" s="99">
        <f>Mode5!AB44</f>
        <v>407.90833160490467</v>
      </c>
      <c r="I45" s="99">
        <f>Mode5!Q44</f>
        <v>271.98981980880046</v>
      </c>
      <c r="J45" s="99">
        <f>Mode5!R44</f>
        <v>391.34975474142425</v>
      </c>
      <c r="K45" s="99">
        <f>Mode5!G44</f>
        <v>271.98981980880046</v>
      </c>
      <c r="L45" s="99">
        <f>Mode5!H44</f>
        <v>374.39719624752195</v>
      </c>
      <c r="M45" s="99">
        <f>Mode1!G44</f>
        <v>271.98981980880046</v>
      </c>
      <c r="N45" s="99">
        <f>Mode1!H44</f>
        <v>356.45874758876403</v>
      </c>
    </row>
    <row r="46" spans="2:14">
      <c r="B46" s="100">
        <v>20</v>
      </c>
      <c r="C46" s="101">
        <f>Mode3!G45</f>
        <v>270.40223517992627</v>
      </c>
      <c r="D46" s="102">
        <f>Mode3!H45</f>
        <v>419.0935002535951</v>
      </c>
      <c r="E46" s="99">
        <f>Mode3!P45</f>
        <v>270.40223517992627</v>
      </c>
      <c r="F46" s="99">
        <f>Mode3!Q45</f>
        <v>417.73139850499967</v>
      </c>
      <c r="G46" s="99">
        <f>Mode5!AA45</f>
        <v>270.40223517992627</v>
      </c>
      <c r="H46" s="99">
        <f>Mode5!AB45</f>
        <v>405.65864683907614</v>
      </c>
      <c r="I46" s="99">
        <f>Mode5!Q45</f>
        <v>270.40223517992627</v>
      </c>
      <c r="J46" s="99">
        <f>Mode5!R45</f>
        <v>389.30317311705312</v>
      </c>
      <c r="K46" s="99">
        <f>Mode5!G45</f>
        <v>270.40223517992627</v>
      </c>
      <c r="L46" s="99">
        <f>Mode5!H45</f>
        <v>372.5585502394926</v>
      </c>
      <c r="M46" s="99">
        <f>Mode1!G45</f>
        <v>270.40223517992627</v>
      </c>
      <c r="N46" s="99">
        <f>Mode1!H45</f>
        <v>354.84012986610628</v>
      </c>
    </row>
    <row r="47" spans="2:14">
      <c r="B47" s="11">
        <v>21</v>
      </c>
      <c r="C47" s="98">
        <f>Mode3!G46</f>
        <v>268.74829544373654</v>
      </c>
      <c r="D47" s="99">
        <f>Mode3!H46</f>
        <v>416.57597927630599</v>
      </c>
      <c r="E47" s="99">
        <f>Mode3!P46</f>
        <v>268.74829544373654</v>
      </c>
      <c r="F47" s="99">
        <f>Mode3!Q46</f>
        <v>415.22244557363672</v>
      </c>
      <c r="G47" s="99">
        <f>Mode5!AA46</f>
        <v>268.74829544373654</v>
      </c>
      <c r="H47" s="99">
        <f>Mode5!AB46</f>
        <v>403.3102283342015</v>
      </c>
      <c r="I47" s="99">
        <f>Mode5!Q46</f>
        <v>268.74829544373654</v>
      </c>
      <c r="J47" s="99">
        <f>Mode5!R46</f>
        <v>387.16061849163953</v>
      </c>
      <c r="K47" s="99">
        <f>Mode5!G46</f>
        <v>268.74829544373654</v>
      </c>
      <c r="L47" s="99">
        <f>Mode5!H46</f>
        <v>370.62675765523255</v>
      </c>
      <c r="M47" s="99">
        <f>Mode1!G46</f>
        <v>268.74829544373654</v>
      </c>
      <c r="N47" s="99">
        <f>Mode1!H46</f>
        <v>353.13135636511964</v>
      </c>
    </row>
    <row r="48" spans="2:14">
      <c r="B48" s="11">
        <v>22</v>
      </c>
      <c r="C48" s="98">
        <f>Mode3!G47</f>
        <v>267.02677159887736</v>
      </c>
      <c r="D48" s="99">
        <f>Mode3!H47</f>
        <v>413.95558610386735</v>
      </c>
      <c r="E48" s="99">
        <f>Mode3!P47</f>
        <v>267.02677159887736</v>
      </c>
      <c r="F48" s="99">
        <f>Mode3!Q47</f>
        <v>412.61096415883583</v>
      </c>
      <c r="G48" s="99">
        <f>Mode5!AA47</f>
        <v>267.02677159887736</v>
      </c>
      <c r="H48" s="99">
        <f>Mode5!AB47</f>
        <v>400.86121384213106</v>
      </c>
      <c r="I48" s="99">
        <f>Mode5!Q47</f>
        <v>267.02677159887736</v>
      </c>
      <c r="J48" s="99">
        <f>Mode5!R47</f>
        <v>384.92023891479994</v>
      </c>
      <c r="K48" s="99">
        <f>Mode5!G47</f>
        <v>267.02677159887736</v>
      </c>
      <c r="L48" s="99">
        <f>Mode5!H47</f>
        <v>368.59997708714121</v>
      </c>
      <c r="M48" s="99">
        <f>Mode1!G47</f>
        <v>267.02677159887736</v>
      </c>
      <c r="N48" s="99">
        <f>Mode1!H47</f>
        <v>351.33059683411068</v>
      </c>
    </row>
    <row r="49" spans="2:14">
      <c r="B49" s="11">
        <v>23</v>
      </c>
      <c r="C49" s="98">
        <f>Mode3!G48</f>
        <v>265.23618791094344</v>
      </c>
      <c r="D49" s="99">
        <f>Mode3!H48</f>
        <v>411.23007446802609</v>
      </c>
      <c r="E49" s="99">
        <f>Mode3!P48</f>
        <v>265.23618791094344</v>
      </c>
      <c r="F49" s="99">
        <f>Mode3!Q48</f>
        <v>409.89471656782655</v>
      </c>
      <c r="G49" s="99">
        <f>Mode5!AA48</f>
        <v>265.23618791094344</v>
      </c>
      <c r="H49" s="99">
        <f>Mode5!AB48</f>
        <v>398.3093756257407</v>
      </c>
      <c r="I49" s="99">
        <f>Mode5!Q48</f>
        <v>265.23618791094344</v>
      </c>
      <c r="J49" s="99">
        <f>Mode5!R48</f>
        <v>382.5798292090455</v>
      </c>
      <c r="K49" s="99">
        <f>Mode5!G48</f>
        <v>265.23618791094344</v>
      </c>
      <c r="L49" s="99">
        <f>Mode5!H48</f>
        <v>366.4760264541311</v>
      </c>
      <c r="M49" s="99">
        <f>Mode1!G48</f>
        <v>265.23618791094344</v>
      </c>
      <c r="N49" s="99">
        <f>Mode1!H48</f>
        <v>349.43569363158383</v>
      </c>
    </row>
    <row r="50" spans="2:14">
      <c r="B50" s="11">
        <v>24</v>
      </c>
      <c r="C50" s="98">
        <f>Mode3!G49</f>
        <v>263.37482136184349</v>
      </c>
      <c r="D50" s="99">
        <f>Mode3!H49</f>
        <v>408.39682170116362</v>
      </c>
      <c r="E50" s="99">
        <f>Mode3!P49</f>
        <v>263.37482136184349</v>
      </c>
      <c r="F50" s="99">
        <f>Mode3!Q49</f>
        <v>407.06455044071168</v>
      </c>
      <c r="G50" s="99">
        <f>Mode5!AA49</f>
        <v>263.37482136184349</v>
      </c>
      <c r="H50" s="99">
        <f>Mode5!AB49</f>
        <v>395.58925285177071</v>
      </c>
      <c r="I50" s="99">
        <f>Mode5!Q49</f>
        <v>263.37482136184349</v>
      </c>
      <c r="J50" s="99">
        <f>Mode5!R49</f>
        <v>379.99742990468366</v>
      </c>
      <c r="K50" s="99">
        <f>Mode5!G49</f>
        <v>263.37482136184349</v>
      </c>
      <c r="L50" s="99">
        <f>Mode5!H49</f>
        <v>364.03462750226123</v>
      </c>
      <c r="M50" s="99">
        <f>Mode1!G49</f>
        <v>263.37482136184349</v>
      </c>
      <c r="N50" s="99">
        <f>Mode1!H49</f>
        <v>347.14349502519303</v>
      </c>
    </row>
    <row r="51" spans="2:14">
      <c r="B51" s="105">
        <v>25</v>
      </c>
      <c r="C51" s="106">
        <f>Mode3!G50</f>
        <v>262.75464215508083</v>
      </c>
      <c r="D51" s="104">
        <f>Mode3!H50</f>
        <v>407.45282469296524</v>
      </c>
      <c r="E51" s="99">
        <f>Mode3!P50</f>
        <v>262.75464215508083</v>
      </c>
      <c r="F51" s="99">
        <f>Mode3!Q50</f>
        <v>406.13206547580694</v>
      </c>
      <c r="G51" s="99">
        <f>Mode5!AA50</f>
        <v>262.75464215508083</v>
      </c>
      <c r="H51" s="99">
        <f>Mode5!AB50</f>
        <v>394.8384696690311</v>
      </c>
      <c r="I51" s="99">
        <f>Mode5!Q50</f>
        <v>262.75464215508083</v>
      </c>
      <c r="J51" s="99">
        <f>Mode5!R50</f>
        <v>379.48186355293734</v>
      </c>
      <c r="K51" s="99">
        <f>Mode5!G50</f>
        <v>262.75464215508083</v>
      </c>
      <c r="L51" s="99">
        <f>Mode5!H50</f>
        <v>363.75987454402326</v>
      </c>
      <c r="M51" s="99">
        <f>Mode1!G50</f>
        <v>262.75464215508083</v>
      </c>
      <c r="N51" s="99">
        <f>Mode1!H50</f>
        <v>347.12356016401958</v>
      </c>
    </row>
    <row r="52" spans="2:14">
      <c r="B52" s="11">
        <v>26</v>
      </c>
      <c r="C52" s="98">
        <f>Mode3!G51</f>
        <v>260.44159934418201</v>
      </c>
      <c r="D52" s="99">
        <f>Mode3!H51</f>
        <v>403.93205929239468</v>
      </c>
      <c r="E52" s="99">
        <f>Mode3!P51</f>
        <v>260.44159934418201</v>
      </c>
      <c r="F52" s="99">
        <f>Mode3!Q51</f>
        <v>402.62131424955413</v>
      </c>
      <c r="G52" s="99">
        <f>Mode5!AA51</f>
        <v>260.44159934418201</v>
      </c>
      <c r="H52" s="99">
        <f>Mode5!AB51</f>
        <v>391.49526684872637</v>
      </c>
      <c r="I52" s="99">
        <f>Mode5!Q51</f>
        <v>260.44159934418201</v>
      </c>
      <c r="J52" s="99">
        <f>Mode5!R51</f>
        <v>376.35482387382581</v>
      </c>
      <c r="K52" s="99">
        <f>Mode5!G51</f>
        <v>260.44159934418201</v>
      </c>
      <c r="L52" s="99">
        <f>Mode5!H51</f>
        <v>360.8541412202535</v>
      </c>
      <c r="M52" s="99">
        <f>Mode1!G51</f>
        <v>260.44159934418201</v>
      </c>
      <c r="N52" s="99">
        <f>Mode1!H51</f>
        <v>344.45200345108901</v>
      </c>
    </row>
    <row r="53" spans="2:14">
      <c r="B53" s="11">
        <v>27</v>
      </c>
      <c r="C53" s="98">
        <f>Mode3!G52</f>
        <v>258.42951397220349</v>
      </c>
      <c r="D53" s="99">
        <f>Mode3!H52</f>
        <v>400.86939200094781</v>
      </c>
      <c r="E53" s="99">
        <f>Mode3!P52</f>
        <v>258.42951397220349</v>
      </c>
      <c r="F53" s="99">
        <f>Mode3!Q52</f>
        <v>399.56905373164329</v>
      </c>
      <c r="G53" s="99">
        <f>Mode5!AA52</f>
        <v>258.42951397220349</v>
      </c>
      <c r="H53" s="99">
        <f>Mode5!AB52</f>
        <v>388.61261098496095</v>
      </c>
      <c r="I53" s="99">
        <f>Mode5!Q52</f>
        <v>258.42951397220349</v>
      </c>
      <c r="J53" s="99">
        <f>Mode5!R52</f>
        <v>373.69131235680305</v>
      </c>
      <c r="K53" s="99">
        <f>Mode5!G52</f>
        <v>258.42951397220349</v>
      </c>
      <c r="L53" s="99">
        <f>Mode5!H52</f>
        <v>358.41498819655982</v>
      </c>
      <c r="M53" s="99">
        <f>Mode1!G52</f>
        <v>258.42951397220349</v>
      </c>
      <c r="N53" s="99">
        <f>Mode1!H52</f>
        <v>342.25025667584953</v>
      </c>
    </row>
    <row r="54" spans="2:14">
      <c r="B54" s="11">
        <v>28</v>
      </c>
      <c r="C54" s="98">
        <f>Mode3!G53</f>
        <v>256.33854609636046</v>
      </c>
      <c r="D54" s="99">
        <f>Mode3!H53</f>
        <v>397.68665482190187</v>
      </c>
      <c r="E54" s="99">
        <f>Mode3!P53</f>
        <v>256.33854609636046</v>
      </c>
      <c r="F54" s="99">
        <f>Mode3!Q53</f>
        <v>396.39713331791285</v>
      </c>
      <c r="G54" s="99">
        <f>Mode5!AA53</f>
        <v>256.33854609636046</v>
      </c>
      <c r="H54" s="99">
        <f>Mode5!AB53</f>
        <v>385.61242332361263</v>
      </c>
      <c r="I54" s="99">
        <f>Mode5!Q53</f>
        <v>256.33854609636046</v>
      </c>
      <c r="J54" s="99">
        <f>Mode5!R53</f>
        <v>370.9133588909126</v>
      </c>
      <c r="K54" s="99">
        <f>Mode5!G53</f>
        <v>256.33854609636046</v>
      </c>
      <c r="L54" s="99">
        <f>Mode5!H53</f>
        <v>355.86455659012063</v>
      </c>
      <c r="M54" s="99">
        <f>Mode1!G53</f>
        <v>256.33854609636046</v>
      </c>
      <c r="N54" s="99">
        <f>Mode1!H53</f>
        <v>339.94057865217957</v>
      </c>
    </row>
    <row r="55" spans="2:14">
      <c r="B55" s="11">
        <v>29</v>
      </c>
      <c r="C55" s="98">
        <f>Mode3!G54</f>
        <v>254.16520113821053</v>
      </c>
      <c r="D55" s="99">
        <f>Mode3!H54</f>
        <v>394.37852853210552</v>
      </c>
      <c r="E55" s="99">
        <f>Mode3!P54</f>
        <v>254.16520113821053</v>
      </c>
      <c r="F55" s="99">
        <f>Mode3!Q54</f>
        <v>393.10025263097253</v>
      </c>
      <c r="G55" s="99">
        <f>Mode5!AA54</f>
        <v>254.16520113821053</v>
      </c>
      <c r="H55" s="99">
        <f>Mode5!AB54</f>
        <v>382.48948305212213</v>
      </c>
      <c r="I55" s="99">
        <f>Mode5!Q54</f>
        <v>254.16520113821053</v>
      </c>
      <c r="J55" s="99">
        <f>Mode5!R54</f>
        <v>368.01586246779448</v>
      </c>
      <c r="K55" s="99">
        <f>Mode5!G54</f>
        <v>254.16520113821053</v>
      </c>
      <c r="L55" s="99">
        <f>Mode5!H54</f>
        <v>353.19786804730114</v>
      </c>
      <c r="M55" s="99">
        <f>Mode1!G54</f>
        <v>254.16520113821053</v>
      </c>
      <c r="N55" s="99">
        <f>Mode1!H54</f>
        <v>337.5181208142572</v>
      </c>
    </row>
    <row r="56" spans="2:14">
      <c r="B56" s="100">
        <v>30</v>
      </c>
      <c r="C56" s="101">
        <f>Mode3!G55</f>
        <v>251.90569253692854</v>
      </c>
      <c r="D56" s="102">
        <f>Mode3!H55</f>
        <v>390.93924947155324</v>
      </c>
      <c r="E56" s="99">
        <f>Mode3!P55</f>
        <v>251.90569253692854</v>
      </c>
      <c r="F56" s="99">
        <f>Mode3!Q55</f>
        <v>389.67293907159262</v>
      </c>
      <c r="G56" s="99">
        <f>Mode5!AA55</f>
        <v>251.90569253692854</v>
      </c>
      <c r="H56" s="99">
        <f>Mode5!AB55</f>
        <v>379.24063502646402</v>
      </c>
      <c r="I56" s="99">
        <f>Mode5!Q55</f>
        <v>251.90569253692854</v>
      </c>
      <c r="J56" s="99">
        <f>Mode5!R55</f>
        <v>364.99884352809448</v>
      </c>
      <c r="K56" s="99">
        <f>Mode5!G55</f>
        <v>251.90569253692854</v>
      </c>
      <c r="L56" s="99">
        <f>Mode5!H55</f>
        <v>350.41819415075884</v>
      </c>
      <c r="M56" s="99">
        <f>Mode1!G55</f>
        <v>251.90569253692854</v>
      </c>
      <c r="N56" s="99">
        <f>Mode1!H55</f>
        <v>334.98959495962407</v>
      </c>
    </row>
    <row r="57" spans="2:14">
      <c r="B57" s="11">
        <v>31</v>
      </c>
      <c r="C57" s="98">
        <f>Mode3!G56</f>
        <v>249.50153927241013</v>
      </c>
      <c r="D57" s="99">
        <f>Mode3!H56</f>
        <v>387.27980158260743</v>
      </c>
      <c r="E57" s="99">
        <f>Mode3!P56</f>
        <v>249.50153927241013</v>
      </c>
      <c r="F57" s="99">
        <f>Mode3!Q56</f>
        <v>386.02592450136956</v>
      </c>
      <c r="G57" s="99">
        <f>Mode5!AA56</f>
        <v>249.50153927241013</v>
      </c>
      <c r="H57" s="99">
        <f>Mode5!AB56</f>
        <v>375.7744151575771</v>
      </c>
      <c r="I57" s="99">
        <f>Mode5!Q56</f>
        <v>249.50153927241013</v>
      </c>
      <c r="J57" s="99">
        <f>Mode5!R56</f>
        <v>361.76785777058365</v>
      </c>
      <c r="K57" s="99">
        <f>Mode5!G56</f>
        <v>249.50153927241013</v>
      </c>
      <c r="L57" s="99">
        <f>Mode5!H56</f>
        <v>347.42803947829486</v>
      </c>
      <c r="M57" s="99">
        <f>Mode1!G56</f>
        <v>249.50153927241013</v>
      </c>
      <c r="N57" s="99">
        <f>Mode1!H56</f>
        <v>332.2542771046293</v>
      </c>
    </row>
    <row r="58" spans="2:14">
      <c r="B58" s="11">
        <v>32</v>
      </c>
      <c r="C58" s="98">
        <f>Mode3!G57</f>
        <v>247.00339035533921</v>
      </c>
      <c r="D58" s="99">
        <f>Mode3!H57</f>
        <v>383.47727954053659</v>
      </c>
      <c r="E58" s="99">
        <f>Mode3!P57</f>
        <v>247.00339035533921</v>
      </c>
      <c r="F58" s="99">
        <f>Mode3!Q57</f>
        <v>382.236324402018</v>
      </c>
      <c r="G58" s="99">
        <f>Mode5!AA57</f>
        <v>247.00339035533921</v>
      </c>
      <c r="H58" s="99">
        <f>Mode5!AB57</f>
        <v>372.16802002429944</v>
      </c>
      <c r="I58" s="99">
        <f>Mode5!Q57</f>
        <v>247.00339035533921</v>
      </c>
      <c r="J58" s="99">
        <f>Mode5!R57</f>
        <v>358.40022583061943</v>
      </c>
      <c r="K58" s="99">
        <f>Mode5!G57</f>
        <v>247.00339035533921</v>
      </c>
      <c r="L58" s="99">
        <f>Mode5!H57</f>
        <v>344.30485167348843</v>
      </c>
      <c r="M58" s="99">
        <f>Mode1!G57</f>
        <v>247.00339035533921</v>
      </c>
      <c r="N58" s="99">
        <f>Mode1!H57</f>
        <v>329.38974928734268</v>
      </c>
    </row>
    <row r="59" spans="2:14">
      <c r="B59" s="11">
        <v>33</v>
      </c>
      <c r="C59" s="98">
        <f>Mode3!G58</f>
        <v>244.40706527669576</v>
      </c>
      <c r="D59" s="99">
        <f>Mode3!H58</f>
        <v>379.52532004266232</v>
      </c>
      <c r="E59" s="99">
        <f>Mode3!P58</f>
        <v>244.40706527669576</v>
      </c>
      <c r="F59" s="99">
        <f>Mode3!Q58</f>
        <v>378.29779724645539</v>
      </c>
      <c r="G59" s="99">
        <f>Mode5!AA58</f>
        <v>244.40706527669576</v>
      </c>
      <c r="H59" s="99">
        <f>Mode5!AB58</f>
        <v>368.41519179771439</v>
      </c>
      <c r="I59" s="99">
        <f>Mode5!Q58</f>
        <v>244.40706527669576</v>
      </c>
      <c r="J59" s="99">
        <f>Mode5!R58</f>
        <v>354.88981828212565</v>
      </c>
      <c r="K59" s="99">
        <f>Mode5!G58</f>
        <v>244.40706527669576</v>
      </c>
      <c r="L59" s="99">
        <f>Mode5!H58</f>
        <v>341.04263276821899</v>
      </c>
      <c r="M59" s="99">
        <f>Mode1!G58</f>
        <v>244.40706527669576</v>
      </c>
      <c r="N59" s="99">
        <f>Mode1!H58</f>
        <v>326.3901526426464</v>
      </c>
    </row>
    <row r="60" spans="2:14">
      <c r="B60" s="11">
        <v>34</v>
      </c>
      <c r="C60" s="98">
        <f>Mode3!G59</f>
        <v>241.7081888022872</v>
      </c>
      <c r="D60" s="99">
        <f>Mode3!H59</f>
        <v>375.41726338813839</v>
      </c>
      <c r="E60" s="99">
        <f>Mode3!P59</f>
        <v>241.7081888022872</v>
      </c>
      <c r="F60" s="99">
        <f>Mode3!Q59</f>
        <v>374.20370586548694</v>
      </c>
      <c r="G60" s="99">
        <f>Mode5!AA59</f>
        <v>241.7081888022872</v>
      </c>
      <c r="H60" s="99">
        <f>Mode5!AB59</f>
        <v>364.50937760271535</v>
      </c>
      <c r="I60" s="99">
        <f>Mode5!Q59</f>
        <v>241.7081888022872</v>
      </c>
      <c r="J60" s="99">
        <f>Mode5!R59</f>
        <v>351.23021229872211</v>
      </c>
      <c r="K60" s="99">
        <f>Mode5!G59</f>
        <v>241.7081888022872</v>
      </c>
      <c r="L60" s="99">
        <f>Mode5!H59</f>
        <v>337.63509307910897</v>
      </c>
      <c r="M60" s="99">
        <f>Mode1!G59</f>
        <v>241.7081888022872</v>
      </c>
      <c r="N60" s="99">
        <f>Mode1!H59</f>
        <v>323.24933837320759</v>
      </c>
    </row>
    <row r="61" spans="2:14">
      <c r="B61" s="11">
        <v>35</v>
      </c>
      <c r="C61" s="98">
        <f>Mode3!G60</f>
        <v>238.90223378840963</v>
      </c>
      <c r="D61" s="99">
        <f>Mode3!H60</f>
        <v>371.1462186492048</v>
      </c>
      <c r="E61" s="99">
        <f>Mode3!P60</f>
        <v>238.90223378840963</v>
      </c>
      <c r="F61" s="99">
        <f>Mode3!Q60</f>
        <v>369.94623508897786</v>
      </c>
      <c r="G61" s="99">
        <f>Mode5!AA60</f>
        <v>238.90223378840963</v>
      </c>
      <c r="H61" s="99">
        <f>Mode5!AB60</f>
        <v>360.4353369349455</v>
      </c>
      <c r="I61" s="99">
        <f>Mode5!Q60</f>
        <v>238.90223378840963</v>
      </c>
      <c r="J61" s="99">
        <f>Mode5!R60</f>
        <v>347.3960026741081</v>
      </c>
      <c r="K61" s="99">
        <f>Mode5!G60</f>
        <v>238.90223378840963</v>
      </c>
      <c r="L61" s="99">
        <f>Mode5!H60</f>
        <v>334.04642084706643</v>
      </c>
      <c r="M61" s="99">
        <f>Mode1!G60</f>
        <v>238.90223378840963</v>
      </c>
      <c r="N61" s="99">
        <f>Mode1!H60</f>
        <v>319.92048296539451</v>
      </c>
    </row>
    <row r="62" spans="2:14">
      <c r="B62" s="11">
        <v>36</v>
      </c>
      <c r="C62" s="98">
        <f>Mode3!G61</f>
        <v>236.17490247105056</v>
      </c>
      <c r="D62" s="99">
        <f>Mode3!H61</f>
        <v>366.9948498579289</v>
      </c>
      <c r="E62" s="99">
        <f>Mode3!P61</f>
        <v>236.17490247105056</v>
      </c>
      <c r="F62" s="99">
        <f>Mode3!Q61</f>
        <v>365.80858269516068</v>
      </c>
      <c r="G62" s="99">
        <f>Mode5!AA61</f>
        <v>236.17490247105056</v>
      </c>
      <c r="H62" s="99">
        <f>Mode5!AB61</f>
        <v>356.4805379788113</v>
      </c>
      <c r="I62" s="99">
        <f>Mode5!Q61</f>
        <v>236.17490247105056</v>
      </c>
      <c r="J62" s="99">
        <f>Mode5!R61</f>
        <v>343.68050612597244</v>
      </c>
      <c r="K62" s="99">
        <f>Mode5!G61</f>
        <v>236.17490247105056</v>
      </c>
      <c r="L62" s="99">
        <f>Mode5!H61</f>
        <v>330.57592047841979</v>
      </c>
      <c r="M62" s="99">
        <f>Mode1!G61</f>
        <v>236.17490247105056</v>
      </c>
      <c r="N62" s="99">
        <f>Mode1!H61</f>
        <v>316.70922673319694</v>
      </c>
    </row>
    <row r="63" spans="2:14">
      <c r="B63" s="11">
        <v>37</v>
      </c>
      <c r="C63" s="98">
        <f>Mode3!G62</f>
        <v>233.41895257370257</v>
      </c>
      <c r="D63" s="99">
        <f>Mode3!H62</f>
        <v>362.79991969988384</v>
      </c>
      <c r="E63" s="99">
        <f>Mode3!P62</f>
        <v>233.41895257370257</v>
      </c>
      <c r="F63" s="99">
        <f>Mode3!Q62</f>
        <v>361.62802019633415</v>
      </c>
      <c r="G63" s="99">
        <f>Mode5!AA62</f>
        <v>233.41895257370257</v>
      </c>
      <c r="H63" s="99">
        <f>Mode5!AB62</f>
        <v>352.48619482759273</v>
      </c>
      <c r="I63" s="99">
        <f>Mode5!Q62</f>
        <v>233.41895257370257</v>
      </c>
      <c r="J63" s="99">
        <f>Mode5!R62</f>
        <v>339.93035585262965</v>
      </c>
      <c r="K63" s="99">
        <f>Mode5!G62</f>
        <v>233.41895257370257</v>
      </c>
      <c r="L63" s="99">
        <f>Mode5!H62</f>
        <v>327.07577321440033</v>
      </c>
      <c r="M63" s="99">
        <f>Mode1!G62</f>
        <v>233.41895257370257</v>
      </c>
      <c r="N63" s="99">
        <f>Mode1!H62</f>
        <v>313.47362161182195</v>
      </c>
    </row>
    <row r="64" spans="2:14">
      <c r="B64" s="11">
        <v>38</v>
      </c>
      <c r="C64" s="98">
        <f>Mode3!G63</f>
        <v>230.53214872687326</v>
      </c>
      <c r="D64" s="99">
        <f>Mode3!H63</f>
        <v>358.40581205334138</v>
      </c>
      <c r="E64" s="99">
        <f>Mode3!P63</f>
        <v>230.53214872687326</v>
      </c>
      <c r="F64" s="99">
        <f>Mode3!Q63</f>
        <v>357.24895898842095</v>
      </c>
      <c r="G64" s="99">
        <f>Mode5!AA63</f>
        <v>230.53214872687326</v>
      </c>
      <c r="H64" s="99">
        <f>Mode5!AB63</f>
        <v>348.2968097112722</v>
      </c>
      <c r="I64" s="99">
        <f>Mode5!Q63</f>
        <v>230.53214872687326</v>
      </c>
      <c r="J64" s="99">
        <f>Mode5!R63</f>
        <v>335.9901981644054</v>
      </c>
      <c r="K64" s="99">
        <f>Mode5!G63</f>
        <v>230.53214872687326</v>
      </c>
      <c r="L64" s="99">
        <f>Mode5!H63</f>
        <v>323.39077287381065</v>
      </c>
      <c r="M64" s="99">
        <f>Mode1!G63</f>
        <v>230.53214872687326</v>
      </c>
      <c r="N64" s="99">
        <f>Mode1!H63</f>
        <v>310.05861750702712</v>
      </c>
    </row>
    <row r="65" spans="2:14">
      <c r="B65" s="11">
        <v>39</v>
      </c>
      <c r="C65" s="98">
        <f>Mode3!G64</f>
        <v>227.50896198118832</v>
      </c>
      <c r="D65" s="99">
        <f>Mode3!H64</f>
        <v>353.80411110620895</v>
      </c>
      <c r="E65" s="99">
        <f>Mode3!P64</f>
        <v>227.50896198118832</v>
      </c>
      <c r="F65" s="99">
        <f>Mode3!Q64</f>
        <v>352.6630092442133</v>
      </c>
      <c r="G65" s="99">
        <f>Mode5!AA64</f>
        <v>227.50896198118832</v>
      </c>
      <c r="H65" s="99">
        <f>Mode5!AB64</f>
        <v>343.90406499221154</v>
      </c>
      <c r="I65" s="99">
        <f>Mode5!Q64</f>
        <v>227.50896198118832</v>
      </c>
      <c r="J65" s="99">
        <f>Mode5!R64</f>
        <v>331.85183494038853</v>
      </c>
      <c r="K65" s="99">
        <f>Mode5!G64</f>
        <v>227.50896198118832</v>
      </c>
      <c r="L65" s="99">
        <f>Mode5!H64</f>
        <v>319.5128436961524</v>
      </c>
      <c r="M65" s="99">
        <f>Mode1!G64</f>
        <v>227.50896198118832</v>
      </c>
      <c r="N65" s="99">
        <f>Mode1!H64</f>
        <v>306.45626813469903</v>
      </c>
    </row>
    <row r="66" spans="2:14">
      <c r="B66" s="100">
        <v>40</v>
      </c>
      <c r="C66" s="101">
        <f>Mode3!G65</f>
        <v>224.34417135637517</v>
      </c>
      <c r="D66" s="102">
        <f>Mode3!H65</f>
        <v>348.98686981720641</v>
      </c>
      <c r="E66" s="99">
        <f>Mode3!P65</f>
        <v>224.34417135637517</v>
      </c>
      <c r="F66" s="99">
        <f>Mode3!Q65</f>
        <v>347.8613046966787</v>
      </c>
      <c r="G66" s="99">
        <f>Mode5!AA65</f>
        <v>224.34417135637517</v>
      </c>
      <c r="H66" s="99">
        <f>Mode5!AB65</f>
        <v>339.29196386105838</v>
      </c>
      <c r="I66" s="99">
        <f>Mode5!Q65</f>
        <v>224.34417135637517</v>
      </c>
      <c r="J66" s="99">
        <f>Mode5!R65</f>
        <v>327.48946965357374</v>
      </c>
      <c r="K66" s="99">
        <f>Mode5!G65</f>
        <v>224.34417135637517</v>
      </c>
      <c r="L66" s="99">
        <f>Mode5!H65</f>
        <v>315.4061562700665</v>
      </c>
      <c r="M66" s="99">
        <f>Mode1!G65</f>
        <v>224.34417135637517</v>
      </c>
      <c r="N66" s="99">
        <f>Mode1!H65</f>
        <v>302.62012772837522</v>
      </c>
    </row>
  </sheetData>
  <mergeCells count="10">
    <mergeCell ref="K4:L4"/>
    <mergeCell ref="M4:N4"/>
    <mergeCell ref="B2:J3"/>
    <mergeCell ref="K2:L3"/>
    <mergeCell ref="M2:N3"/>
    <mergeCell ref="B4:B5"/>
    <mergeCell ref="C4:D4"/>
    <mergeCell ref="E4:F4"/>
    <mergeCell ref="G4:H4"/>
    <mergeCell ref="I4:J4"/>
  </mergeCells>
  <phoneticPr fontId="2" type="noConversion"/>
  <pageMargins left="0.25" right="0.25" top="0.75" bottom="0.75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9"/>
  <sheetViews>
    <sheetView view="pageBreakPreview" zoomScale="85" zoomScaleNormal="100" zoomScaleSheetLayoutView="85" workbookViewId="0">
      <selection activeCell="C17" sqref="C17"/>
    </sheetView>
  </sheetViews>
  <sheetFormatPr defaultRowHeight="16.5"/>
  <cols>
    <col min="2" max="5" width="9.625" customWidth="1"/>
    <col min="6" max="6" width="9.875" bestFit="1" customWidth="1"/>
    <col min="7" max="7" width="9.875" customWidth="1"/>
    <col min="8" max="8" width="9.75" bestFit="1" customWidth="1"/>
    <col min="9" max="9" width="7.125" customWidth="1"/>
    <col min="11" max="14" width="9" customWidth="1"/>
    <col min="15" max="15" width="9.875" bestFit="1" customWidth="1"/>
    <col min="16" max="16" width="9.875" customWidth="1"/>
    <col min="17" max="17" width="9.75" bestFit="1" customWidth="1"/>
    <col min="18" max="18" width="11" bestFit="1" customWidth="1"/>
    <col min="19" max="19" width="7.875" customWidth="1"/>
    <col min="20" max="20" width="21.625" bestFit="1" customWidth="1"/>
    <col min="30" max="48" width="0" hidden="1" customWidth="1"/>
  </cols>
  <sheetData>
    <row r="1" spans="1:28">
      <c r="A1" s="117" t="s">
        <v>25</v>
      </c>
      <c r="B1" s="117"/>
      <c r="C1" s="117"/>
      <c r="D1" s="117"/>
      <c r="E1" s="117"/>
      <c r="F1" s="117"/>
      <c r="G1" s="117"/>
      <c r="H1" s="117"/>
      <c r="J1" s="117" t="s">
        <v>26</v>
      </c>
      <c r="K1" s="117"/>
      <c r="L1" s="117"/>
      <c r="M1" s="117"/>
      <c r="N1" s="117"/>
      <c r="O1" s="117"/>
      <c r="P1" s="117"/>
      <c r="Q1" s="117"/>
      <c r="R1" s="117"/>
    </row>
    <row r="2" spans="1:28">
      <c r="A2" s="1"/>
      <c r="B2" s="1"/>
      <c r="C2" s="1"/>
      <c r="D2" s="1"/>
      <c r="E2" s="1"/>
      <c r="F2" s="1"/>
      <c r="G2" s="1"/>
      <c r="H2" s="1"/>
      <c r="J2" s="1"/>
      <c r="K2" s="1"/>
      <c r="L2" s="1"/>
      <c r="M2" s="1"/>
      <c r="N2" s="1"/>
      <c r="O2" s="1"/>
      <c r="P2" s="1"/>
      <c r="Q2" s="1"/>
      <c r="R2" s="1"/>
      <c r="W2" s="11"/>
      <c r="X2" s="11" t="s">
        <v>27</v>
      </c>
      <c r="Y2" s="12" t="s">
        <v>28</v>
      </c>
      <c r="Z2" s="12" t="s">
        <v>29</v>
      </c>
      <c r="AA2" s="12" t="s">
        <v>30</v>
      </c>
      <c r="AB2" s="5" t="s">
        <v>31</v>
      </c>
    </row>
    <row r="3" spans="1:28" ht="27" customHeight="1" thickBot="1">
      <c r="A3" s="122" t="s">
        <v>32</v>
      </c>
      <c r="B3" s="118" t="s">
        <v>33</v>
      </c>
      <c r="C3" s="118"/>
      <c r="D3" s="118"/>
      <c r="E3" s="124" t="s">
        <v>34</v>
      </c>
      <c r="F3" s="124"/>
      <c r="G3" s="118" t="s">
        <v>35</v>
      </c>
      <c r="H3" s="118"/>
      <c r="J3" s="122" t="s">
        <v>32</v>
      </c>
      <c r="K3" s="119" t="s">
        <v>33</v>
      </c>
      <c r="L3" s="120"/>
      <c r="M3" s="121"/>
      <c r="N3" s="124" t="s">
        <v>34</v>
      </c>
      <c r="O3" s="124"/>
      <c r="P3" s="118" t="s">
        <v>35</v>
      </c>
      <c r="Q3" s="118"/>
      <c r="R3" s="2" t="s">
        <v>36</v>
      </c>
      <c r="W3" s="13" t="s">
        <v>6</v>
      </c>
      <c r="X3" s="54">
        <v>450.4</v>
      </c>
      <c r="Y3" s="54"/>
      <c r="Z3" s="47"/>
      <c r="AA3" s="13"/>
    </row>
    <row r="4" spans="1:28">
      <c r="A4" s="123"/>
      <c r="B4" s="9" t="s">
        <v>13</v>
      </c>
      <c r="C4" s="9" t="s">
        <v>37</v>
      </c>
      <c r="D4" s="2" t="s">
        <v>14</v>
      </c>
      <c r="E4" s="2" t="s">
        <v>13</v>
      </c>
      <c r="F4" s="9" t="s">
        <v>14</v>
      </c>
      <c r="G4" s="9" t="s">
        <v>13</v>
      </c>
      <c r="H4" s="2" t="s">
        <v>14</v>
      </c>
      <c r="J4" s="123"/>
      <c r="K4" s="2" t="s">
        <v>13</v>
      </c>
      <c r="L4" s="2" t="s">
        <v>37</v>
      </c>
      <c r="M4" s="2" t="s">
        <v>14</v>
      </c>
      <c r="N4" s="2" t="s">
        <v>13</v>
      </c>
      <c r="O4" s="9" t="s">
        <v>14</v>
      </c>
      <c r="P4" s="9" t="s">
        <v>13</v>
      </c>
      <c r="Q4" s="2" t="s">
        <v>14</v>
      </c>
      <c r="R4" s="2" t="s">
        <v>38</v>
      </c>
      <c r="U4" s="6" t="s">
        <v>6</v>
      </c>
      <c r="W4" s="13" t="s">
        <v>7</v>
      </c>
      <c r="X4" s="54">
        <v>449</v>
      </c>
      <c r="Y4" s="55">
        <v>7.69</v>
      </c>
      <c r="Z4" s="56">
        <v>0.18205461638491299</v>
      </c>
      <c r="AA4" s="49">
        <f>$X$3-X4</f>
        <v>1.3999999999999773</v>
      </c>
    </row>
    <row r="5" spans="1:28" ht="17.25" thickBot="1">
      <c r="A5" s="3">
        <v>-20</v>
      </c>
      <c r="B5" s="64">
        <v>291.36992403709252</v>
      </c>
      <c r="C5" s="64">
        <v>152.13468490615347</v>
      </c>
      <c r="D5" s="64">
        <f>B5+C5</f>
        <v>443.50460894324601</v>
      </c>
      <c r="E5" s="65">
        <v>11.5</v>
      </c>
      <c r="F5" s="66">
        <v>10</v>
      </c>
      <c r="G5" s="67">
        <f>B5-E5</f>
        <v>279.86992403709252</v>
      </c>
      <c r="H5" s="68">
        <f t="shared" ref="H5:H36" si="0">D5-F5</f>
        <v>433.50460894324601</v>
      </c>
      <c r="J5" s="3">
        <v>-20</v>
      </c>
      <c r="K5" s="64">
        <f>B5</f>
        <v>291.36992403709252</v>
      </c>
      <c r="L5" s="64">
        <f>M5-K5</f>
        <v>150.72389784300242</v>
      </c>
      <c r="M5" s="64">
        <f>Q5+O5</f>
        <v>442.09382188009494</v>
      </c>
      <c r="N5" s="65">
        <f>$E$5</f>
        <v>11.5</v>
      </c>
      <c r="O5" s="66">
        <f>$F$5</f>
        <v>10</v>
      </c>
      <c r="P5" s="67">
        <f>K5-N5</f>
        <v>279.86992403709252</v>
      </c>
      <c r="Q5" s="68">
        <f>U5-(R5*$Z$4)</f>
        <v>432.09382188009494</v>
      </c>
      <c r="R5" s="70">
        <f>(R6*U5)/U6</f>
        <v>7.749251796879947</v>
      </c>
      <c r="S5" s="5"/>
      <c r="T5" s="62"/>
      <c r="U5" s="7">
        <f t="shared" ref="U5:U36" si="1">H5</f>
        <v>433.50460894324601</v>
      </c>
      <c r="W5" s="14"/>
      <c r="X5" s="22"/>
      <c r="Y5" s="46"/>
      <c r="Z5" s="57" t="s">
        <v>39</v>
      </c>
      <c r="AA5" s="50">
        <f t="shared" ref="AA5:AA8" si="2">$X$3-X5</f>
        <v>450.4</v>
      </c>
    </row>
    <row r="6" spans="1:28">
      <c r="A6" s="3">
        <v>-19</v>
      </c>
      <c r="B6" s="64">
        <v>292.06244158231618</v>
      </c>
      <c r="C6" s="64">
        <v>152.49627314791434</v>
      </c>
      <c r="D6" s="64">
        <f t="shared" ref="D6:D36" si="3">B6+C6</f>
        <v>444.55871473023052</v>
      </c>
      <c r="E6" s="65">
        <f>$E$5</f>
        <v>11.5</v>
      </c>
      <c r="F6" s="66">
        <f>$F$5</f>
        <v>10</v>
      </c>
      <c r="G6" s="67">
        <f t="shared" ref="G6:G65" si="4">B6-E6</f>
        <v>280.56244158231618</v>
      </c>
      <c r="H6" s="69">
        <f t="shared" si="0"/>
        <v>434.55871473023052</v>
      </c>
      <c r="I6" s="63">
        <f>H6-H5</f>
        <v>1.0541057869845076</v>
      </c>
      <c r="J6" s="3">
        <v>-19</v>
      </c>
      <c r="K6" s="64">
        <f t="shared" ref="K6:K65" si="5">B6</f>
        <v>292.06244158231618</v>
      </c>
      <c r="L6" s="64">
        <f t="shared" ref="L6:L8" si="6">M6-K6</f>
        <v>151.08205562802351</v>
      </c>
      <c r="M6" s="64">
        <f t="shared" ref="M6:M65" si="7">Q6+O6</f>
        <v>443.14449721033969</v>
      </c>
      <c r="N6" s="65">
        <f t="shared" ref="N6:N65" si="8">$E$5</f>
        <v>11.5</v>
      </c>
      <c r="O6" s="66">
        <f t="shared" ref="O6:O65" si="9">$F$5</f>
        <v>10</v>
      </c>
      <c r="P6" s="67">
        <f t="shared" ref="P6:P65" si="10">K6-N6</f>
        <v>280.56244158231618</v>
      </c>
      <c r="Q6" s="71">
        <f t="shared" ref="Q6:Q65" si="11">U6-(R6*$Z$4)</f>
        <v>433.14449721033969</v>
      </c>
      <c r="R6" s="70">
        <f t="shared" ref="R6:R39" si="12">(R7*U6)/U7</f>
        <v>7.7680948056862515</v>
      </c>
      <c r="S6" s="5"/>
      <c r="T6" s="62"/>
      <c r="U6" s="7">
        <f t="shared" si="1"/>
        <v>434.55871473023052</v>
      </c>
      <c r="W6" s="15"/>
      <c r="X6" s="20"/>
      <c r="Y6" s="15"/>
      <c r="Z6" s="48"/>
      <c r="AA6" s="51">
        <f t="shared" si="2"/>
        <v>450.4</v>
      </c>
    </row>
    <row r="7" spans="1:28">
      <c r="A7" s="3">
        <v>-18</v>
      </c>
      <c r="B7" s="64">
        <v>292.72581494626007</v>
      </c>
      <c r="C7" s="64">
        <v>152.84264416761474</v>
      </c>
      <c r="D7" s="64">
        <f t="shared" si="3"/>
        <v>445.56845911387484</v>
      </c>
      <c r="E7" s="65">
        <f t="shared" ref="E7:E65" si="13">$E$5</f>
        <v>11.5</v>
      </c>
      <c r="F7" s="66">
        <f t="shared" ref="F7:F65" si="14">$F$5</f>
        <v>10</v>
      </c>
      <c r="G7" s="67">
        <f t="shared" si="4"/>
        <v>281.22581494626007</v>
      </c>
      <c r="H7" s="69">
        <f t="shared" si="0"/>
        <v>435.56845911387484</v>
      </c>
      <c r="I7" s="63">
        <f t="shared" ref="I7:I65" si="15">H7-H6</f>
        <v>1.0097443836443176</v>
      </c>
      <c r="J7" s="3">
        <v>-18</v>
      </c>
      <c r="K7" s="64">
        <f t="shared" si="5"/>
        <v>292.72581494626007</v>
      </c>
      <c r="L7" s="64">
        <f t="shared" si="6"/>
        <v>151.42514055967746</v>
      </c>
      <c r="M7" s="64">
        <f t="shared" si="7"/>
        <v>444.15095550593753</v>
      </c>
      <c r="N7" s="65">
        <f t="shared" si="8"/>
        <v>11.5</v>
      </c>
      <c r="O7" s="66">
        <f t="shared" si="9"/>
        <v>10</v>
      </c>
      <c r="P7" s="67">
        <f t="shared" si="10"/>
        <v>281.22581494626007</v>
      </c>
      <c r="Q7" s="71">
        <f t="shared" si="11"/>
        <v>434.15095550593753</v>
      </c>
      <c r="R7" s="70">
        <f t="shared" si="12"/>
        <v>7.7861448178843222</v>
      </c>
      <c r="S7" s="5"/>
      <c r="T7" s="62"/>
      <c r="U7" s="7">
        <f t="shared" si="1"/>
        <v>435.56845911387484</v>
      </c>
      <c r="W7" s="16"/>
      <c r="X7" s="21"/>
      <c r="Y7" s="16"/>
      <c r="Z7" s="17"/>
      <c r="AA7" s="52">
        <f t="shared" ref="AA7" si="16">$X$3-X7</f>
        <v>450.4</v>
      </c>
    </row>
    <row r="8" spans="1:28">
      <c r="A8" s="3">
        <v>-17</v>
      </c>
      <c r="B8" s="64">
        <v>293.3727998244043</v>
      </c>
      <c r="C8" s="64">
        <v>153.18045817124184</v>
      </c>
      <c r="D8" s="64">
        <f t="shared" si="3"/>
        <v>446.55325799564616</v>
      </c>
      <c r="E8" s="65">
        <f t="shared" si="13"/>
        <v>11.5</v>
      </c>
      <c r="F8" s="66">
        <f t="shared" si="14"/>
        <v>10</v>
      </c>
      <c r="G8" s="67">
        <f t="shared" si="4"/>
        <v>281.8727998244043</v>
      </c>
      <c r="H8" s="69">
        <f t="shared" si="0"/>
        <v>436.55325799564616</v>
      </c>
      <c r="I8" s="63">
        <f t="shared" si="15"/>
        <v>0.9847988817713258</v>
      </c>
      <c r="J8" s="3">
        <v>-17</v>
      </c>
      <c r="K8" s="64">
        <f t="shared" si="5"/>
        <v>293.3727998244043</v>
      </c>
      <c r="L8" s="64">
        <f t="shared" si="6"/>
        <v>151.75974965730461</v>
      </c>
      <c r="M8" s="64">
        <f t="shared" si="7"/>
        <v>445.13254948170891</v>
      </c>
      <c r="N8" s="65">
        <f t="shared" si="8"/>
        <v>11.5</v>
      </c>
      <c r="O8" s="66">
        <f t="shared" si="9"/>
        <v>10</v>
      </c>
      <c r="P8" s="67">
        <f t="shared" si="10"/>
        <v>281.8727998244043</v>
      </c>
      <c r="Q8" s="71">
        <f t="shared" si="11"/>
        <v>435.13254948170891</v>
      </c>
      <c r="R8" s="70">
        <f t="shared" si="12"/>
        <v>7.8037489086983394</v>
      </c>
      <c r="S8" s="5"/>
      <c r="T8" s="62"/>
      <c r="U8" s="7">
        <f t="shared" si="1"/>
        <v>436.55325799564616</v>
      </c>
      <c r="W8" s="18"/>
      <c r="X8" s="19"/>
      <c r="Y8" s="18"/>
      <c r="Z8" s="18"/>
      <c r="AA8" s="53">
        <f t="shared" si="2"/>
        <v>450.4</v>
      </c>
    </row>
    <row r="9" spans="1:28">
      <c r="A9" s="3">
        <v>-16</v>
      </c>
      <c r="B9" s="64">
        <v>293.96220439095146</v>
      </c>
      <c r="C9" s="64">
        <v>153.48820742954382</v>
      </c>
      <c r="D9" s="64">
        <f t="shared" si="3"/>
        <v>447.45041182049528</v>
      </c>
      <c r="E9" s="65">
        <f t="shared" si="13"/>
        <v>11.5</v>
      </c>
      <c r="F9" s="66">
        <f t="shared" si="14"/>
        <v>10</v>
      </c>
      <c r="G9" s="67">
        <f t="shared" si="4"/>
        <v>282.46220439095146</v>
      </c>
      <c r="H9" s="69">
        <f t="shared" si="0"/>
        <v>437.45041182049528</v>
      </c>
      <c r="I9" s="63">
        <f t="shared" si="15"/>
        <v>0.89715382484911288</v>
      </c>
      <c r="J9" s="3">
        <v>-16</v>
      </c>
      <c r="K9" s="64">
        <f t="shared" si="5"/>
        <v>293.96220439095146</v>
      </c>
      <c r="L9" s="64">
        <f t="shared" ref="L9:L65" si="17">M9-K9</f>
        <v>152.0645792395901</v>
      </c>
      <c r="M9" s="64">
        <f t="shared" si="7"/>
        <v>446.02678363054156</v>
      </c>
      <c r="N9" s="65">
        <f t="shared" si="8"/>
        <v>11.5</v>
      </c>
      <c r="O9" s="66">
        <f t="shared" si="9"/>
        <v>10</v>
      </c>
      <c r="P9" s="67">
        <f t="shared" si="10"/>
        <v>282.46220439095146</v>
      </c>
      <c r="Q9" s="71">
        <f t="shared" si="11"/>
        <v>436.02678363054156</v>
      </c>
      <c r="R9" s="70">
        <f t="shared" si="12"/>
        <v>7.8197862719601448</v>
      </c>
      <c r="S9" s="5"/>
      <c r="T9" s="62"/>
      <c r="U9" s="7">
        <f t="shared" si="1"/>
        <v>437.45041182049528</v>
      </c>
    </row>
    <row r="10" spans="1:28">
      <c r="A10" s="3">
        <v>-15</v>
      </c>
      <c r="B10" s="64">
        <v>294.50768393946197</v>
      </c>
      <c r="C10" s="64">
        <v>153.77302186092217</v>
      </c>
      <c r="D10" s="64">
        <f t="shared" si="3"/>
        <v>448.28070580038411</v>
      </c>
      <c r="E10" s="65">
        <f t="shared" si="13"/>
        <v>11.5</v>
      </c>
      <c r="F10" s="66">
        <f t="shared" si="14"/>
        <v>10</v>
      </c>
      <c r="G10" s="67">
        <f t="shared" si="4"/>
        <v>283.00768393946197</v>
      </c>
      <c r="H10" s="69">
        <f t="shared" si="0"/>
        <v>438.28070580038411</v>
      </c>
      <c r="I10" s="63">
        <f t="shared" si="15"/>
        <v>0.83029397988883602</v>
      </c>
      <c r="J10" s="3">
        <v>-15</v>
      </c>
      <c r="K10" s="64">
        <f t="shared" si="5"/>
        <v>294.50768393946197</v>
      </c>
      <c r="L10" s="64">
        <f t="shared" si="17"/>
        <v>152.34669158203724</v>
      </c>
      <c r="M10" s="64">
        <f t="shared" si="7"/>
        <v>446.85437552149921</v>
      </c>
      <c r="N10" s="65">
        <f t="shared" si="8"/>
        <v>11.5</v>
      </c>
      <c r="O10" s="66">
        <f t="shared" si="9"/>
        <v>10</v>
      </c>
      <c r="P10" s="67">
        <f t="shared" si="10"/>
        <v>283.00768393946197</v>
      </c>
      <c r="Q10" s="71">
        <f t="shared" si="11"/>
        <v>436.85437552149921</v>
      </c>
      <c r="R10" s="70">
        <f t="shared" si="12"/>
        <v>7.8346284604463907</v>
      </c>
      <c r="S10" s="5"/>
      <c r="T10" s="62"/>
      <c r="U10" s="7">
        <f t="shared" si="1"/>
        <v>438.28070580038411</v>
      </c>
    </row>
    <row r="11" spans="1:28">
      <c r="A11" s="3">
        <v>-14</v>
      </c>
      <c r="B11" s="64">
        <v>295.07676206989032</v>
      </c>
      <c r="C11" s="64">
        <v>154.07015795808744</v>
      </c>
      <c r="D11" s="64">
        <f t="shared" si="3"/>
        <v>449.14692002797779</v>
      </c>
      <c r="E11" s="65">
        <f t="shared" si="13"/>
        <v>11.5</v>
      </c>
      <c r="F11" s="66">
        <f t="shared" si="14"/>
        <v>10</v>
      </c>
      <c r="G11" s="67">
        <f t="shared" si="4"/>
        <v>283.57676206989032</v>
      </c>
      <c r="H11" s="69">
        <f t="shared" si="0"/>
        <v>439.14692002797779</v>
      </c>
      <c r="I11" s="63">
        <f t="shared" si="15"/>
        <v>0.86621422759367306</v>
      </c>
      <c r="J11" s="3">
        <v>-14</v>
      </c>
      <c r="K11" s="64">
        <f t="shared" si="5"/>
        <v>295.07676206989032</v>
      </c>
      <c r="L11" s="64">
        <f t="shared" si="17"/>
        <v>152.64100869227372</v>
      </c>
      <c r="M11" s="64">
        <f t="shared" si="7"/>
        <v>447.71777076216404</v>
      </c>
      <c r="N11" s="65">
        <f t="shared" si="8"/>
        <v>11.5</v>
      </c>
      <c r="O11" s="66">
        <f t="shared" si="9"/>
        <v>10</v>
      </c>
      <c r="P11" s="67">
        <f t="shared" si="10"/>
        <v>283.57676206989032</v>
      </c>
      <c r="Q11" s="71">
        <f t="shared" si="11"/>
        <v>437.71777076216404</v>
      </c>
      <c r="R11" s="70">
        <f t="shared" si="12"/>
        <v>7.8501127529341375</v>
      </c>
      <c r="S11" s="5"/>
      <c r="T11" s="62"/>
      <c r="U11" s="7">
        <f t="shared" si="1"/>
        <v>439.14692002797779</v>
      </c>
    </row>
    <row r="12" spans="1:28">
      <c r="A12" s="3">
        <v>-13</v>
      </c>
      <c r="B12" s="64">
        <v>295.57239094327417</v>
      </c>
      <c r="C12" s="64">
        <v>154.32894356450103</v>
      </c>
      <c r="D12" s="64">
        <f t="shared" si="3"/>
        <v>449.90133450777523</v>
      </c>
      <c r="E12" s="65">
        <f t="shared" si="13"/>
        <v>11.5</v>
      </c>
      <c r="F12" s="66">
        <f t="shared" si="14"/>
        <v>10</v>
      </c>
      <c r="G12" s="67">
        <f t="shared" si="4"/>
        <v>284.07239094327417</v>
      </c>
      <c r="H12" s="69">
        <f t="shared" si="0"/>
        <v>439.90133450777523</v>
      </c>
      <c r="I12" s="63">
        <f t="shared" si="15"/>
        <v>0.7544144797974468</v>
      </c>
      <c r="J12" s="3">
        <v>-13</v>
      </c>
      <c r="K12" s="64">
        <f t="shared" si="5"/>
        <v>295.57239094327417</v>
      </c>
      <c r="L12" s="64">
        <f t="shared" si="17"/>
        <v>152.89733915019201</v>
      </c>
      <c r="M12" s="64">
        <f t="shared" si="7"/>
        <v>448.46973009346618</v>
      </c>
      <c r="N12" s="65">
        <f t="shared" si="8"/>
        <v>11.5</v>
      </c>
      <c r="O12" s="66">
        <f t="shared" si="9"/>
        <v>10</v>
      </c>
      <c r="P12" s="67">
        <f t="shared" si="10"/>
        <v>284.07239094327417</v>
      </c>
      <c r="Q12" s="71">
        <f t="shared" si="11"/>
        <v>438.46973009346618</v>
      </c>
      <c r="R12" s="70">
        <f t="shared" si="12"/>
        <v>7.863598532883314</v>
      </c>
      <c r="S12" s="5"/>
      <c r="T12" s="62"/>
      <c r="U12" s="7">
        <f t="shared" si="1"/>
        <v>439.90133450777523</v>
      </c>
    </row>
    <row r="13" spans="1:28">
      <c r="A13" s="3">
        <v>-12</v>
      </c>
      <c r="B13" s="64">
        <v>295.95408495361971</v>
      </c>
      <c r="C13" s="64">
        <v>154.52823969359329</v>
      </c>
      <c r="D13" s="64">
        <f t="shared" si="3"/>
        <v>450.48232464721298</v>
      </c>
      <c r="E13" s="65">
        <f t="shared" si="13"/>
        <v>11.5</v>
      </c>
      <c r="F13" s="66">
        <f t="shared" si="14"/>
        <v>10</v>
      </c>
      <c r="G13" s="67">
        <f t="shared" si="4"/>
        <v>284.45408495361971</v>
      </c>
      <c r="H13" s="69">
        <f t="shared" si="0"/>
        <v>440.48232464721298</v>
      </c>
      <c r="I13" s="63">
        <f t="shared" si="15"/>
        <v>0.5809901394377448</v>
      </c>
      <c r="J13" s="3">
        <v>-12</v>
      </c>
      <c r="K13" s="64">
        <f t="shared" si="5"/>
        <v>295.95408495361971</v>
      </c>
      <c r="L13" s="64">
        <f t="shared" si="17"/>
        <v>153.09474451882716</v>
      </c>
      <c r="M13" s="64">
        <f t="shared" si="7"/>
        <v>449.04882947244687</v>
      </c>
      <c r="N13" s="65">
        <f t="shared" si="8"/>
        <v>11.5</v>
      </c>
      <c r="O13" s="66">
        <f t="shared" si="9"/>
        <v>10</v>
      </c>
      <c r="P13" s="67">
        <f t="shared" si="10"/>
        <v>284.45408495361971</v>
      </c>
      <c r="Q13" s="71">
        <f t="shared" si="11"/>
        <v>439.04882947244687</v>
      </c>
      <c r="R13" s="70">
        <f t="shared" si="12"/>
        <v>7.873984209965232</v>
      </c>
      <c r="S13" s="5"/>
      <c r="T13" s="62"/>
      <c r="U13" s="7">
        <f t="shared" si="1"/>
        <v>440.48232464721298</v>
      </c>
    </row>
    <row r="14" spans="1:28">
      <c r="A14" s="3">
        <v>-11</v>
      </c>
      <c r="B14" s="64">
        <v>296.45765080532902</v>
      </c>
      <c r="C14" s="64">
        <v>154.79116948098462</v>
      </c>
      <c r="D14" s="64">
        <f t="shared" si="3"/>
        <v>451.24882028631362</v>
      </c>
      <c r="E14" s="65">
        <f t="shared" si="13"/>
        <v>11.5</v>
      </c>
      <c r="F14" s="66">
        <f t="shared" si="14"/>
        <v>10</v>
      </c>
      <c r="G14" s="67">
        <f t="shared" si="4"/>
        <v>284.95765080532902</v>
      </c>
      <c r="H14" s="69">
        <f t="shared" si="0"/>
        <v>441.24882028631362</v>
      </c>
      <c r="I14" s="63">
        <f t="shared" si="15"/>
        <v>0.76649563910063989</v>
      </c>
      <c r="J14" s="3">
        <v>-11</v>
      </c>
      <c r="K14" s="64">
        <f t="shared" si="5"/>
        <v>296.45765080532902</v>
      </c>
      <c r="L14" s="64">
        <f t="shared" si="17"/>
        <v>153.35517984108645</v>
      </c>
      <c r="M14" s="64">
        <f t="shared" si="7"/>
        <v>449.81283064641548</v>
      </c>
      <c r="N14" s="65">
        <f t="shared" si="8"/>
        <v>11.5</v>
      </c>
      <c r="O14" s="66">
        <f t="shared" si="9"/>
        <v>10</v>
      </c>
      <c r="P14" s="67">
        <f t="shared" si="10"/>
        <v>284.95765080532902</v>
      </c>
      <c r="Q14" s="71">
        <f t="shared" si="11"/>
        <v>439.81283064641548</v>
      </c>
      <c r="R14" s="70">
        <f t="shared" si="12"/>
        <v>7.8876859505835855</v>
      </c>
      <c r="S14" s="5"/>
      <c r="T14" s="62"/>
      <c r="U14" s="7">
        <f t="shared" si="1"/>
        <v>441.24882028631362</v>
      </c>
    </row>
    <row r="15" spans="1:28">
      <c r="A15" s="3">
        <v>-10</v>
      </c>
      <c r="B15" s="64">
        <v>296.92085373000418</v>
      </c>
      <c r="C15" s="64">
        <v>155.03302433688967</v>
      </c>
      <c r="D15" s="64">
        <f t="shared" si="3"/>
        <v>451.95387806689382</v>
      </c>
      <c r="E15" s="65">
        <f t="shared" si="13"/>
        <v>11.5</v>
      </c>
      <c r="F15" s="66">
        <f t="shared" si="14"/>
        <v>10</v>
      </c>
      <c r="G15" s="67">
        <f t="shared" si="4"/>
        <v>285.42085373000418</v>
      </c>
      <c r="H15" s="68">
        <f t="shared" si="0"/>
        <v>441.95387806689382</v>
      </c>
      <c r="I15" s="63">
        <f t="shared" si="15"/>
        <v>0.70505778058020496</v>
      </c>
      <c r="J15" s="3">
        <v>-10</v>
      </c>
      <c r="K15" s="64">
        <f t="shared" si="5"/>
        <v>296.92085373000418</v>
      </c>
      <c r="L15" s="64">
        <f t="shared" si="17"/>
        <v>153.59474017376129</v>
      </c>
      <c r="M15" s="64">
        <f t="shared" si="7"/>
        <v>450.51559390376548</v>
      </c>
      <c r="N15" s="65">
        <f t="shared" si="8"/>
        <v>11.5</v>
      </c>
      <c r="O15" s="66">
        <f t="shared" si="9"/>
        <v>10</v>
      </c>
      <c r="P15" s="67">
        <f t="shared" si="10"/>
        <v>285.42085373000418</v>
      </c>
      <c r="Q15" s="68">
        <f t="shared" si="11"/>
        <v>440.51559390376548</v>
      </c>
      <c r="R15" s="70">
        <f t="shared" si="12"/>
        <v>7.9002894388980103</v>
      </c>
      <c r="S15" s="5"/>
      <c r="T15" s="62"/>
      <c r="U15" s="7">
        <f t="shared" si="1"/>
        <v>441.95387806689382</v>
      </c>
    </row>
    <row r="16" spans="1:28">
      <c r="A16" s="3">
        <v>-9</v>
      </c>
      <c r="B16" s="64">
        <v>297.34306844606044</v>
      </c>
      <c r="C16" s="64">
        <v>155.25347777937259</v>
      </c>
      <c r="D16" s="64">
        <f t="shared" si="3"/>
        <v>452.59654622543303</v>
      </c>
      <c r="E16" s="65">
        <f t="shared" si="13"/>
        <v>11.5</v>
      </c>
      <c r="F16" s="66">
        <f t="shared" si="14"/>
        <v>10</v>
      </c>
      <c r="G16" s="67">
        <f t="shared" si="4"/>
        <v>285.84306844606044</v>
      </c>
      <c r="H16" s="69">
        <f t="shared" si="0"/>
        <v>442.59654622543303</v>
      </c>
      <c r="I16" s="63">
        <f t="shared" si="15"/>
        <v>0.64266815853920889</v>
      </c>
      <c r="J16" s="3">
        <v>-9</v>
      </c>
      <c r="K16" s="64">
        <f t="shared" si="5"/>
        <v>297.34306844606044</v>
      </c>
      <c r="L16" s="64">
        <f t="shared" si="17"/>
        <v>153.81310213231245</v>
      </c>
      <c r="M16" s="64">
        <f t="shared" si="7"/>
        <v>451.15617057837289</v>
      </c>
      <c r="N16" s="65">
        <f t="shared" si="8"/>
        <v>11.5</v>
      </c>
      <c r="O16" s="66">
        <f t="shared" si="9"/>
        <v>10</v>
      </c>
      <c r="P16" s="67">
        <f t="shared" si="10"/>
        <v>285.84306844606044</v>
      </c>
      <c r="Q16" s="71">
        <f t="shared" si="11"/>
        <v>441.15617057837289</v>
      </c>
      <c r="R16" s="70">
        <f t="shared" si="12"/>
        <v>7.9117776613519712</v>
      </c>
      <c r="S16" s="5"/>
      <c r="T16" s="62"/>
      <c r="U16" s="7">
        <f t="shared" si="1"/>
        <v>442.59654622543303</v>
      </c>
    </row>
    <row r="17" spans="1:21">
      <c r="A17" s="3">
        <v>-8</v>
      </c>
      <c r="B17" s="64">
        <v>297.72367561812865</v>
      </c>
      <c r="C17" s="64">
        <v>155.45220643122971</v>
      </c>
      <c r="D17" s="64">
        <f t="shared" si="3"/>
        <v>453.17588204935839</v>
      </c>
      <c r="E17" s="65">
        <f t="shared" si="13"/>
        <v>11.5</v>
      </c>
      <c r="F17" s="66">
        <f t="shared" si="14"/>
        <v>10</v>
      </c>
      <c r="G17" s="67">
        <f t="shared" si="4"/>
        <v>286.22367561812865</v>
      </c>
      <c r="H17" s="69">
        <f t="shared" si="0"/>
        <v>443.17588204935839</v>
      </c>
      <c r="I17" s="63">
        <f t="shared" si="15"/>
        <v>0.57933582392536209</v>
      </c>
      <c r="J17" s="3">
        <v>-8</v>
      </c>
      <c r="K17" s="64">
        <f t="shared" si="5"/>
        <v>297.72367561812865</v>
      </c>
      <c r="L17" s="64">
        <f t="shared" si="17"/>
        <v>154.00994540747752</v>
      </c>
      <c r="M17" s="64">
        <f t="shared" si="7"/>
        <v>451.73362102560617</v>
      </c>
      <c r="N17" s="65">
        <f t="shared" si="8"/>
        <v>11.5</v>
      </c>
      <c r="O17" s="66">
        <f t="shared" si="9"/>
        <v>10</v>
      </c>
      <c r="P17" s="67">
        <f t="shared" si="10"/>
        <v>286.22367561812865</v>
      </c>
      <c r="Q17" s="71">
        <f t="shared" si="11"/>
        <v>441.73362102560617</v>
      </c>
      <c r="R17" s="70">
        <f t="shared" si="12"/>
        <v>7.9221337661820774</v>
      </c>
      <c r="S17" s="5"/>
      <c r="T17" s="62"/>
      <c r="U17" s="7">
        <f t="shared" si="1"/>
        <v>443.17588204935839</v>
      </c>
    </row>
    <row r="18" spans="1:21">
      <c r="A18" s="3">
        <v>-7</v>
      </c>
      <c r="B18" s="64">
        <v>298.06206149837618</v>
      </c>
      <c r="C18" s="64">
        <v>155.62888983271074</v>
      </c>
      <c r="D18" s="64">
        <f t="shared" si="3"/>
        <v>453.69095133108692</v>
      </c>
      <c r="E18" s="65">
        <f t="shared" si="13"/>
        <v>11.5</v>
      </c>
      <c r="F18" s="66">
        <f t="shared" si="14"/>
        <v>10</v>
      </c>
      <c r="G18" s="67">
        <f t="shared" si="4"/>
        <v>286.56206149837618</v>
      </c>
      <c r="H18" s="69">
        <f t="shared" si="0"/>
        <v>443.69095133108692</v>
      </c>
      <c r="I18" s="63">
        <f t="shared" si="15"/>
        <v>0.51506928172852895</v>
      </c>
      <c r="J18" s="3">
        <v>-7</v>
      </c>
      <c r="K18" s="64">
        <f t="shared" si="5"/>
        <v>298.06206149837618</v>
      </c>
      <c r="L18" s="64">
        <f t="shared" si="17"/>
        <v>154.184952579769</v>
      </c>
      <c r="M18" s="64">
        <f t="shared" si="7"/>
        <v>452.24701407814518</v>
      </c>
      <c r="N18" s="65">
        <f t="shared" si="8"/>
        <v>11.5</v>
      </c>
      <c r="O18" s="66">
        <f t="shared" si="9"/>
        <v>10</v>
      </c>
      <c r="P18" s="67">
        <f t="shared" si="10"/>
        <v>286.56206149837618</v>
      </c>
      <c r="Q18" s="71">
        <f t="shared" si="11"/>
        <v>442.24701407814518</v>
      </c>
      <c r="R18" s="70">
        <f t="shared" si="12"/>
        <v>7.9313410536586337</v>
      </c>
      <c r="S18" s="5"/>
      <c r="T18" s="62"/>
      <c r="U18" s="7">
        <f t="shared" si="1"/>
        <v>443.69095133108692</v>
      </c>
    </row>
    <row r="19" spans="1:21">
      <c r="A19" s="3">
        <v>-6</v>
      </c>
      <c r="B19" s="64">
        <v>298.35761754106824</v>
      </c>
      <c r="C19" s="64">
        <v>155.7832102402671</v>
      </c>
      <c r="D19" s="64">
        <f t="shared" si="3"/>
        <v>454.14082778133536</v>
      </c>
      <c r="E19" s="65">
        <f t="shared" si="13"/>
        <v>11.5</v>
      </c>
      <c r="F19" s="66">
        <f t="shared" si="14"/>
        <v>10</v>
      </c>
      <c r="G19" s="67">
        <f t="shared" si="4"/>
        <v>286.85761754106824</v>
      </c>
      <c r="H19" s="69">
        <f t="shared" si="0"/>
        <v>444.14082778133536</v>
      </c>
      <c r="I19" s="63">
        <f t="shared" si="15"/>
        <v>0.44987645024843914</v>
      </c>
      <c r="J19" s="3">
        <v>-6</v>
      </c>
      <c r="K19" s="64">
        <f t="shared" si="5"/>
        <v>298.35761754106824</v>
      </c>
      <c r="L19" s="64">
        <f t="shared" si="17"/>
        <v>154.33780892013226</v>
      </c>
      <c r="M19" s="64">
        <f t="shared" si="7"/>
        <v>452.6954264612005</v>
      </c>
      <c r="N19" s="65">
        <f t="shared" si="8"/>
        <v>11.5</v>
      </c>
      <c r="O19" s="66">
        <f t="shared" si="9"/>
        <v>10</v>
      </c>
      <c r="P19" s="67">
        <f t="shared" si="10"/>
        <v>286.85761754106824</v>
      </c>
      <c r="Q19" s="71">
        <f t="shared" si="11"/>
        <v>442.6954264612005</v>
      </c>
      <c r="R19" s="70">
        <f t="shared" si="12"/>
        <v>7.939382965598071</v>
      </c>
      <c r="S19" s="5"/>
      <c r="T19" s="62"/>
      <c r="U19" s="7">
        <f t="shared" si="1"/>
        <v>444.14082778133536</v>
      </c>
    </row>
    <row r="20" spans="1:21">
      <c r="A20" s="3">
        <v>-5</v>
      </c>
      <c r="B20" s="64">
        <v>298.60973999394469</v>
      </c>
      <c r="C20" s="64">
        <v>155.91485241319515</v>
      </c>
      <c r="D20" s="64">
        <f t="shared" si="3"/>
        <v>454.52459240713983</v>
      </c>
      <c r="E20" s="65">
        <f t="shared" si="13"/>
        <v>11.5</v>
      </c>
      <c r="F20" s="66">
        <f t="shared" si="14"/>
        <v>10</v>
      </c>
      <c r="G20" s="67">
        <f t="shared" si="4"/>
        <v>287.10973999394469</v>
      </c>
      <c r="H20" s="69">
        <f t="shared" si="0"/>
        <v>444.52459240713983</v>
      </c>
      <c r="I20" s="63">
        <f t="shared" si="15"/>
        <v>0.38376462580447424</v>
      </c>
      <c r="J20" s="3">
        <v>-5</v>
      </c>
      <c r="K20" s="64">
        <f t="shared" si="5"/>
        <v>298.60973999394469</v>
      </c>
      <c r="L20" s="64">
        <f t="shared" si="17"/>
        <v>154.46820217861227</v>
      </c>
      <c r="M20" s="64">
        <f t="shared" si="7"/>
        <v>453.07794217255696</v>
      </c>
      <c r="N20" s="65">
        <f t="shared" si="8"/>
        <v>11.5</v>
      </c>
      <c r="O20" s="66">
        <f t="shared" si="9"/>
        <v>10</v>
      </c>
      <c r="P20" s="67">
        <f t="shared" si="10"/>
        <v>287.10973999394469</v>
      </c>
      <c r="Q20" s="71">
        <f t="shared" si="11"/>
        <v>443.07794217255696</v>
      </c>
      <c r="R20" s="70">
        <f t="shared" si="12"/>
        <v>7.9462430742445367</v>
      </c>
      <c r="S20" s="5"/>
      <c r="T20" s="62"/>
      <c r="U20" s="7">
        <f t="shared" si="1"/>
        <v>444.52459240713983</v>
      </c>
    </row>
    <row r="21" spans="1:21">
      <c r="A21" s="3">
        <v>-4</v>
      </c>
      <c r="B21" s="64">
        <v>298.79073226038815</v>
      </c>
      <c r="C21" s="64">
        <v>156.0093549652922</v>
      </c>
      <c r="D21" s="64">
        <f t="shared" si="3"/>
        <v>454.80008722568039</v>
      </c>
      <c r="E21" s="65">
        <f t="shared" si="13"/>
        <v>11.5</v>
      </c>
      <c r="F21" s="66">
        <f t="shared" si="14"/>
        <v>10</v>
      </c>
      <c r="G21" s="67">
        <f t="shared" si="4"/>
        <v>287.29073226038815</v>
      </c>
      <c r="H21" s="69">
        <f t="shared" si="0"/>
        <v>444.80008722568039</v>
      </c>
      <c r="I21" s="63">
        <f t="shared" si="15"/>
        <v>0.27549481854055102</v>
      </c>
      <c r="J21" s="3">
        <v>-4</v>
      </c>
      <c r="K21" s="64">
        <f t="shared" si="5"/>
        <v>298.79073226038815</v>
      </c>
      <c r="L21" s="64">
        <f t="shared" si="17"/>
        <v>154.56180816694064</v>
      </c>
      <c r="M21" s="64">
        <f t="shared" si="7"/>
        <v>453.35254042732879</v>
      </c>
      <c r="N21" s="65">
        <f t="shared" si="8"/>
        <v>11.5</v>
      </c>
      <c r="O21" s="66">
        <f t="shared" si="9"/>
        <v>10</v>
      </c>
      <c r="P21" s="67">
        <f t="shared" si="10"/>
        <v>287.29073226038815</v>
      </c>
      <c r="Q21" s="71">
        <f t="shared" si="11"/>
        <v>443.35254042732879</v>
      </c>
      <c r="R21" s="70">
        <f t="shared" si="12"/>
        <v>7.9511677709457107</v>
      </c>
      <c r="S21" s="5"/>
      <c r="T21" s="62"/>
      <c r="U21" s="7">
        <f t="shared" si="1"/>
        <v>444.80008722568039</v>
      </c>
    </row>
    <row r="22" spans="1:21">
      <c r="A22" s="3">
        <v>-3</v>
      </c>
      <c r="B22" s="64">
        <v>298.93376199134173</v>
      </c>
      <c r="C22" s="64">
        <v>156.08403591639845</v>
      </c>
      <c r="D22" s="64">
        <f t="shared" si="3"/>
        <v>455.01779790774015</v>
      </c>
      <c r="E22" s="65">
        <f t="shared" si="13"/>
        <v>11.5</v>
      </c>
      <c r="F22" s="66">
        <f t="shared" si="14"/>
        <v>10</v>
      </c>
      <c r="G22" s="67">
        <f t="shared" si="4"/>
        <v>287.43376199134173</v>
      </c>
      <c r="H22" s="69">
        <f t="shared" si="0"/>
        <v>445.01779790774015</v>
      </c>
      <c r="I22" s="63">
        <f t="shared" si="15"/>
        <v>0.21771068205976007</v>
      </c>
      <c r="J22" s="3">
        <v>-3</v>
      </c>
      <c r="K22" s="64">
        <f t="shared" si="5"/>
        <v>298.93376199134173</v>
      </c>
      <c r="L22" s="64">
        <f t="shared" si="17"/>
        <v>154.63578060559405</v>
      </c>
      <c r="M22" s="64">
        <f t="shared" si="7"/>
        <v>453.56954259693578</v>
      </c>
      <c r="N22" s="65">
        <f t="shared" si="8"/>
        <v>11.5</v>
      </c>
      <c r="O22" s="66">
        <f t="shared" si="9"/>
        <v>10</v>
      </c>
      <c r="P22" s="67">
        <f t="shared" si="10"/>
        <v>287.43376199134173</v>
      </c>
      <c r="Q22" s="71">
        <f t="shared" si="11"/>
        <v>443.56954259693578</v>
      </c>
      <c r="R22" s="70">
        <f t="shared" si="12"/>
        <v>7.9550595286325878</v>
      </c>
      <c r="S22" s="5"/>
      <c r="T22" s="62"/>
      <c r="U22" s="7">
        <f t="shared" si="1"/>
        <v>445.01779790774015</v>
      </c>
    </row>
    <row r="23" spans="1:21">
      <c r="A23" s="3">
        <v>-2</v>
      </c>
      <c r="B23" s="64">
        <v>300.10694899037912</v>
      </c>
      <c r="C23" s="64">
        <v>156.69659891521991</v>
      </c>
      <c r="D23" s="64">
        <f t="shared" si="3"/>
        <v>456.80354790559903</v>
      </c>
      <c r="E23" s="65">
        <f t="shared" si="13"/>
        <v>11.5</v>
      </c>
      <c r="F23" s="66">
        <f t="shared" si="14"/>
        <v>10</v>
      </c>
      <c r="G23" s="67">
        <f t="shared" si="4"/>
        <v>288.60694899037912</v>
      </c>
      <c r="H23" s="69">
        <f t="shared" si="0"/>
        <v>446.80354790559903</v>
      </c>
      <c r="I23" s="63">
        <f t="shared" si="15"/>
        <v>1.7857499978588862</v>
      </c>
      <c r="J23" s="3">
        <v>-2</v>
      </c>
      <c r="K23" s="64">
        <f t="shared" si="5"/>
        <v>300.10694899037912</v>
      </c>
      <c r="L23" s="64">
        <f t="shared" si="17"/>
        <v>155.24253210220076</v>
      </c>
      <c r="M23" s="64">
        <f t="shared" si="7"/>
        <v>455.34948109257988</v>
      </c>
      <c r="N23" s="65">
        <f t="shared" si="8"/>
        <v>11.5</v>
      </c>
      <c r="O23" s="66">
        <f t="shared" si="9"/>
        <v>10</v>
      </c>
      <c r="P23" s="67">
        <f t="shared" si="10"/>
        <v>288.60694899037912</v>
      </c>
      <c r="Q23" s="71">
        <f t="shared" si="11"/>
        <v>445.34948109257988</v>
      </c>
      <c r="R23" s="70">
        <f t="shared" si="12"/>
        <v>7.9869812800839046</v>
      </c>
      <c r="S23" s="5"/>
      <c r="T23" s="62"/>
      <c r="U23" s="7">
        <f t="shared" si="1"/>
        <v>446.80354790559903</v>
      </c>
    </row>
    <row r="24" spans="1:21">
      <c r="A24" s="3">
        <v>-1</v>
      </c>
      <c r="B24" s="64">
        <v>300.916660884225</v>
      </c>
      <c r="C24" s="64">
        <v>157.11937852860007</v>
      </c>
      <c r="D24" s="64">
        <f t="shared" si="3"/>
        <v>458.03603941282506</v>
      </c>
      <c r="E24" s="65">
        <f t="shared" si="13"/>
        <v>11.5</v>
      </c>
      <c r="F24" s="66">
        <f t="shared" si="14"/>
        <v>10</v>
      </c>
      <c r="G24" s="67">
        <f t="shared" si="4"/>
        <v>289.416660884225</v>
      </c>
      <c r="H24" s="69">
        <f t="shared" si="0"/>
        <v>448.03603941282506</v>
      </c>
      <c r="I24" s="63">
        <f t="shared" si="15"/>
        <v>1.2324915072260296</v>
      </c>
      <c r="J24" s="3">
        <v>-1</v>
      </c>
      <c r="K24" s="64">
        <f t="shared" si="5"/>
        <v>300.916660884225</v>
      </c>
      <c r="L24" s="64">
        <f t="shared" si="17"/>
        <v>155.66130072460652</v>
      </c>
      <c r="M24" s="64">
        <f t="shared" si="7"/>
        <v>456.57796160883152</v>
      </c>
      <c r="N24" s="65">
        <f t="shared" si="8"/>
        <v>11.5</v>
      </c>
      <c r="O24" s="66">
        <f t="shared" si="9"/>
        <v>10</v>
      </c>
      <c r="P24" s="67">
        <f t="shared" si="10"/>
        <v>289.416660884225</v>
      </c>
      <c r="Q24" s="71">
        <f t="shared" si="11"/>
        <v>446.57796160883152</v>
      </c>
      <c r="R24" s="70">
        <f t="shared" si="12"/>
        <v>8.009013080507648</v>
      </c>
      <c r="S24" s="5"/>
      <c r="T24" s="62"/>
      <c r="U24" s="7">
        <f t="shared" si="1"/>
        <v>448.03603941282506</v>
      </c>
    </row>
    <row r="25" spans="1:21" ht="15.75" customHeight="1">
      <c r="A25" s="3">
        <v>0</v>
      </c>
      <c r="B25" s="64">
        <v>301.71083839594246</v>
      </c>
      <c r="C25" s="64">
        <v>157.53404708405915</v>
      </c>
      <c r="D25" s="64">
        <f t="shared" si="3"/>
        <v>459.24488548000159</v>
      </c>
      <c r="E25" s="65">
        <f t="shared" si="13"/>
        <v>11.5</v>
      </c>
      <c r="F25" s="66">
        <f t="shared" si="14"/>
        <v>10</v>
      </c>
      <c r="G25" s="67">
        <f t="shared" si="4"/>
        <v>290.21083839594246</v>
      </c>
      <c r="H25" s="68">
        <f>D25-F25</f>
        <v>449.24488548000159</v>
      </c>
      <c r="I25" s="63">
        <f t="shared" si="15"/>
        <v>1.2088460671765233</v>
      </c>
      <c r="J25" s="3">
        <v>0</v>
      </c>
      <c r="K25" s="64">
        <f t="shared" si="5"/>
        <v>301.71083839594246</v>
      </c>
      <c r="L25" s="64">
        <f t="shared" si="17"/>
        <v>156.07203524024743</v>
      </c>
      <c r="M25" s="64">
        <f t="shared" si="7"/>
        <v>457.78287363618989</v>
      </c>
      <c r="N25" s="65">
        <f t="shared" si="8"/>
        <v>11.5</v>
      </c>
      <c r="O25" s="66">
        <f t="shared" si="9"/>
        <v>10</v>
      </c>
      <c r="P25" s="67">
        <f t="shared" si="10"/>
        <v>290.21083839594246</v>
      </c>
      <c r="Q25" s="68">
        <f t="shared" si="11"/>
        <v>447.78287363618989</v>
      </c>
      <c r="R25" s="70">
        <f t="shared" si="12"/>
        <v>8.0306221992227975</v>
      </c>
      <c r="S25" s="5"/>
      <c r="T25" s="62"/>
      <c r="U25" s="7">
        <f t="shared" si="1"/>
        <v>449.24488548000159</v>
      </c>
    </row>
    <row r="26" spans="1:21">
      <c r="A26" s="3">
        <v>1</v>
      </c>
      <c r="B26" s="64">
        <v>301.17291764177224</v>
      </c>
      <c r="C26" s="64">
        <v>157.25317937023931</v>
      </c>
      <c r="D26" s="64">
        <f t="shared" si="3"/>
        <v>458.42609701201155</v>
      </c>
      <c r="E26" s="65">
        <f t="shared" si="13"/>
        <v>11.5</v>
      </c>
      <c r="F26" s="66">
        <f t="shared" si="14"/>
        <v>10</v>
      </c>
      <c r="G26" s="67">
        <f t="shared" si="4"/>
        <v>289.67291764177224</v>
      </c>
      <c r="H26" s="69">
        <f t="shared" si="0"/>
        <v>448.42609701201155</v>
      </c>
      <c r="I26" s="63">
        <f t="shared" si="15"/>
        <v>-0.81878846799003213</v>
      </c>
      <c r="J26" s="3">
        <v>1</v>
      </c>
      <c r="K26" s="64">
        <f t="shared" si="5"/>
        <v>301.17291764177224</v>
      </c>
      <c r="L26" s="64">
        <f t="shared" si="17"/>
        <v>155.79383217209522</v>
      </c>
      <c r="M26" s="64">
        <f t="shared" si="7"/>
        <v>456.96674981386747</v>
      </c>
      <c r="N26" s="65">
        <f t="shared" si="8"/>
        <v>11.5</v>
      </c>
      <c r="O26" s="66">
        <f t="shared" si="9"/>
        <v>10</v>
      </c>
      <c r="P26" s="67">
        <f t="shared" si="10"/>
        <v>289.67291764177224</v>
      </c>
      <c r="Q26" s="71">
        <f t="shared" si="11"/>
        <v>446.96674981386747</v>
      </c>
      <c r="R26" s="70">
        <f t="shared" si="12"/>
        <v>8.0159856812344348</v>
      </c>
      <c r="S26" s="5"/>
      <c r="T26" s="62"/>
      <c r="U26" s="7">
        <f t="shared" si="1"/>
        <v>448.42609701201155</v>
      </c>
    </row>
    <row r="27" spans="1:21">
      <c r="A27" s="3">
        <v>2</v>
      </c>
      <c r="B27" s="64">
        <v>300.61418022983611</v>
      </c>
      <c r="C27" s="64">
        <v>156.96144253298309</v>
      </c>
      <c r="D27" s="64">
        <f t="shared" si="3"/>
        <v>457.57562276281919</v>
      </c>
      <c r="E27" s="65">
        <f t="shared" si="13"/>
        <v>11.5</v>
      </c>
      <c r="F27" s="66">
        <f t="shared" si="14"/>
        <v>10</v>
      </c>
      <c r="G27" s="67">
        <f t="shared" si="4"/>
        <v>289.11418022983611</v>
      </c>
      <c r="H27" s="69">
        <f t="shared" si="0"/>
        <v>447.57562276281919</v>
      </c>
      <c r="I27" s="63">
        <f t="shared" si="15"/>
        <v>-0.85047424919235937</v>
      </c>
      <c r="J27" s="3">
        <v>2</v>
      </c>
      <c r="K27" s="64">
        <f t="shared" si="5"/>
        <v>300.61418022983611</v>
      </c>
      <c r="L27" s="64">
        <f t="shared" si="17"/>
        <v>155.50486309795741</v>
      </c>
      <c r="M27" s="64">
        <f t="shared" si="7"/>
        <v>456.11904332779352</v>
      </c>
      <c r="N27" s="65">
        <f t="shared" si="8"/>
        <v>11.5</v>
      </c>
      <c r="O27" s="66">
        <f t="shared" si="9"/>
        <v>10</v>
      </c>
      <c r="P27" s="67">
        <f t="shared" si="10"/>
        <v>289.11418022983611</v>
      </c>
      <c r="Q27" s="71">
        <f t="shared" si="11"/>
        <v>446.11904332779352</v>
      </c>
      <c r="R27" s="70">
        <f t="shared" si="12"/>
        <v>8.0007827538196157</v>
      </c>
      <c r="S27" s="5"/>
      <c r="T27" s="62"/>
      <c r="U27" s="7">
        <f t="shared" si="1"/>
        <v>447.57562276281919</v>
      </c>
    </row>
    <row r="28" spans="1:21">
      <c r="A28" s="3">
        <v>3</v>
      </c>
      <c r="B28" s="64">
        <v>300.03195934090326</v>
      </c>
      <c r="C28" s="64">
        <v>156.65744413034656</v>
      </c>
      <c r="D28" s="64">
        <f t="shared" si="3"/>
        <v>456.68940347124982</v>
      </c>
      <c r="E28" s="65">
        <f t="shared" si="13"/>
        <v>11.5</v>
      </c>
      <c r="F28" s="66">
        <f t="shared" si="14"/>
        <v>10</v>
      </c>
      <c r="G28" s="67">
        <f t="shared" si="4"/>
        <v>288.53195934090326</v>
      </c>
      <c r="H28" s="69">
        <f t="shared" si="0"/>
        <v>446.68940347124982</v>
      </c>
      <c r="I28" s="63">
        <f t="shared" si="15"/>
        <v>-0.8862192915693754</v>
      </c>
      <c r="J28" s="3">
        <v>3</v>
      </c>
      <c r="K28" s="64">
        <f t="shared" si="5"/>
        <v>300.03195934090326</v>
      </c>
      <c r="L28" s="64">
        <f t="shared" si="17"/>
        <v>155.20374878625296</v>
      </c>
      <c r="M28" s="64">
        <f t="shared" si="7"/>
        <v>455.23570812715622</v>
      </c>
      <c r="N28" s="65">
        <f t="shared" si="8"/>
        <v>11.5</v>
      </c>
      <c r="O28" s="66">
        <f t="shared" si="9"/>
        <v>10</v>
      </c>
      <c r="P28" s="67">
        <f t="shared" si="10"/>
        <v>288.53195934090326</v>
      </c>
      <c r="Q28" s="71">
        <f t="shared" si="11"/>
        <v>445.23570812715622</v>
      </c>
      <c r="R28" s="70">
        <f t="shared" si="12"/>
        <v>7.9849408543427796</v>
      </c>
      <c r="S28" s="5"/>
      <c r="T28" s="62"/>
      <c r="U28" s="7">
        <f t="shared" si="1"/>
        <v>446.68940347124982</v>
      </c>
    </row>
    <row r="29" spans="1:21">
      <c r="A29" s="3">
        <v>4</v>
      </c>
      <c r="B29" s="64">
        <v>299.42361329333698</v>
      </c>
      <c r="C29" s="64">
        <v>156.33980484562542</v>
      </c>
      <c r="D29" s="64">
        <f t="shared" si="3"/>
        <v>455.76341813896238</v>
      </c>
      <c r="E29" s="65">
        <f t="shared" si="13"/>
        <v>11.5</v>
      </c>
      <c r="F29" s="66">
        <f t="shared" si="14"/>
        <v>10</v>
      </c>
      <c r="G29" s="67">
        <f t="shared" si="4"/>
        <v>287.92361329333698</v>
      </c>
      <c r="H29" s="69">
        <f t="shared" si="0"/>
        <v>445.76341813896238</v>
      </c>
      <c r="I29" s="63">
        <f t="shared" si="15"/>
        <v>-0.92598533228743918</v>
      </c>
      <c r="J29" s="3">
        <v>4</v>
      </c>
      <c r="K29" s="64">
        <f t="shared" si="5"/>
        <v>299.42361329333698</v>
      </c>
      <c r="L29" s="64">
        <f t="shared" si="17"/>
        <v>154.88912300611861</v>
      </c>
      <c r="M29" s="64">
        <f t="shared" si="7"/>
        <v>454.31273629945559</v>
      </c>
      <c r="N29" s="65">
        <f t="shared" si="8"/>
        <v>11.5</v>
      </c>
      <c r="O29" s="66">
        <f t="shared" si="9"/>
        <v>10</v>
      </c>
      <c r="P29" s="67">
        <f t="shared" si="10"/>
        <v>287.92361329333698</v>
      </c>
      <c r="Q29" s="71">
        <f t="shared" si="11"/>
        <v>444.31273629945559</v>
      </c>
      <c r="R29" s="70">
        <f t="shared" si="12"/>
        <v>7.9683881041480236</v>
      </c>
      <c r="S29" s="5"/>
      <c r="T29" s="62"/>
      <c r="U29" s="7">
        <f t="shared" si="1"/>
        <v>445.76341813896238</v>
      </c>
    </row>
    <row r="30" spans="1:21">
      <c r="A30" s="3">
        <v>5</v>
      </c>
      <c r="B30" s="64">
        <v>298.7865508391854</v>
      </c>
      <c r="C30" s="64">
        <v>156.00717169535025</v>
      </c>
      <c r="D30" s="64">
        <f t="shared" si="3"/>
        <v>454.79372253453562</v>
      </c>
      <c r="E30" s="65">
        <f t="shared" si="13"/>
        <v>11.5</v>
      </c>
      <c r="F30" s="66">
        <f t="shared" si="14"/>
        <v>10</v>
      </c>
      <c r="G30" s="67">
        <f t="shared" si="4"/>
        <v>287.2865508391854</v>
      </c>
      <c r="H30" s="69">
        <f t="shared" si="0"/>
        <v>444.79372253453562</v>
      </c>
      <c r="I30" s="63">
        <f t="shared" si="15"/>
        <v>-0.96969560442676084</v>
      </c>
      <c r="J30" s="3">
        <v>5</v>
      </c>
      <c r="K30" s="64">
        <f t="shared" si="5"/>
        <v>298.7865508391854</v>
      </c>
      <c r="L30" s="64">
        <f t="shared" si="17"/>
        <v>154.55964561009773</v>
      </c>
      <c r="M30" s="64">
        <f t="shared" si="7"/>
        <v>453.34619644928313</v>
      </c>
      <c r="N30" s="65">
        <f t="shared" si="8"/>
        <v>11.5</v>
      </c>
      <c r="O30" s="66">
        <f t="shared" si="9"/>
        <v>10</v>
      </c>
      <c r="P30" s="67">
        <f t="shared" si="10"/>
        <v>287.2865508391854</v>
      </c>
      <c r="Q30" s="71">
        <f t="shared" si="11"/>
        <v>443.34619644928313</v>
      </c>
      <c r="R30" s="70">
        <f t="shared" si="12"/>
        <v>7.9510539968513356</v>
      </c>
      <c r="S30" s="5"/>
      <c r="T30" s="62"/>
      <c r="U30" s="7">
        <f t="shared" si="1"/>
        <v>444.79372253453562</v>
      </c>
    </row>
    <row r="31" spans="1:21">
      <c r="A31" s="3">
        <v>6</v>
      </c>
      <c r="B31" s="64">
        <v>298.08256628591647</v>
      </c>
      <c r="C31" s="64">
        <v>155.63959611751983</v>
      </c>
      <c r="D31" s="64">
        <f t="shared" si="3"/>
        <v>453.7221624034363</v>
      </c>
      <c r="E31" s="65">
        <f t="shared" si="13"/>
        <v>11.5</v>
      </c>
      <c r="F31" s="66">
        <f t="shared" si="14"/>
        <v>10</v>
      </c>
      <c r="G31" s="67">
        <f t="shared" si="4"/>
        <v>286.58256628591647</v>
      </c>
      <c r="H31" s="69">
        <f t="shared" si="0"/>
        <v>443.7221624034363</v>
      </c>
      <c r="I31" s="63">
        <f t="shared" si="15"/>
        <v>-1.0715601310993179</v>
      </c>
      <c r="J31" s="3">
        <v>6</v>
      </c>
      <c r="K31" s="64">
        <f t="shared" si="5"/>
        <v>298.08256628591647</v>
      </c>
      <c r="L31" s="64">
        <f t="shared" si="17"/>
        <v>154.1955572920084</v>
      </c>
      <c r="M31" s="64">
        <f t="shared" si="7"/>
        <v>452.27812357792487</v>
      </c>
      <c r="N31" s="65">
        <f t="shared" si="8"/>
        <v>11.5</v>
      </c>
      <c r="O31" s="66">
        <f t="shared" si="9"/>
        <v>10</v>
      </c>
      <c r="P31" s="67">
        <f t="shared" si="10"/>
        <v>286.58256628591647</v>
      </c>
      <c r="Q31" s="71">
        <f t="shared" si="11"/>
        <v>442.27812357792487</v>
      </c>
      <c r="R31" s="70">
        <f t="shared" si="12"/>
        <v>7.9318989772735078</v>
      </c>
      <c r="S31" s="5"/>
      <c r="T31" s="62"/>
      <c r="U31" s="7">
        <f t="shared" si="1"/>
        <v>443.7221624034363</v>
      </c>
    </row>
    <row r="32" spans="1:21">
      <c r="A32" s="3">
        <v>7</v>
      </c>
      <c r="B32" s="64">
        <v>297.33524531806978</v>
      </c>
      <c r="C32" s="64">
        <v>155.24939304373697</v>
      </c>
      <c r="D32" s="64">
        <f t="shared" si="3"/>
        <v>452.58463836180675</v>
      </c>
      <c r="E32" s="65">
        <f t="shared" si="13"/>
        <v>11.5</v>
      </c>
      <c r="F32" s="66">
        <f t="shared" si="14"/>
        <v>10</v>
      </c>
      <c r="G32" s="67">
        <f t="shared" si="4"/>
        <v>285.83524531806978</v>
      </c>
      <c r="H32" s="69">
        <f t="shared" si="0"/>
        <v>442.58463836180675</v>
      </c>
      <c r="I32" s="63">
        <f t="shared" si="15"/>
        <v>-1.1375240416295469</v>
      </c>
      <c r="J32" s="3">
        <v>7</v>
      </c>
      <c r="K32" s="64">
        <f t="shared" si="5"/>
        <v>297.33524531806978</v>
      </c>
      <c r="L32" s="64">
        <f t="shared" si="17"/>
        <v>153.80905614934426</v>
      </c>
      <c r="M32" s="64">
        <f t="shared" si="7"/>
        <v>451.14430146741404</v>
      </c>
      <c r="N32" s="65">
        <f t="shared" si="8"/>
        <v>11.5</v>
      </c>
      <c r="O32" s="66">
        <f t="shared" si="9"/>
        <v>10</v>
      </c>
      <c r="P32" s="67">
        <f t="shared" si="10"/>
        <v>285.83524531806978</v>
      </c>
      <c r="Q32" s="71">
        <f t="shared" si="11"/>
        <v>441.14430146741404</v>
      </c>
      <c r="R32" s="70">
        <f t="shared" si="12"/>
        <v>7.9115647984856974</v>
      </c>
      <c r="S32" s="5"/>
      <c r="T32" s="62"/>
      <c r="U32" s="7">
        <f t="shared" si="1"/>
        <v>442.58463836180675</v>
      </c>
    </row>
    <row r="33" spans="1:21">
      <c r="A33" s="3">
        <v>8</v>
      </c>
      <c r="B33" s="64">
        <v>296.56300815682295</v>
      </c>
      <c r="C33" s="64">
        <v>154.84618033196739</v>
      </c>
      <c r="D33" s="64">
        <f t="shared" si="3"/>
        <v>451.40918848879033</v>
      </c>
      <c r="E33" s="65">
        <f t="shared" si="13"/>
        <v>11.5</v>
      </c>
      <c r="F33" s="66">
        <f t="shared" si="14"/>
        <v>10</v>
      </c>
      <c r="G33" s="67">
        <f t="shared" si="4"/>
        <v>285.06300815682295</v>
      </c>
      <c r="H33" s="69">
        <f t="shared" si="0"/>
        <v>441.40918848879033</v>
      </c>
      <c r="I33" s="63">
        <f t="shared" si="15"/>
        <v>-1.1754498730164187</v>
      </c>
      <c r="J33" s="3">
        <v>8</v>
      </c>
      <c r="K33" s="64">
        <f t="shared" si="5"/>
        <v>296.56300815682295</v>
      </c>
      <c r="L33" s="64">
        <f t="shared" si="17"/>
        <v>153.4096687936148</v>
      </c>
      <c r="M33" s="64">
        <f t="shared" si="7"/>
        <v>449.97267695043774</v>
      </c>
      <c r="N33" s="65">
        <f t="shared" si="8"/>
        <v>11.5</v>
      </c>
      <c r="O33" s="66">
        <f t="shared" si="9"/>
        <v>10</v>
      </c>
      <c r="P33" s="67">
        <f t="shared" si="10"/>
        <v>285.06300815682295</v>
      </c>
      <c r="Q33" s="71">
        <f t="shared" si="11"/>
        <v>439.97267695043774</v>
      </c>
      <c r="R33" s="70">
        <f t="shared" si="12"/>
        <v>7.8905526642368384</v>
      </c>
      <c r="S33" s="5"/>
      <c r="T33" s="62"/>
      <c r="U33" s="7">
        <f t="shared" si="1"/>
        <v>441.40918848879033</v>
      </c>
    </row>
    <row r="34" spans="1:21">
      <c r="A34" s="3">
        <v>9</v>
      </c>
      <c r="B34" s="64">
        <v>295.7498144033587</v>
      </c>
      <c r="C34" s="64">
        <v>154.42158271483245</v>
      </c>
      <c r="D34" s="64">
        <f t="shared" si="3"/>
        <v>450.17139711819118</v>
      </c>
      <c r="E34" s="65">
        <f t="shared" si="13"/>
        <v>11.5</v>
      </c>
      <c r="F34" s="66">
        <f t="shared" si="14"/>
        <v>10</v>
      </c>
      <c r="G34" s="67">
        <f t="shared" si="4"/>
        <v>284.2498144033587</v>
      </c>
      <c r="H34" s="69">
        <f t="shared" si="0"/>
        <v>440.17139711819118</v>
      </c>
      <c r="I34" s="63">
        <f t="shared" si="15"/>
        <v>-1.2377913705991546</v>
      </c>
      <c r="J34" s="3">
        <v>9</v>
      </c>
      <c r="K34" s="64">
        <f t="shared" si="5"/>
        <v>295.7498144033587</v>
      </c>
      <c r="L34" s="64">
        <f t="shared" si="17"/>
        <v>152.98909941520333</v>
      </c>
      <c r="M34" s="64">
        <f t="shared" si="7"/>
        <v>448.73891381856203</v>
      </c>
      <c r="N34" s="65">
        <f t="shared" si="8"/>
        <v>11.5</v>
      </c>
      <c r="O34" s="66">
        <f t="shared" si="9"/>
        <v>10</v>
      </c>
      <c r="P34" s="67">
        <f t="shared" si="10"/>
        <v>284.2498144033587</v>
      </c>
      <c r="Q34" s="71">
        <f t="shared" si="11"/>
        <v>438.73891381856203</v>
      </c>
      <c r="R34" s="70">
        <f t="shared" si="12"/>
        <v>7.8684261243918288</v>
      </c>
      <c r="S34" s="5"/>
      <c r="T34" s="62"/>
      <c r="U34" s="7">
        <f t="shared" si="1"/>
        <v>440.17139711819118</v>
      </c>
    </row>
    <row r="35" spans="1:21" ht="16.149999999999999" customHeight="1">
      <c r="A35" s="3">
        <v>10</v>
      </c>
      <c r="B35" s="64">
        <v>294.893744977555</v>
      </c>
      <c r="C35" s="64">
        <v>153.97459817178861</v>
      </c>
      <c r="D35" s="64">
        <f t="shared" si="3"/>
        <v>448.86834314934362</v>
      </c>
      <c r="E35" s="65">
        <f t="shared" si="13"/>
        <v>11.5</v>
      </c>
      <c r="F35" s="66">
        <f t="shared" si="14"/>
        <v>10</v>
      </c>
      <c r="G35" s="67">
        <f t="shared" si="4"/>
        <v>283.393744977555</v>
      </c>
      <c r="H35" s="68">
        <f t="shared" si="0"/>
        <v>438.86834314934362</v>
      </c>
      <c r="I35" s="63">
        <f t="shared" si="15"/>
        <v>-1.3030539688475642</v>
      </c>
      <c r="J35" s="3">
        <v>10</v>
      </c>
      <c r="K35" s="64">
        <f t="shared" si="5"/>
        <v>294.893744977555</v>
      </c>
      <c r="L35" s="64">
        <f t="shared" si="17"/>
        <v>152.54635549992651</v>
      </c>
      <c r="M35" s="64">
        <f t="shared" si="7"/>
        <v>447.44010047748151</v>
      </c>
      <c r="N35" s="65">
        <f t="shared" si="8"/>
        <v>11.5</v>
      </c>
      <c r="O35" s="66">
        <f t="shared" si="9"/>
        <v>10</v>
      </c>
      <c r="P35" s="67">
        <f t="shared" si="10"/>
        <v>283.393744977555</v>
      </c>
      <c r="Q35" s="68">
        <f t="shared" si="11"/>
        <v>437.44010047748151</v>
      </c>
      <c r="R35" s="70">
        <f t="shared" si="12"/>
        <v>7.8451329618712764</v>
      </c>
      <c r="S35" s="5"/>
      <c r="T35" s="62"/>
      <c r="U35" s="7">
        <f t="shared" si="1"/>
        <v>438.86834314934362</v>
      </c>
    </row>
    <row r="36" spans="1:21">
      <c r="A36" s="3">
        <v>11</v>
      </c>
      <c r="B36" s="64">
        <v>293.99297297571434</v>
      </c>
      <c r="C36" s="64">
        <v>153.50427281090865</v>
      </c>
      <c r="D36" s="64">
        <f t="shared" si="3"/>
        <v>447.49724578662301</v>
      </c>
      <c r="E36" s="65">
        <f t="shared" si="13"/>
        <v>11.5</v>
      </c>
      <c r="F36" s="66">
        <f t="shared" si="14"/>
        <v>10</v>
      </c>
      <c r="G36" s="67">
        <f t="shared" si="4"/>
        <v>282.49297297571434</v>
      </c>
      <c r="H36" s="69">
        <f t="shared" si="0"/>
        <v>437.49724578662301</v>
      </c>
      <c r="I36" s="63">
        <f t="shared" si="15"/>
        <v>-1.3710973627206045</v>
      </c>
      <c r="J36" s="3">
        <v>11</v>
      </c>
      <c r="K36" s="64">
        <f t="shared" si="5"/>
        <v>293.99297297571434</v>
      </c>
      <c r="L36" s="64">
        <f t="shared" si="17"/>
        <v>152.08049220561225</v>
      </c>
      <c r="M36" s="64">
        <f t="shared" si="7"/>
        <v>446.07346518132658</v>
      </c>
      <c r="N36" s="65">
        <f t="shared" si="8"/>
        <v>11.5</v>
      </c>
      <c r="O36" s="66">
        <f t="shared" si="9"/>
        <v>10</v>
      </c>
      <c r="P36" s="67">
        <f t="shared" si="10"/>
        <v>282.49297297571434</v>
      </c>
      <c r="Q36" s="71">
        <f t="shared" si="11"/>
        <v>436.07346518132658</v>
      </c>
      <c r="R36" s="70">
        <f t="shared" si="12"/>
        <v>7.8206234676639133</v>
      </c>
      <c r="S36" s="5"/>
      <c r="T36" s="62"/>
      <c r="U36" s="7">
        <f t="shared" si="1"/>
        <v>437.49724578662301</v>
      </c>
    </row>
    <row r="37" spans="1:21">
      <c r="A37" s="3">
        <v>12</v>
      </c>
      <c r="B37" s="64">
        <v>293.0457555929865</v>
      </c>
      <c r="C37" s="64">
        <v>153.00969665128898</v>
      </c>
      <c r="D37" s="64">
        <f t="shared" ref="D37:D65" si="18">B37+C37</f>
        <v>446.05545224427544</v>
      </c>
      <c r="E37" s="65">
        <f t="shared" si="13"/>
        <v>11.5</v>
      </c>
      <c r="F37" s="66">
        <f t="shared" si="14"/>
        <v>10</v>
      </c>
      <c r="G37" s="67">
        <f t="shared" si="4"/>
        <v>281.5457555929865</v>
      </c>
      <c r="H37" s="69">
        <f t="shared" ref="H37:H65" si="19">D37-F37</f>
        <v>436.05545224427544</v>
      </c>
      <c r="I37" s="63">
        <f t="shared" si="15"/>
        <v>-1.4417935423475683</v>
      </c>
      <c r="J37" s="3">
        <v>12</v>
      </c>
      <c r="K37" s="64">
        <f t="shared" si="5"/>
        <v>293.0457555929865</v>
      </c>
      <c r="L37" s="64">
        <f t="shared" si="17"/>
        <v>151.59060818451962</v>
      </c>
      <c r="M37" s="64">
        <f t="shared" si="7"/>
        <v>444.63636377750612</v>
      </c>
      <c r="N37" s="65">
        <f t="shared" si="8"/>
        <v>11.5</v>
      </c>
      <c r="O37" s="66">
        <f t="shared" si="9"/>
        <v>10</v>
      </c>
      <c r="P37" s="67">
        <f t="shared" si="10"/>
        <v>281.5457555929865</v>
      </c>
      <c r="Q37" s="71">
        <f t="shared" si="11"/>
        <v>434.63636377750612</v>
      </c>
      <c r="R37" s="70">
        <f t="shared" si="12"/>
        <v>7.794850221040301</v>
      </c>
      <c r="S37" s="5"/>
      <c r="T37" s="62"/>
      <c r="U37" s="7">
        <f t="shared" ref="U37:U65" si="20">H37</f>
        <v>436.05545224427544</v>
      </c>
    </row>
    <row r="38" spans="1:21">
      <c r="A38" s="3">
        <v>13</v>
      </c>
      <c r="B38" s="64">
        <v>291.85704700630055</v>
      </c>
      <c r="C38" s="64">
        <v>152.3890292750032</v>
      </c>
      <c r="D38" s="64">
        <f t="shared" si="18"/>
        <v>444.24607628130377</v>
      </c>
      <c r="E38" s="65">
        <f t="shared" si="13"/>
        <v>11.5</v>
      </c>
      <c r="F38" s="66">
        <f t="shared" si="14"/>
        <v>10</v>
      </c>
      <c r="G38" s="67">
        <f t="shared" si="4"/>
        <v>280.35704700630055</v>
      </c>
      <c r="H38" s="69">
        <f t="shared" si="19"/>
        <v>434.24607628130377</v>
      </c>
      <c r="I38" s="63">
        <f t="shared" si="15"/>
        <v>-1.8093759629716715</v>
      </c>
      <c r="J38" s="3">
        <v>13</v>
      </c>
      <c r="K38" s="64">
        <f t="shared" si="5"/>
        <v>291.85704700630055</v>
      </c>
      <c r="L38" s="64">
        <f t="shared" si="17"/>
        <v>150.97582919822622</v>
      </c>
      <c r="M38" s="64">
        <f t="shared" si="7"/>
        <v>442.83287620452677</v>
      </c>
      <c r="N38" s="65">
        <f t="shared" si="8"/>
        <v>11.5</v>
      </c>
      <c r="O38" s="66">
        <f t="shared" si="9"/>
        <v>10</v>
      </c>
      <c r="P38" s="67">
        <f t="shared" si="10"/>
        <v>280.35704700630055</v>
      </c>
      <c r="Q38" s="71">
        <f t="shared" si="11"/>
        <v>432.83287620452677</v>
      </c>
      <c r="R38" s="70">
        <f t="shared" si="12"/>
        <v>7.7625061360109191</v>
      </c>
      <c r="S38" s="5"/>
      <c r="T38" s="62"/>
      <c r="U38" s="7">
        <f t="shared" si="20"/>
        <v>434.24607628130377</v>
      </c>
    </row>
    <row r="39" spans="1:21">
      <c r="A39" s="3">
        <v>14</v>
      </c>
      <c r="B39" s="64">
        <v>290.56975567596032</v>
      </c>
      <c r="C39" s="64">
        <v>151.71688831340273</v>
      </c>
      <c r="D39" s="64">
        <f t="shared" si="18"/>
        <v>442.28664398936303</v>
      </c>
      <c r="E39" s="65">
        <f t="shared" si="13"/>
        <v>11.5</v>
      </c>
      <c r="F39" s="66">
        <f t="shared" si="14"/>
        <v>10</v>
      </c>
      <c r="G39" s="67">
        <f t="shared" si="4"/>
        <v>279.06975567596032</v>
      </c>
      <c r="H39" s="69">
        <f t="shared" si="19"/>
        <v>432.28664398936303</v>
      </c>
      <c r="I39" s="63">
        <f t="shared" si="15"/>
        <v>-1.9594322919407432</v>
      </c>
      <c r="J39" s="3">
        <v>14</v>
      </c>
      <c r="K39" s="64">
        <f t="shared" si="5"/>
        <v>290.56975567596032</v>
      </c>
      <c r="L39" s="64">
        <f t="shared" si="17"/>
        <v>150.31006496635723</v>
      </c>
      <c r="M39" s="64">
        <f t="shared" si="7"/>
        <v>440.87982064231755</v>
      </c>
      <c r="N39" s="65">
        <f t="shared" si="8"/>
        <v>11.5</v>
      </c>
      <c r="O39" s="66">
        <f t="shared" si="9"/>
        <v>10</v>
      </c>
      <c r="P39" s="67">
        <f t="shared" si="10"/>
        <v>279.06975567596032</v>
      </c>
      <c r="Q39" s="71">
        <f t="shared" si="11"/>
        <v>430.87982064231755</v>
      </c>
      <c r="R39" s="70">
        <f t="shared" si="12"/>
        <v>7.727479670557182</v>
      </c>
      <c r="S39" s="5"/>
      <c r="T39" s="62"/>
      <c r="U39" s="7">
        <f t="shared" si="20"/>
        <v>432.28664398936303</v>
      </c>
    </row>
    <row r="40" spans="1:21">
      <c r="A40" s="3">
        <v>15</v>
      </c>
      <c r="B40" s="64">
        <v>289.19230424467059</v>
      </c>
      <c r="C40" s="64">
        <v>150.99767153025215</v>
      </c>
      <c r="D40" s="64">
        <f t="shared" si="18"/>
        <v>440.18997577492274</v>
      </c>
      <c r="E40" s="65">
        <f t="shared" si="13"/>
        <v>11.5</v>
      </c>
      <c r="F40" s="66">
        <f t="shared" si="14"/>
        <v>10</v>
      </c>
      <c r="G40" s="67">
        <f t="shared" si="4"/>
        <v>277.69230424467059</v>
      </c>
      <c r="H40" s="68">
        <f t="shared" si="19"/>
        <v>430.18997577492274</v>
      </c>
      <c r="I40" s="63">
        <f t="shared" si="15"/>
        <v>-2.0966682144402853</v>
      </c>
      <c r="J40" s="3">
        <v>15</v>
      </c>
      <c r="K40" s="64">
        <f t="shared" si="5"/>
        <v>289.19230424467059</v>
      </c>
      <c r="L40" s="64">
        <f t="shared" si="17"/>
        <v>149.59767153025217</v>
      </c>
      <c r="M40" s="64">
        <f t="shared" si="7"/>
        <v>438.78997577492277</v>
      </c>
      <c r="N40" s="65">
        <f t="shared" si="8"/>
        <v>11.5</v>
      </c>
      <c r="O40" s="66">
        <f t="shared" si="9"/>
        <v>10</v>
      </c>
      <c r="P40" s="67">
        <f t="shared" si="10"/>
        <v>277.69230424467059</v>
      </c>
      <c r="Q40" s="71">
        <f t="shared" si="11"/>
        <v>428.78997577492277</v>
      </c>
      <c r="R40" s="70">
        <f>Y4</f>
        <v>7.69</v>
      </c>
      <c r="S40" s="5"/>
      <c r="T40" s="62"/>
      <c r="U40" s="7">
        <f t="shared" si="20"/>
        <v>430.18997577492274</v>
      </c>
    </row>
    <row r="41" spans="1:21">
      <c r="A41" s="3">
        <v>16</v>
      </c>
      <c r="B41" s="64">
        <v>287.86295391236041</v>
      </c>
      <c r="C41" s="64">
        <v>150.3035700556259</v>
      </c>
      <c r="D41" s="64">
        <f t="shared" si="18"/>
        <v>438.16652396798634</v>
      </c>
      <c r="E41" s="65">
        <f t="shared" si="13"/>
        <v>11.5</v>
      </c>
      <c r="F41" s="66">
        <f t="shared" si="14"/>
        <v>10</v>
      </c>
      <c r="G41" s="67">
        <f t="shared" si="4"/>
        <v>276.36295391236041</v>
      </c>
      <c r="H41" s="69">
        <f t="shared" si="19"/>
        <v>428.16652396798634</v>
      </c>
      <c r="I41" s="63">
        <f t="shared" si="15"/>
        <v>-2.0234518069364071</v>
      </c>
      <c r="J41" s="3">
        <v>16</v>
      </c>
      <c r="K41" s="64">
        <f t="shared" si="5"/>
        <v>287.86295391236041</v>
      </c>
      <c r="L41" s="64">
        <f t="shared" si="17"/>
        <v>148.9105048567024</v>
      </c>
      <c r="M41" s="64">
        <f t="shared" si="7"/>
        <v>436.77345876906281</v>
      </c>
      <c r="N41" s="65">
        <f t="shared" si="8"/>
        <v>11.5</v>
      </c>
      <c r="O41" s="66">
        <f t="shared" si="9"/>
        <v>10</v>
      </c>
      <c r="P41" s="67">
        <f t="shared" si="10"/>
        <v>276.36295391236041</v>
      </c>
      <c r="Q41" s="71">
        <f t="shared" si="11"/>
        <v>426.77345876906281</v>
      </c>
      <c r="R41" s="70">
        <f>(R40*U42)/U41</f>
        <v>7.6519081283728756</v>
      </c>
      <c r="S41" s="5"/>
      <c r="T41" s="62"/>
      <c r="U41" s="7">
        <f t="shared" si="20"/>
        <v>428.16652396798634</v>
      </c>
    </row>
    <row r="42" spans="1:21">
      <c r="A42" s="3">
        <v>17</v>
      </c>
      <c r="B42" s="64">
        <v>286.46958773349917</v>
      </c>
      <c r="C42" s="64">
        <v>149.57604361211773</v>
      </c>
      <c r="D42" s="64">
        <f t="shared" si="18"/>
        <v>436.04563134561693</v>
      </c>
      <c r="E42" s="65">
        <f t="shared" si="13"/>
        <v>11.5</v>
      </c>
      <c r="F42" s="66">
        <f t="shared" si="14"/>
        <v>10</v>
      </c>
      <c r="G42" s="67">
        <f t="shared" si="4"/>
        <v>274.96958773349917</v>
      </c>
      <c r="H42" s="69">
        <f t="shared" si="19"/>
        <v>426.04563134561693</v>
      </c>
      <c r="I42" s="63">
        <f t="shared" si="15"/>
        <v>-2.1208926223694107</v>
      </c>
      <c r="J42" s="3">
        <v>17</v>
      </c>
      <c r="K42" s="64">
        <f t="shared" si="5"/>
        <v>286.46958773349917</v>
      </c>
      <c r="L42" s="64">
        <f t="shared" si="17"/>
        <v>148.19023270058335</v>
      </c>
      <c r="M42" s="64">
        <f t="shared" si="7"/>
        <v>434.65982043408252</v>
      </c>
      <c r="N42" s="65">
        <f t="shared" si="8"/>
        <v>11.5</v>
      </c>
      <c r="O42" s="66">
        <f t="shared" si="9"/>
        <v>10</v>
      </c>
      <c r="P42" s="67">
        <f t="shared" si="10"/>
        <v>274.96958773349917</v>
      </c>
      <c r="Q42" s="71">
        <f t="shared" si="11"/>
        <v>424.65982043408252</v>
      </c>
      <c r="R42" s="70">
        <f t="shared" ref="R42:R64" si="21">(R41*U43)/U42</f>
        <v>7.6120613640712698</v>
      </c>
      <c r="S42" s="5"/>
      <c r="T42" s="62"/>
      <c r="U42" s="7">
        <f t="shared" si="20"/>
        <v>426.04563134561693</v>
      </c>
    </row>
    <row r="43" spans="1:21">
      <c r="A43" s="3">
        <v>18</v>
      </c>
      <c r="B43" s="64">
        <v>285.01202916934147</v>
      </c>
      <c r="C43" s="64">
        <v>148.81500002251857</v>
      </c>
      <c r="D43" s="64">
        <f t="shared" si="18"/>
        <v>433.82702919186005</v>
      </c>
      <c r="E43" s="65">
        <f t="shared" si="13"/>
        <v>11.5</v>
      </c>
      <c r="F43" s="66">
        <f t="shared" si="14"/>
        <v>10</v>
      </c>
      <c r="G43" s="67">
        <f t="shared" si="4"/>
        <v>273.51202916934147</v>
      </c>
      <c r="H43" s="69">
        <f t="shared" si="19"/>
        <v>423.82702919186005</v>
      </c>
      <c r="I43" s="63">
        <f t="shared" si="15"/>
        <v>-2.2186021537568763</v>
      </c>
      <c r="J43" s="3">
        <v>18</v>
      </c>
      <c r="K43" s="64">
        <f t="shared" si="5"/>
        <v>285.01202916934147</v>
      </c>
      <c r="L43" s="64">
        <f t="shared" si="17"/>
        <v>147.43676516620371</v>
      </c>
      <c r="M43" s="64">
        <f t="shared" si="7"/>
        <v>432.44879433554519</v>
      </c>
      <c r="N43" s="65">
        <f t="shared" si="8"/>
        <v>11.5</v>
      </c>
      <c r="O43" s="66">
        <f t="shared" si="9"/>
        <v>10</v>
      </c>
      <c r="P43" s="67">
        <f t="shared" si="10"/>
        <v>273.51202916934147</v>
      </c>
      <c r="Q43" s="71">
        <f t="shared" si="11"/>
        <v>422.44879433554519</v>
      </c>
      <c r="R43" s="70">
        <f t="shared" si="21"/>
        <v>7.5704471750440021</v>
      </c>
      <c r="S43" s="5"/>
      <c r="T43" s="62"/>
      <c r="U43" s="7">
        <f t="shared" si="20"/>
        <v>423.82702919186005</v>
      </c>
    </row>
    <row r="44" spans="1:21">
      <c r="A44" s="3">
        <v>19</v>
      </c>
      <c r="B44" s="64">
        <v>283.48981980880046</v>
      </c>
      <c r="C44" s="64">
        <v>148.02019993396311</v>
      </c>
      <c r="D44" s="64">
        <f t="shared" si="18"/>
        <v>431.51001974276357</v>
      </c>
      <c r="E44" s="65">
        <f t="shared" si="13"/>
        <v>11.5</v>
      </c>
      <c r="F44" s="66">
        <f t="shared" si="14"/>
        <v>10</v>
      </c>
      <c r="G44" s="67">
        <f t="shared" si="4"/>
        <v>271.98981980880046</v>
      </c>
      <c r="H44" s="69">
        <f t="shared" si="19"/>
        <v>421.51001974276357</v>
      </c>
      <c r="I44" s="63">
        <f t="shared" si="15"/>
        <v>-2.3170094490964743</v>
      </c>
      <c r="J44" s="3">
        <v>19</v>
      </c>
      <c r="K44" s="64">
        <f t="shared" si="5"/>
        <v>283.48981980880046</v>
      </c>
      <c r="L44" s="64">
        <f t="shared" si="17"/>
        <v>146.64986650640424</v>
      </c>
      <c r="M44" s="64">
        <f t="shared" si="7"/>
        <v>430.1396863152047</v>
      </c>
      <c r="N44" s="65">
        <f t="shared" si="8"/>
        <v>11.5</v>
      </c>
      <c r="O44" s="66">
        <f t="shared" si="9"/>
        <v>10</v>
      </c>
      <c r="P44" s="67">
        <f t="shared" si="10"/>
        <v>271.98981980880046</v>
      </c>
      <c r="Q44" s="71">
        <f t="shared" si="11"/>
        <v>420.1396863152047</v>
      </c>
      <c r="R44" s="70">
        <f t="shared" si="21"/>
        <v>7.5270457556628481</v>
      </c>
      <c r="S44" s="5"/>
      <c r="T44" s="62">
        <f>H51-[1]Mode3!$H$51</f>
        <v>11.960983720268473</v>
      </c>
      <c r="U44" s="7">
        <f t="shared" si="20"/>
        <v>421.51001974276357</v>
      </c>
    </row>
    <row r="45" spans="1:21">
      <c r="A45" s="3">
        <v>20</v>
      </c>
      <c r="B45" s="64">
        <v>281.90223517992627</v>
      </c>
      <c r="C45" s="64">
        <v>147.19126507366883</v>
      </c>
      <c r="D45" s="64">
        <f t="shared" si="18"/>
        <v>429.0935002535951</v>
      </c>
      <c r="E45" s="65">
        <f t="shared" si="13"/>
        <v>11.5</v>
      </c>
      <c r="F45" s="66">
        <f t="shared" si="14"/>
        <v>10</v>
      </c>
      <c r="G45" s="67">
        <f t="shared" si="4"/>
        <v>270.40223517992627</v>
      </c>
      <c r="H45" s="68">
        <f t="shared" si="19"/>
        <v>419.0935002535951</v>
      </c>
      <c r="I45" s="63">
        <f t="shared" si="15"/>
        <v>-2.4165194891684791</v>
      </c>
      <c r="J45" s="3">
        <v>20</v>
      </c>
      <c r="K45" s="64">
        <f t="shared" si="5"/>
        <v>281.90223517992627</v>
      </c>
      <c r="L45" s="64">
        <f t="shared" si="17"/>
        <v>145.82916332507341</v>
      </c>
      <c r="M45" s="64">
        <f t="shared" si="7"/>
        <v>427.73139850499967</v>
      </c>
      <c r="N45" s="65">
        <f t="shared" si="8"/>
        <v>11.5</v>
      </c>
      <c r="O45" s="66">
        <f t="shared" si="9"/>
        <v>10</v>
      </c>
      <c r="P45" s="67">
        <f t="shared" si="10"/>
        <v>270.40223517992627</v>
      </c>
      <c r="Q45" s="68">
        <f t="shared" si="11"/>
        <v>417.73139850499967</v>
      </c>
      <c r="R45" s="70">
        <f t="shared" si="21"/>
        <v>7.4818303190707045</v>
      </c>
      <c r="S45" s="5"/>
      <c r="T45" s="62">
        <f>(H51+H52)/2</f>
        <v>402.40072564667128</v>
      </c>
      <c r="U45" s="7">
        <f t="shared" si="20"/>
        <v>419.0935002535951</v>
      </c>
    </row>
    <row r="46" spans="1:21">
      <c r="A46" s="3">
        <v>21</v>
      </c>
      <c r="B46" s="64">
        <v>280.24829544373654</v>
      </c>
      <c r="C46" s="64">
        <v>146.32768383256945</v>
      </c>
      <c r="D46" s="64">
        <f t="shared" si="18"/>
        <v>426.57597927630599</v>
      </c>
      <c r="E46" s="65">
        <f t="shared" si="13"/>
        <v>11.5</v>
      </c>
      <c r="F46" s="66">
        <f t="shared" si="14"/>
        <v>10</v>
      </c>
      <c r="G46" s="67">
        <f t="shared" si="4"/>
        <v>268.74829544373654</v>
      </c>
      <c r="H46" s="69">
        <f t="shared" si="19"/>
        <v>416.57597927630599</v>
      </c>
      <c r="I46" s="63">
        <f t="shared" si="15"/>
        <v>-2.5175209772891094</v>
      </c>
      <c r="J46" s="3">
        <v>21</v>
      </c>
      <c r="K46" s="64">
        <f t="shared" si="5"/>
        <v>280.24829544373654</v>
      </c>
      <c r="L46" s="64">
        <f t="shared" si="17"/>
        <v>144.97415012990018</v>
      </c>
      <c r="M46" s="64">
        <f t="shared" si="7"/>
        <v>425.22244557363672</v>
      </c>
      <c r="N46" s="65">
        <f t="shared" si="8"/>
        <v>11.5</v>
      </c>
      <c r="O46" s="66">
        <f t="shared" si="9"/>
        <v>10</v>
      </c>
      <c r="P46" s="67">
        <f t="shared" si="10"/>
        <v>268.74829544373654</v>
      </c>
      <c r="Q46" s="71">
        <f t="shared" si="11"/>
        <v>415.22244557363672</v>
      </c>
      <c r="R46" s="70">
        <f t="shared" si="21"/>
        <v>7.4347672668047133</v>
      </c>
      <c r="S46" s="5"/>
      <c r="T46" s="62"/>
      <c r="U46" s="7">
        <f t="shared" si="20"/>
        <v>416.57597927630599</v>
      </c>
    </row>
    <row r="47" spans="1:21">
      <c r="A47" s="3">
        <v>22</v>
      </c>
      <c r="B47" s="64">
        <v>278.52677159887736</v>
      </c>
      <c r="C47" s="64">
        <v>145.42881450498999</v>
      </c>
      <c r="D47" s="64">
        <f t="shared" si="18"/>
        <v>423.95558610386735</v>
      </c>
      <c r="E47" s="65">
        <f t="shared" si="13"/>
        <v>11.5</v>
      </c>
      <c r="F47" s="66">
        <f t="shared" si="14"/>
        <v>10</v>
      </c>
      <c r="G47" s="67">
        <f t="shared" si="4"/>
        <v>267.02677159887736</v>
      </c>
      <c r="H47" s="69">
        <f t="shared" si="19"/>
        <v>413.95558610386735</v>
      </c>
      <c r="I47" s="63">
        <f t="shared" si="15"/>
        <v>-2.6203931724386393</v>
      </c>
      <c r="J47" s="3">
        <v>22</v>
      </c>
      <c r="K47" s="64">
        <f t="shared" si="5"/>
        <v>278.52677159887736</v>
      </c>
      <c r="L47" s="64">
        <f t="shared" si="17"/>
        <v>144.08419255995847</v>
      </c>
      <c r="M47" s="64">
        <f t="shared" si="7"/>
        <v>422.61096415883583</v>
      </c>
      <c r="N47" s="65">
        <f t="shared" si="8"/>
        <v>11.5</v>
      </c>
      <c r="O47" s="66">
        <f t="shared" si="9"/>
        <v>10</v>
      </c>
      <c r="P47" s="67">
        <f t="shared" si="10"/>
        <v>267.02677159887736</v>
      </c>
      <c r="Q47" s="71">
        <f t="shared" si="11"/>
        <v>412.61096415883583</v>
      </c>
      <c r="R47" s="70">
        <f t="shared" si="21"/>
        <v>7.3858162552090789</v>
      </c>
      <c r="S47" s="5"/>
      <c r="T47" s="62"/>
      <c r="U47" s="7">
        <f t="shared" si="20"/>
        <v>413.95558610386735</v>
      </c>
    </row>
    <row r="48" spans="1:21">
      <c r="A48" s="3">
        <v>23</v>
      </c>
      <c r="B48" s="64">
        <v>276.73618791094344</v>
      </c>
      <c r="C48" s="64">
        <v>144.49388655708265</v>
      </c>
      <c r="D48" s="64">
        <f t="shared" si="18"/>
        <v>421.23007446802609</v>
      </c>
      <c r="E48" s="65">
        <f t="shared" si="13"/>
        <v>11.5</v>
      </c>
      <c r="F48" s="66">
        <f t="shared" si="14"/>
        <v>10</v>
      </c>
      <c r="G48" s="67">
        <f t="shared" si="4"/>
        <v>265.23618791094344</v>
      </c>
      <c r="H48" s="69">
        <f t="shared" si="19"/>
        <v>411.23007446802609</v>
      </c>
      <c r="I48" s="63">
        <f t="shared" si="15"/>
        <v>-2.7255116358412579</v>
      </c>
      <c r="J48" s="3">
        <v>23</v>
      </c>
      <c r="K48" s="64">
        <f t="shared" si="5"/>
        <v>276.73618791094344</v>
      </c>
      <c r="L48" s="64">
        <f t="shared" si="17"/>
        <v>143.15852865688311</v>
      </c>
      <c r="M48" s="64">
        <f t="shared" si="7"/>
        <v>419.89471656782655</v>
      </c>
      <c r="N48" s="65">
        <f t="shared" si="8"/>
        <v>11.5</v>
      </c>
      <c r="O48" s="66">
        <f t="shared" si="9"/>
        <v>10</v>
      </c>
      <c r="P48" s="67">
        <f t="shared" si="10"/>
        <v>265.23618791094344</v>
      </c>
      <c r="Q48" s="71">
        <f t="shared" si="11"/>
        <v>409.89471656782655</v>
      </c>
      <c r="R48" s="70">
        <f t="shared" si="21"/>
        <v>7.3349301803817966</v>
      </c>
      <c r="S48" s="5"/>
      <c r="T48" s="62"/>
      <c r="U48" s="7">
        <f t="shared" si="20"/>
        <v>411.23007446802609</v>
      </c>
    </row>
    <row r="49" spans="1:21">
      <c r="A49" s="3">
        <v>24</v>
      </c>
      <c r="B49" s="64">
        <v>274.87482136184349</v>
      </c>
      <c r="C49" s="64">
        <v>143.5220003393201</v>
      </c>
      <c r="D49" s="64">
        <f t="shared" si="18"/>
        <v>418.39682170116362</v>
      </c>
      <c r="E49" s="65">
        <f t="shared" si="13"/>
        <v>11.5</v>
      </c>
      <c r="F49" s="66">
        <f t="shared" si="14"/>
        <v>10</v>
      </c>
      <c r="G49" s="67">
        <f t="shared" si="4"/>
        <v>263.37482136184349</v>
      </c>
      <c r="H49" s="69">
        <f t="shared" si="19"/>
        <v>408.39682170116362</v>
      </c>
      <c r="I49" s="63">
        <f t="shared" si="15"/>
        <v>-2.8332527668624721</v>
      </c>
      <c r="J49" s="3">
        <v>24</v>
      </c>
      <c r="K49" s="64">
        <f t="shared" si="5"/>
        <v>274.87482136184349</v>
      </c>
      <c r="L49" s="64">
        <f t="shared" si="17"/>
        <v>142.1897290788682</v>
      </c>
      <c r="M49" s="64">
        <f t="shared" si="7"/>
        <v>417.06455044071168</v>
      </c>
      <c r="N49" s="65">
        <f t="shared" si="8"/>
        <v>11.5</v>
      </c>
      <c r="O49" s="66">
        <f t="shared" si="9"/>
        <v>10</v>
      </c>
      <c r="P49" s="67">
        <f t="shared" si="10"/>
        <v>263.37482136184349</v>
      </c>
      <c r="Q49" s="71">
        <f t="shared" si="11"/>
        <v>407.06455044071168</v>
      </c>
      <c r="R49" s="70">
        <f t="shared" si="21"/>
        <v>7.3179757091966824</v>
      </c>
      <c r="S49" s="5"/>
      <c r="T49" s="62"/>
      <c r="U49" s="7">
        <f t="shared" si="20"/>
        <v>408.39682170116362</v>
      </c>
    </row>
    <row r="50" spans="1:21">
      <c r="A50" s="3">
        <v>25</v>
      </c>
      <c r="B50" s="64">
        <v>274.25464215508083</v>
      </c>
      <c r="C50" s="64">
        <v>143.19818253788443</v>
      </c>
      <c r="D50" s="64">
        <f t="shared" si="18"/>
        <v>417.45282469296524</v>
      </c>
      <c r="E50" s="65">
        <f t="shared" si="13"/>
        <v>11.5</v>
      </c>
      <c r="F50" s="66">
        <f t="shared" si="14"/>
        <v>10</v>
      </c>
      <c r="G50" s="67">
        <f t="shared" si="4"/>
        <v>262.75464215508083</v>
      </c>
      <c r="H50" s="68">
        <f t="shared" si="19"/>
        <v>407.45282469296524</v>
      </c>
      <c r="I50" s="63">
        <f t="shared" si="15"/>
        <v>-0.94399700819838017</v>
      </c>
      <c r="J50" s="3">
        <v>25</v>
      </c>
      <c r="K50" s="64">
        <f t="shared" si="5"/>
        <v>274.25464215508083</v>
      </c>
      <c r="L50" s="64">
        <f t="shared" si="17"/>
        <v>141.87742332072611</v>
      </c>
      <c r="M50" s="64">
        <f t="shared" si="7"/>
        <v>416.13206547580694</v>
      </c>
      <c r="N50" s="65">
        <f t="shared" si="8"/>
        <v>11.5</v>
      </c>
      <c r="O50" s="66">
        <f t="shared" si="9"/>
        <v>10</v>
      </c>
      <c r="P50" s="67">
        <f t="shared" si="10"/>
        <v>262.75464215508083</v>
      </c>
      <c r="Q50" s="71">
        <f t="shared" si="11"/>
        <v>406.13206547580694</v>
      </c>
      <c r="R50" s="70">
        <f t="shared" si="21"/>
        <v>7.2547416999624348</v>
      </c>
      <c r="S50" s="5"/>
      <c r="T50" s="62"/>
      <c r="U50" s="7">
        <f t="shared" si="20"/>
        <v>407.45282469296524</v>
      </c>
    </row>
    <row r="51" spans="1:21">
      <c r="A51" s="3">
        <v>26</v>
      </c>
      <c r="B51" s="64">
        <v>271.94159934418201</v>
      </c>
      <c r="C51" s="64">
        <v>141.99045994821267</v>
      </c>
      <c r="D51" s="64">
        <f t="shared" si="18"/>
        <v>413.93205929239468</v>
      </c>
      <c r="E51" s="65">
        <f t="shared" si="13"/>
        <v>11.5</v>
      </c>
      <c r="F51" s="66">
        <f t="shared" si="14"/>
        <v>10</v>
      </c>
      <c r="G51" s="67">
        <f t="shared" si="4"/>
        <v>260.44159934418201</v>
      </c>
      <c r="H51" s="69">
        <f t="shared" si="19"/>
        <v>403.93205929239468</v>
      </c>
      <c r="I51" s="63">
        <f t="shared" si="15"/>
        <v>-3.5207654005705535</v>
      </c>
      <c r="J51" s="3">
        <v>26</v>
      </c>
      <c r="K51" s="64">
        <f t="shared" si="5"/>
        <v>271.94159934418201</v>
      </c>
      <c r="L51" s="64">
        <f t="shared" si="17"/>
        <v>140.67971490537212</v>
      </c>
      <c r="M51" s="64">
        <f t="shared" si="7"/>
        <v>412.62131424955413</v>
      </c>
      <c r="N51" s="65">
        <f t="shared" si="8"/>
        <v>11.5</v>
      </c>
      <c r="O51" s="66">
        <f t="shared" si="9"/>
        <v>10</v>
      </c>
      <c r="P51" s="67">
        <f t="shared" si="10"/>
        <v>260.44159934418201</v>
      </c>
      <c r="Q51" s="71">
        <f t="shared" si="11"/>
        <v>402.62131424955413</v>
      </c>
      <c r="R51" s="70">
        <f t="shared" si="21"/>
        <v>7.1997352710315559</v>
      </c>
      <c r="S51" s="5"/>
      <c r="T51" s="62"/>
      <c r="U51" s="7">
        <f t="shared" si="20"/>
        <v>403.93205929239468</v>
      </c>
    </row>
    <row r="52" spans="1:21">
      <c r="A52" s="3">
        <v>27</v>
      </c>
      <c r="B52" s="64">
        <v>269.92951397220349</v>
      </c>
      <c r="C52" s="64">
        <v>140.93987802874432</v>
      </c>
      <c r="D52" s="64">
        <f>B52+C52</f>
        <v>410.86939200094781</v>
      </c>
      <c r="E52" s="65">
        <f t="shared" si="13"/>
        <v>11.5</v>
      </c>
      <c r="F52" s="66">
        <f t="shared" si="14"/>
        <v>10</v>
      </c>
      <c r="G52" s="67">
        <f t="shared" si="4"/>
        <v>258.42951397220349</v>
      </c>
      <c r="H52" s="69">
        <f>D52-F52</f>
        <v>400.86939200094781</v>
      </c>
      <c r="I52" s="63">
        <f t="shared" si="15"/>
        <v>-3.0626672914468713</v>
      </c>
      <c r="J52" s="3">
        <v>27</v>
      </c>
      <c r="K52" s="64">
        <f t="shared" si="5"/>
        <v>269.92951397220349</v>
      </c>
      <c r="L52" s="64">
        <f t="shared" si="17"/>
        <v>139.6395397594398</v>
      </c>
      <c r="M52" s="64">
        <f t="shared" si="7"/>
        <v>409.56905373164329</v>
      </c>
      <c r="N52" s="65">
        <f t="shared" si="8"/>
        <v>11.5</v>
      </c>
      <c r="O52" s="66">
        <f t="shared" si="9"/>
        <v>10</v>
      </c>
      <c r="P52" s="67">
        <f t="shared" si="10"/>
        <v>258.42951397220349</v>
      </c>
      <c r="Q52" s="71">
        <f t="shared" si="11"/>
        <v>399.56905373164329</v>
      </c>
      <c r="R52" s="70">
        <f t="shared" si="21"/>
        <v>7.1425723506798162</v>
      </c>
      <c r="S52" s="5"/>
      <c r="T52" s="62"/>
      <c r="U52" s="7">
        <f t="shared" si="20"/>
        <v>400.86939200094781</v>
      </c>
    </row>
    <row r="53" spans="1:21">
      <c r="A53" s="3">
        <v>28</v>
      </c>
      <c r="B53" s="64">
        <v>267.83854609636046</v>
      </c>
      <c r="C53" s="64">
        <v>139.84810872554141</v>
      </c>
      <c r="D53" s="64">
        <f t="shared" si="18"/>
        <v>407.68665482190187</v>
      </c>
      <c r="E53" s="65">
        <f t="shared" si="13"/>
        <v>11.5</v>
      </c>
      <c r="F53" s="66">
        <f t="shared" si="14"/>
        <v>10</v>
      </c>
      <c r="G53" s="67">
        <f t="shared" si="4"/>
        <v>256.33854609636046</v>
      </c>
      <c r="H53" s="69">
        <f t="shared" si="19"/>
        <v>397.68665482190187</v>
      </c>
      <c r="I53" s="63">
        <f t="shared" si="15"/>
        <v>-3.1827371790459438</v>
      </c>
      <c r="J53" s="3">
        <v>28</v>
      </c>
      <c r="K53" s="64">
        <f t="shared" si="5"/>
        <v>267.83854609636046</v>
      </c>
      <c r="L53" s="64">
        <f t="shared" si="17"/>
        <v>138.55858722155239</v>
      </c>
      <c r="M53" s="64">
        <f t="shared" si="7"/>
        <v>406.39713331791285</v>
      </c>
      <c r="N53" s="65">
        <f t="shared" si="8"/>
        <v>11.5</v>
      </c>
      <c r="O53" s="66">
        <f t="shared" si="9"/>
        <v>10</v>
      </c>
      <c r="P53" s="67">
        <f t="shared" si="10"/>
        <v>256.33854609636046</v>
      </c>
      <c r="Q53" s="71">
        <f t="shared" si="11"/>
        <v>396.39713331791285</v>
      </c>
      <c r="R53" s="70">
        <f t="shared" si="21"/>
        <v>7.0831574040539653</v>
      </c>
      <c r="S53" s="5"/>
      <c r="T53" s="62">
        <f>(H51+H52)/2</f>
        <v>402.40072564667128</v>
      </c>
      <c r="U53" s="7">
        <f t="shared" si="20"/>
        <v>397.68665482190187</v>
      </c>
    </row>
    <row r="54" spans="1:21">
      <c r="A54" s="3">
        <v>29</v>
      </c>
      <c r="B54" s="64">
        <v>265.66520113821053</v>
      </c>
      <c r="C54" s="64">
        <v>138.71332739389501</v>
      </c>
      <c r="D54" s="64">
        <f t="shared" si="18"/>
        <v>404.37852853210552</v>
      </c>
      <c r="E54" s="65">
        <f t="shared" si="13"/>
        <v>11.5</v>
      </c>
      <c r="F54" s="66">
        <f t="shared" si="14"/>
        <v>10</v>
      </c>
      <c r="G54" s="67">
        <f t="shared" si="4"/>
        <v>254.16520113821053</v>
      </c>
      <c r="H54" s="69">
        <f t="shared" si="19"/>
        <v>394.37852853210552</v>
      </c>
      <c r="I54" s="63">
        <f t="shared" si="15"/>
        <v>-3.3081262897963484</v>
      </c>
      <c r="J54" s="3">
        <v>29</v>
      </c>
      <c r="K54" s="64">
        <f t="shared" si="5"/>
        <v>265.66520113821053</v>
      </c>
      <c r="L54" s="64">
        <f t="shared" si="17"/>
        <v>137.435051492762</v>
      </c>
      <c r="M54" s="64">
        <f t="shared" si="7"/>
        <v>403.10025263097253</v>
      </c>
      <c r="N54" s="65">
        <f t="shared" si="8"/>
        <v>11.5</v>
      </c>
      <c r="O54" s="66">
        <f t="shared" si="9"/>
        <v>10</v>
      </c>
      <c r="P54" s="67">
        <f t="shared" si="10"/>
        <v>254.16520113821053</v>
      </c>
      <c r="Q54" s="71">
        <f t="shared" si="11"/>
        <v>393.10025263097253</v>
      </c>
      <c r="R54" s="70">
        <f t="shared" si="21"/>
        <v>7.0213869140807121</v>
      </c>
      <c r="S54" s="5"/>
      <c r="T54" s="62"/>
      <c r="U54" s="7">
        <f t="shared" si="20"/>
        <v>394.37852853210552</v>
      </c>
    </row>
    <row r="55" spans="1:21">
      <c r="A55" s="3">
        <v>30</v>
      </c>
      <c r="B55" s="64">
        <v>263.40569253692854</v>
      </c>
      <c r="C55" s="64">
        <v>137.53355693462473</v>
      </c>
      <c r="D55" s="64">
        <f t="shared" si="18"/>
        <v>400.93924947155324</v>
      </c>
      <c r="E55" s="65">
        <f t="shared" si="13"/>
        <v>11.5</v>
      </c>
      <c r="F55" s="66">
        <f t="shared" si="14"/>
        <v>10</v>
      </c>
      <c r="G55" s="67">
        <f t="shared" si="4"/>
        <v>251.90569253692854</v>
      </c>
      <c r="H55" s="68">
        <f t="shared" si="19"/>
        <v>390.93924947155324</v>
      </c>
      <c r="I55" s="63">
        <f t="shared" si="15"/>
        <v>-3.4392790605522805</v>
      </c>
      <c r="J55" s="3">
        <v>30</v>
      </c>
      <c r="K55" s="64">
        <f t="shared" si="5"/>
        <v>263.40569253692854</v>
      </c>
      <c r="L55" s="64">
        <f t="shared" si="17"/>
        <v>136.26724653466408</v>
      </c>
      <c r="M55" s="64">
        <f t="shared" si="7"/>
        <v>399.67293907159262</v>
      </c>
      <c r="N55" s="65">
        <f t="shared" si="8"/>
        <v>11.5</v>
      </c>
      <c r="O55" s="66">
        <f t="shared" si="9"/>
        <v>10</v>
      </c>
      <c r="P55" s="67">
        <f t="shared" si="10"/>
        <v>251.90569253692854</v>
      </c>
      <c r="Q55" s="71">
        <f t="shared" si="11"/>
        <v>389.67293907159262</v>
      </c>
      <c r="R55" s="70">
        <f t="shared" si="21"/>
        <v>6.9556621254979945</v>
      </c>
      <c r="S55" s="5"/>
      <c r="T55" s="62"/>
      <c r="U55" s="7">
        <f t="shared" si="20"/>
        <v>390.93924947155324</v>
      </c>
    </row>
    <row r="56" spans="1:21">
      <c r="A56" s="3">
        <v>31</v>
      </c>
      <c r="B56" s="64">
        <v>261.00153927241013</v>
      </c>
      <c r="C56" s="64">
        <v>136.27826231019731</v>
      </c>
      <c r="D56" s="64">
        <f t="shared" si="18"/>
        <v>397.27980158260743</v>
      </c>
      <c r="E56" s="65">
        <f t="shared" si="13"/>
        <v>11.5</v>
      </c>
      <c r="F56" s="66">
        <f t="shared" si="14"/>
        <v>10</v>
      </c>
      <c r="G56" s="67">
        <f t="shared" si="4"/>
        <v>249.50153927241013</v>
      </c>
      <c r="H56" s="69">
        <f t="shared" si="19"/>
        <v>387.27980158260743</v>
      </c>
      <c r="I56" s="63">
        <f t="shared" si="15"/>
        <v>-3.659447888945806</v>
      </c>
      <c r="J56" s="3">
        <v>31</v>
      </c>
      <c r="K56" s="64">
        <f t="shared" si="5"/>
        <v>261.00153927241013</v>
      </c>
      <c r="L56" s="64">
        <f t="shared" si="17"/>
        <v>135.02438522895943</v>
      </c>
      <c r="M56" s="64">
        <f t="shared" si="7"/>
        <v>396.02592450136956</v>
      </c>
      <c r="N56" s="65">
        <f t="shared" si="8"/>
        <v>11.5</v>
      </c>
      <c r="O56" s="66">
        <f t="shared" si="9"/>
        <v>10</v>
      </c>
      <c r="P56" s="67">
        <f t="shared" si="10"/>
        <v>249.50153927241013</v>
      </c>
      <c r="Q56" s="71">
        <f t="shared" si="11"/>
        <v>386.02592450136956</v>
      </c>
      <c r="R56" s="70">
        <f t="shared" si="21"/>
        <v>6.887367681942405</v>
      </c>
      <c r="S56" s="5"/>
      <c r="T56" s="62"/>
      <c r="U56" s="7">
        <f t="shared" si="20"/>
        <v>387.27980158260743</v>
      </c>
    </row>
    <row r="57" spans="1:21">
      <c r="A57" s="3">
        <v>32</v>
      </c>
      <c r="B57" s="64">
        <v>258.50339035533921</v>
      </c>
      <c r="C57" s="64">
        <v>134.97388918519738</v>
      </c>
      <c r="D57" s="64">
        <f t="shared" si="18"/>
        <v>393.47727954053659</v>
      </c>
      <c r="E57" s="65">
        <f t="shared" si="13"/>
        <v>11.5</v>
      </c>
      <c r="F57" s="66">
        <f t="shared" si="14"/>
        <v>10</v>
      </c>
      <c r="G57" s="67">
        <f t="shared" si="4"/>
        <v>247.00339035533921</v>
      </c>
      <c r="H57" s="69">
        <f t="shared" si="19"/>
        <v>383.47727954053659</v>
      </c>
      <c r="I57" s="63">
        <f t="shared" si="15"/>
        <v>-3.8025220420708479</v>
      </c>
      <c r="J57" s="3">
        <v>32</v>
      </c>
      <c r="K57" s="64">
        <f t="shared" si="5"/>
        <v>258.50339035533921</v>
      </c>
      <c r="L57" s="64">
        <f t="shared" si="17"/>
        <v>133.73293404667879</v>
      </c>
      <c r="M57" s="64">
        <f t="shared" si="7"/>
        <v>392.236324402018</v>
      </c>
      <c r="N57" s="65">
        <f t="shared" si="8"/>
        <v>11.5</v>
      </c>
      <c r="O57" s="66">
        <f t="shared" si="9"/>
        <v>10</v>
      </c>
      <c r="P57" s="67">
        <f t="shared" si="10"/>
        <v>247.00339035533921</v>
      </c>
      <c r="Q57" s="71">
        <f t="shared" si="11"/>
        <v>382.236324402018</v>
      </c>
      <c r="R57" s="70">
        <f t="shared" si="21"/>
        <v>6.8163892965772623</v>
      </c>
      <c r="S57" s="5"/>
      <c r="T57" s="62"/>
      <c r="U57" s="7">
        <f t="shared" si="20"/>
        <v>383.47727954053659</v>
      </c>
    </row>
    <row r="58" spans="1:21">
      <c r="A58" s="3">
        <v>33</v>
      </c>
      <c r="B58" s="64">
        <v>255.90706527669576</v>
      </c>
      <c r="C58" s="64">
        <v>133.61825476596658</v>
      </c>
      <c r="D58" s="64">
        <f t="shared" si="18"/>
        <v>389.52532004266232</v>
      </c>
      <c r="E58" s="65">
        <f t="shared" si="13"/>
        <v>11.5</v>
      </c>
      <c r="F58" s="66">
        <f t="shared" si="14"/>
        <v>10</v>
      </c>
      <c r="G58" s="67">
        <f t="shared" si="4"/>
        <v>244.40706527669576</v>
      </c>
      <c r="H58" s="69">
        <f t="shared" si="19"/>
        <v>379.52532004266232</v>
      </c>
      <c r="I58" s="63">
        <f t="shared" si="15"/>
        <v>-3.9519594978742703</v>
      </c>
      <c r="J58" s="3">
        <v>33</v>
      </c>
      <c r="K58" s="64">
        <f t="shared" si="5"/>
        <v>255.90706527669576</v>
      </c>
      <c r="L58" s="64">
        <f t="shared" si="17"/>
        <v>132.39073196975963</v>
      </c>
      <c r="M58" s="64">
        <f t="shared" si="7"/>
        <v>388.29779724645539</v>
      </c>
      <c r="N58" s="65">
        <f t="shared" si="8"/>
        <v>11.5</v>
      </c>
      <c r="O58" s="66">
        <f t="shared" si="9"/>
        <v>10</v>
      </c>
      <c r="P58" s="67">
        <f t="shared" si="10"/>
        <v>244.40706527669576</v>
      </c>
      <c r="Q58" s="71">
        <f t="shared" si="11"/>
        <v>378.29779724645539</v>
      </c>
      <c r="R58" s="70">
        <f t="shared" si="21"/>
        <v>6.7426073591653335</v>
      </c>
      <c r="S58" s="5"/>
      <c r="T58" s="62"/>
      <c r="U58" s="7">
        <f t="shared" si="20"/>
        <v>379.52532004266232</v>
      </c>
    </row>
    <row r="59" spans="1:21">
      <c r="A59" s="3">
        <v>34</v>
      </c>
      <c r="B59" s="64">
        <v>253.2081888022872</v>
      </c>
      <c r="C59" s="64">
        <v>132.2090745858512</v>
      </c>
      <c r="D59" s="64">
        <f t="shared" si="18"/>
        <v>385.41726338813839</v>
      </c>
      <c r="E59" s="65">
        <f t="shared" si="13"/>
        <v>11.5</v>
      </c>
      <c r="F59" s="66">
        <f t="shared" si="14"/>
        <v>10</v>
      </c>
      <c r="G59" s="67">
        <f t="shared" si="4"/>
        <v>241.7081888022872</v>
      </c>
      <c r="H59" s="69">
        <f t="shared" si="19"/>
        <v>375.41726338813839</v>
      </c>
      <c r="I59" s="63">
        <f t="shared" si="15"/>
        <v>-4.1080566545239208</v>
      </c>
      <c r="J59" s="3">
        <v>34</v>
      </c>
      <c r="K59" s="64">
        <f t="shared" si="5"/>
        <v>253.2081888022872</v>
      </c>
      <c r="L59" s="64">
        <f t="shared" si="17"/>
        <v>130.99551706319974</v>
      </c>
      <c r="M59" s="64">
        <f t="shared" si="7"/>
        <v>384.20370586548694</v>
      </c>
      <c r="N59" s="65">
        <f t="shared" si="8"/>
        <v>11.5</v>
      </c>
      <c r="O59" s="66">
        <f t="shared" si="9"/>
        <v>10</v>
      </c>
      <c r="P59" s="67">
        <f t="shared" si="10"/>
        <v>241.7081888022872</v>
      </c>
      <c r="Q59" s="71">
        <f t="shared" si="11"/>
        <v>374.20370586548694</v>
      </c>
      <c r="R59" s="70">
        <f t="shared" si="21"/>
        <v>6.6658981065642244</v>
      </c>
      <c r="S59" s="5"/>
      <c r="T59" s="62"/>
      <c r="U59" s="7">
        <f t="shared" si="20"/>
        <v>375.41726338813839</v>
      </c>
    </row>
    <row r="60" spans="1:21">
      <c r="A60" s="3">
        <v>35</v>
      </c>
      <c r="B60" s="64">
        <v>250.40223378840963</v>
      </c>
      <c r="C60" s="64">
        <v>130.74398486079517</v>
      </c>
      <c r="D60" s="64">
        <f t="shared" si="18"/>
        <v>381.1462186492048</v>
      </c>
      <c r="E60" s="65">
        <f t="shared" si="13"/>
        <v>11.5</v>
      </c>
      <c r="F60" s="66">
        <f t="shared" si="14"/>
        <v>10</v>
      </c>
      <c r="G60" s="67">
        <f t="shared" si="4"/>
        <v>238.90223378840963</v>
      </c>
      <c r="H60" s="69">
        <f t="shared" si="19"/>
        <v>371.1462186492048</v>
      </c>
      <c r="I60" s="63">
        <f t="shared" si="15"/>
        <v>-4.2710447389335968</v>
      </c>
      <c r="J60" s="3">
        <v>35</v>
      </c>
      <c r="K60" s="64">
        <f t="shared" si="5"/>
        <v>250.40223378840963</v>
      </c>
      <c r="L60" s="64">
        <f t="shared" si="17"/>
        <v>129.54400130056823</v>
      </c>
      <c r="M60" s="64">
        <f t="shared" si="7"/>
        <v>379.94623508897786</v>
      </c>
      <c r="N60" s="65">
        <f t="shared" si="8"/>
        <v>11.5</v>
      </c>
      <c r="O60" s="66">
        <f t="shared" si="9"/>
        <v>10</v>
      </c>
      <c r="P60" s="67">
        <f t="shared" si="10"/>
        <v>238.90223378840963</v>
      </c>
      <c r="Q60" s="71">
        <f t="shared" si="11"/>
        <v>369.94623508897786</v>
      </c>
      <c r="R60" s="70">
        <f t="shared" si="21"/>
        <v>6.59133827010373</v>
      </c>
      <c r="S60" s="5"/>
      <c r="T60" s="62"/>
      <c r="U60" s="7">
        <f t="shared" si="20"/>
        <v>371.1462186492048</v>
      </c>
    </row>
    <row r="61" spans="1:21">
      <c r="A61" s="3">
        <v>36</v>
      </c>
      <c r="B61" s="64">
        <v>247.67490247105056</v>
      </c>
      <c r="C61" s="64">
        <v>129.31994738687834</v>
      </c>
      <c r="D61" s="64">
        <f t="shared" si="18"/>
        <v>376.9948498579289</v>
      </c>
      <c r="E61" s="65">
        <f t="shared" si="13"/>
        <v>11.5</v>
      </c>
      <c r="F61" s="66">
        <f t="shared" si="14"/>
        <v>10</v>
      </c>
      <c r="G61" s="67">
        <f t="shared" si="4"/>
        <v>236.17490247105056</v>
      </c>
      <c r="H61" s="69">
        <f t="shared" si="19"/>
        <v>366.9948498579289</v>
      </c>
      <c r="I61" s="63">
        <f t="shared" si="15"/>
        <v>-4.1513687912758996</v>
      </c>
      <c r="J61" s="3">
        <v>36</v>
      </c>
      <c r="K61" s="64">
        <f t="shared" si="5"/>
        <v>247.67490247105056</v>
      </c>
      <c r="L61" s="64">
        <f t="shared" si="17"/>
        <v>128.13368022411012</v>
      </c>
      <c r="M61" s="64">
        <f t="shared" si="7"/>
        <v>375.80858269516068</v>
      </c>
      <c r="N61" s="65">
        <f t="shared" si="8"/>
        <v>11.5</v>
      </c>
      <c r="O61" s="66">
        <f t="shared" si="9"/>
        <v>10</v>
      </c>
      <c r="P61" s="67">
        <f t="shared" si="10"/>
        <v>236.17490247105056</v>
      </c>
      <c r="Q61" s="71">
        <f t="shared" si="11"/>
        <v>365.80858269516068</v>
      </c>
      <c r="R61" s="70">
        <f t="shared" si="21"/>
        <v>6.5159960583483372</v>
      </c>
      <c r="S61" s="5"/>
      <c r="T61" s="62"/>
      <c r="U61" s="7">
        <f t="shared" si="20"/>
        <v>366.9948498579289</v>
      </c>
    </row>
    <row r="62" spans="1:21">
      <c r="A62" s="3">
        <v>37</v>
      </c>
      <c r="B62" s="64">
        <v>244.91895257370257</v>
      </c>
      <c r="C62" s="64">
        <v>127.88096712618128</v>
      </c>
      <c r="D62" s="64">
        <f t="shared" si="18"/>
        <v>372.79991969988384</v>
      </c>
      <c r="E62" s="65">
        <f t="shared" si="13"/>
        <v>11.5</v>
      </c>
      <c r="F62" s="66">
        <f t="shared" si="14"/>
        <v>10</v>
      </c>
      <c r="G62" s="67">
        <f t="shared" si="4"/>
        <v>233.41895257370257</v>
      </c>
      <c r="H62" s="69">
        <f t="shared" si="19"/>
        <v>362.79991969988384</v>
      </c>
      <c r="I62" s="63">
        <f t="shared" si="15"/>
        <v>-4.1949301580450538</v>
      </c>
      <c r="J62" s="3">
        <v>37</v>
      </c>
      <c r="K62" s="64">
        <f t="shared" si="5"/>
        <v>244.91895257370257</v>
      </c>
      <c r="L62" s="64">
        <f t="shared" si="17"/>
        <v>126.70906762263158</v>
      </c>
      <c r="M62" s="64">
        <f t="shared" si="7"/>
        <v>371.62802019633415</v>
      </c>
      <c r="N62" s="65">
        <f t="shared" si="8"/>
        <v>11.5</v>
      </c>
      <c r="O62" s="66">
        <f t="shared" si="9"/>
        <v>10</v>
      </c>
      <c r="P62" s="67">
        <f t="shared" si="10"/>
        <v>233.41895257370257</v>
      </c>
      <c r="Q62" s="71">
        <f t="shared" si="11"/>
        <v>361.62802019633415</v>
      </c>
      <c r="R62" s="70">
        <f t="shared" si="21"/>
        <v>6.4370765587836356</v>
      </c>
      <c r="S62" s="5"/>
      <c r="T62" s="62"/>
      <c r="U62" s="7">
        <f t="shared" si="20"/>
        <v>362.79991969988384</v>
      </c>
    </row>
    <row r="63" spans="1:21">
      <c r="A63" s="3">
        <v>38</v>
      </c>
      <c r="B63" s="64">
        <v>242.03214872687326</v>
      </c>
      <c r="C63" s="64">
        <v>126.37366332646812</v>
      </c>
      <c r="D63" s="64">
        <f t="shared" si="18"/>
        <v>368.40581205334138</v>
      </c>
      <c r="E63" s="65">
        <f t="shared" si="13"/>
        <v>11.5</v>
      </c>
      <c r="F63" s="66">
        <f t="shared" si="14"/>
        <v>10</v>
      </c>
      <c r="G63" s="67">
        <f t="shared" si="4"/>
        <v>230.53214872687326</v>
      </c>
      <c r="H63" s="69">
        <f t="shared" si="19"/>
        <v>358.40581205334138</v>
      </c>
      <c r="I63" s="63">
        <f t="shared" si="15"/>
        <v>-4.3941076465424658</v>
      </c>
      <c r="J63" s="3">
        <v>38</v>
      </c>
      <c r="K63" s="64">
        <f t="shared" si="5"/>
        <v>242.03214872687326</v>
      </c>
      <c r="L63" s="64">
        <f t="shared" si="17"/>
        <v>125.21681026154769</v>
      </c>
      <c r="M63" s="64">
        <f t="shared" si="7"/>
        <v>367.24895898842095</v>
      </c>
      <c r="N63" s="65">
        <f t="shared" si="8"/>
        <v>11.5</v>
      </c>
      <c r="O63" s="66">
        <f t="shared" si="9"/>
        <v>10</v>
      </c>
      <c r="P63" s="67">
        <f t="shared" si="10"/>
        <v>230.53214872687326</v>
      </c>
      <c r="Q63" s="71">
        <f t="shared" si="11"/>
        <v>357.24895898842095</v>
      </c>
      <c r="R63" s="70">
        <f t="shared" si="21"/>
        <v>6.3544286208843745</v>
      </c>
      <c r="S63" s="5"/>
      <c r="T63" s="62"/>
      <c r="U63" s="7">
        <f t="shared" si="20"/>
        <v>358.40581205334138</v>
      </c>
    </row>
    <row r="64" spans="1:21">
      <c r="A64" s="3">
        <v>39</v>
      </c>
      <c r="B64" s="64">
        <v>239.00896198118832</v>
      </c>
      <c r="C64" s="64">
        <v>124.79514912502061</v>
      </c>
      <c r="D64" s="64">
        <f t="shared" si="18"/>
        <v>363.80411110620895</v>
      </c>
      <c r="E64" s="65">
        <f t="shared" si="13"/>
        <v>11.5</v>
      </c>
      <c r="F64" s="66">
        <f t="shared" si="14"/>
        <v>10</v>
      </c>
      <c r="G64" s="67">
        <f t="shared" si="4"/>
        <v>227.50896198118832</v>
      </c>
      <c r="H64" s="69">
        <f t="shared" si="19"/>
        <v>353.80411110620895</v>
      </c>
      <c r="I64" s="63">
        <f t="shared" si="15"/>
        <v>-4.6017009471324286</v>
      </c>
      <c r="J64" s="3">
        <v>39</v>
      </c>
      <c r="K64" s="64">
        <f t="shared" si="5"/>
        <v>239.00896198118832</v>
      </c>
      <c r="L64" s="64">
        <f t="shared" si="17"/>
        <v>123.65404726302498</v>
      </c>
      <c r="M64" s="64">
        <f t="shared" si="7"/>
        <v>362.6630092442133</v>
      </c>
      <c r="N64" s="65">
        <f t="shared" si="8"/>
        <v>11.5</v>
      </c>
      <c r="O64" s="66">
        <f t="shared" si="9"/>
        <v>10</v>
      </c>
      <c r="P64" s="67">
        <f t="shared" si="10"/>
        <v>227.50896198118832</v>
      </c>
      <c r="Q64" s="71">
        <f t="shared" si="11"/>
        <v>352.6630092442133</v>
      </c>
      <c r="R64" s="70">
        <f t="shared" si="21"/>
        <v>6.2679095133905829</v>
      </c>
      <c r="S64" s="5"/>
      <c r="T64" s="62"/>
      <c r="U64" s="7">
        <f t="shared" si="20"/>
        <v>353.80411110620895</v>
      </c>
    </row>
    <row r="65" spans="1:21">
      <c r="A65" s="3">
        <v>40</v>
      </c>
      <c r="B65" s="64">
        <v>235.84417135637517</v>
      </c>
      <c r="C65" s="64">
        <v>123.14269846083123</v>
      </c>
      <c r="D65" s="64">
        <f t="shared" si="18"/>
        <v>358.98686981720641</v>
      </c>
      <c r="E65" s="65">
        <f t="shared" si="13"/>
        <v>11.5</v>
      </c>
      <c r="F65" s="66">
        <f t="shared" si="14"/>
        <v>10</v>
      </c>
      <c r="G65" s="67">
        <f t="shared" si="4"/>
        <v>224.34417135637517</v>
      </c>
      <c r="H65" s="69">
        <f t="shared" si="19"/>
        <v>348.98686981720641</v>
      </c>
      <c r="I65" s="63">
        <f t="shared" si="15"/>
        <v>-4.8172412890025385</v>
      </c>
      <c r="J65" s="3">
        <v>40</v>
      </c>
      <c r="K65" s="64">
        <f t="shared" si="5"/>
        <v>235.84417135637517</v>
      </c>
      <c r="L65" s="64">
        <f t="shared" si="17"/>
        <v>122.01713334030353</v>
      </c>
      <c r="M65" s="64">
        <f t="shared" si="7"/>
        <v>357.8613046966787</v>
      </c>
      <c r="N65" s="65">
        <f t="shared" si="8"/>
        <v>11.5</v>
      </c>
      <c r="O65" s="66">
        <f t="shared" si="9"/>
        <v>10</v>
      </c>
      <c r="P65" s="67">
        <f t="shared" si="10"/>
        <v>224.34417135637517</v>
      </c>
      <c r="Q65" s="71">
        <f t="shared" si="11"/>
        <v>347.8613046966787</v>
      </c>
      <c r="R65" s="70">
        <f>(R64*U65)/U64</f>
        <v>6.1825684120415003</v>
      </c>
      <c r="S65" s="5"/>
      <c r="T65" s="62"/>
      <c r="U65" s="7">
        <f t="shared" si="20"/>
        <v>348.98686981720641</v>
      </c>
    </row>
    <row r="66" spans="1:21">
      <c r="I66" s="63">
        <f>AVERAGE(I6:I65)</f>
        <v>-1.4086289854339933</v>
      </c>
    </row>
    <row r="69" spans="1:21">
      <c r="C69" s="10"/>
    </row>
  </sheetData>
  <mergeCells count="10">
    <mergeCell ref="A1:H1"/>
    <mergeCell ref="J1:R1"/>
    <mergeCell ref="B3:D3"/>
    <mergeCell ref="K3:M3"/>
    <mergeCell ref="J3:J4"/>
    <mergeCell ref="A3:A4"/>
    <mergeCell ref="E3:F3"/>
    <mergeCell ref="G3:H3"/>
    <mergeCell ref="N3:O3"/>
    <mergeCell ref="P3:Q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7" fitToWidth="0" orientation="portrait" r:id="rId1"/>
  <rowBreaks count="1" manualBreakCount="1">
    <brk id="55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65"/>
  <sheetViews>
    <sheetView zoomScale="85" zoomScaleNormal="85" workbookViewId="0">
      <selection activeCell="B34" sqref="B34"/>
    </sheetView>
  </sheetViews>
  <sheetFormatPr defaultRowHeight="16.5"/>
  <cols>
    <col min="1" max="9" width="9" style="72" customWidth="1"/>
    <col min="10" max="10" width="5.375" style="72" customWidth="1"/>
    <col min="11" max="19" width="9" style="72" customWidth="1"/>
    <col min="20" max="20" width="7.875" style="72" customWidth="1"/>
    <col min="21" max="29" width="9" style="72" customWidth="1"/>
    <col min="30" max="30" width="7.875" style="72" customWidth="1"/>
    <col min="31" max="39" width="9" style="72" customWidth="1"/>
    <col min="40" max="40" width="7.875" style="72" customWidth="1"/>
    <col min="41" max="41" width="11" style="72" customWidth="1"/>
    <col min="42" max="43" width="9" style="72" customWidth="1"/>
    <col min="44" max="44" width="9" style="72"/>
    <col min="45" max="45" width="9" style="72" customWidth="1"/>
    <col min="46" max="16384" width="9" style="72"/>
  </cols>
  <sheetData>
    <row r="1" spans="1:49">
      <c r="A1" s="125" t="s">
        <v>40</v>
      </c>
      <c r="B1" s="125"/>
      <c r="C1" s="125"/>
      <c r="D1" s="125"/>
      <c r="E1" s="125"/>
      <c r="F1" s="125"/>
      <c r="G1" s="125"/>
      <c r="H1" s="125"/>
      <c r="I1" s="125"/>
      <c r="K1" s="125" t="s">
        <v>41</v>
      </c>
      <c r="L1" s="125"/>
      <c r="M1" s="125"/>
      <c r="N1" s="125"/>
      <c r="O1" s="125"/>
      <c r="P1" s="125"/>
      <c r="Q1" s="125"/>
      <c r="R1" s="125"/>
      <c r="S1" s="125"/>
      <c r="U1" s="125" t="s">
        <v>42</v>
      </c>
      <c r="V1" s="125"/>
      <c r="W1" s="125"/>
      <c r="X1" s="125"/>
      <c r="Y1" s="125"/>
      <c r="Z1" s="125"/>
      <c r="AA1" s="125"/>
      <c r="AB1" s="125"/>
      <c r="AC1" s="125"/>
      <c r="AE1" s="125" t="s">
        <v>43</v>
      </c>
      <c r="AF1" s="125"/>
      <c r="AG1" s="125"/>
      <c r="AH1" s="125"/>
      <c r="AI1" s="125"/>
      <c r="AJ1" s="125"/>
      <c r="AK1" s="125"/>
      <c r="AL1" s="125"/>
      <c r="AM1" s="125"/>
    </row>
    <row r="2" spans="1:49">
      <c r="A2" s="73"/>
      <c r="B2" s="73"/>
      <c r="C2" s="73"/>
      <c r="D2" s="73"/>
      <c r="E2" s="73"/>
      <c r="F2" s="73"/>
      <c r="G2" s="73"/>
      <c r="H2" s="73"/>
      <c r="I2" s="73"/>
      <c r="K2" s="73"/>
      <c r="L2" s="73"/>
      <c r="M2" s="73"/>
      <c r="N2" s="73"/>
      <c r="O2" s="73"/>
      <c r="P2" s="73"/>
      <c r="Q2" s="73"/>
      <c r="R2" s="73"/>
      <c r="S2" s="73"/>
      <c r="U2" s="73"/>
      <c r="V2" s="73"/>
      <c r="W2" s="73"/>
      <c r="X2" s="73"/>
      <c r="Y2" s="73"/>
      <c r="Z2" s="73"/>
      <c r="AA2" s="73"/>
      <c r="AB2" s="73"/>
      <c r="AC2" s="73"/>
      <c r="AE2" s="73"/>
      <c r="AF2" s="73"/>
      <c r="AG2" s="73"/>
      <c r="AH2" s="73"/>
      <c r="AI2" s="73"/>
      <c r="AJ2" s="73"/>
      <c r="AK2" s="73"/>
      <c r="AL2" s="73"/>
      <c r="AM2" s="73"/>
      <c r="AR2" s="74"/>
      <c r="AS2" s="74" t="s">
        <v>27</v>
      </c>
      <c r="AT2" s="75" t="s">
        <v>28</v>
      </c>
      <c r="AU2" s="75" t="s">
        <v>29</v>
      </c>
      <c r="AV2" s="70" t="s">
        <v>44</v>
      </c>
      <c r="AW2" s="7" t="s">
        <v>31</v>
      </c>
    </row>
    <row r="3" spans="1:49" ht="27" customHeight="1">
      <c r="A3" s="126" t="s">
        <v>32</v>
      </c>
      <c r="B3" s="128" t="s">
        <v>33</v>
      </c>
      <c r="C3" s="128"/>
      <c r="D3" s="128"/>
      <c r="E3" s="129" t="s">
        <v>34</v>
      </c>
      <c r="F3" s="129"/>
      <c r="G3" s="128" t="s">
        <v>35</v>
      </c>
      <c r="H3" s="128"/>
      <c r="I3" s="76"/>
      <c r="K3" s="126" t="s">
        <v>32</v>
      </c>
      <c r="L3" s="128" t="s">
        <v>33</v>
      </c>
      <c r="M3" s="128"/>
      <c r="N3" s="128"/>
      <c r="O3" s="129" t="s">
        <v>34</v>
      </c>
      <c r="P3" s="129"/>
      <c r="Q3" s="128" t="s">
        <v>35</v>
      </c>
      <c r="R3" s="128"/>
      <c r="S3" s="76"/>
      <c r="U3" s="126" t="s">
        <v>32</v>
      </c>
      <c r="V3" s="128" t="s">
        <v>33</v>
      </c>
      <c r="W3" s="128"/>
      <c r="X3" s="128"/>
      <c r="Y3" s="129" t="s">
        <v>34</v>
      </c>
      <c r="Z3" s="129"/>
      <c r="AA3" s="128" t="s">
        <v>35</v>
      </c>
      <c r="AB3" s="128"/>
      <c r="AC3" s="76"/>
      <c r="AE3" s="126" t="s">
        <v>32</v>
      </c>
      <c r="AF3" s="128" t="s">
        <v>33</v>
      </c>
      <c r="AG3" s="128"/>
      <c r="AH3" s="128"/>
      <c r="AI3" s="129" t="s">
        <v>34</v>
      </c>
      <c r="AJ3" s="129"/>
      <c r="AK3" s="128" t="s">
        <v>35</v>
      </c>
      <c r="AL3" s="128"/>
      <c r="AM3" s="76"/>
      <c r="AR3" s="77" t="s">
        <v>6</v>
      </c>
      <c r="AS3" s="77">
        <v>450.4</v>
      </c>
      <c r="AT3" s="77"/>
      <c r="AU3" s="77"/>
      <c r="AV3" s="77"/>
    </row>
    <row r="4" spans="1:49">
      <c r="A4" s="127"/>
      <c r="B4" s="78" t="s">
        <v>13</v>
      </c>
      <c r="C4" s="78" t="s">
        <v>37</v>
      </c>
      <c r="D4" s="78" t="s">
        <v>14</v>
      </c>
      <c r="E4" s="78" t="s">
        <v>13</v>
      </c>
      <c r="F4" s="79" t="s">
        <v>14</v>
      </c>
      <c r="G4" s="79" t="s">
        <v>13</v>
      </c>
      <c r="H4" s="78" t="s">
        <v>14</v>
      </c>
      <c r="I4" s="78" t="s">
        <v>45</v>
      </c>
      <c r="K4" s="127"/>
      <c r="L4" s="78" t="s">
        <v>13</v>
      </c>
      <c r="M4" s="78" t="s">
        <v>37</v>
      </c>
      <c r="N4" s="78" t="s">
        <v>14</v>
      </c>
      <c r="O4" s="78" t="s">
        <v>13</v>
      </c>
      <c r="P4" s="79" t="s">
        <v>14</v>
      </c>
      <c r="Q4" s="79" t="s">
        <v>13</v>
      </c>
      <c r="R4" s="78" t="s">
        <v>14</v>
      </c>
      <c r="S4" s="78" t="s">
        <v>45</v>
      </c>
      <c r="U4" s="127"/>
      <c r="V4" s="78" t="s">
        <v>13</v>
      </c>
      <c r="W4" s="78" t="s">
        <v>37</v>
      </c>
      <c r="X4" s="78" t="s">
        <v>14</v>
      </c>
      <c r="Y4" s="78" t="s">
        <v>13</v>
      </c>
      <c r="Z4" s="79" t="s">
        <v>14</v>
      </c>
      <c r="AA4" s="79" t="s">
        <v>13</v>
      </c>
      <c r="AB4" s="78" t="s">
        <v>14</v>
      </c>
      <c r="AC4" s="78" t="s">
        <v>45</v>
      </c>
      <c r="AE4" s="127"/>
      <c r="AF4" s="78" t="s">
        <v>13</v>
      </c>
      <c r="AG4" s="78" t="s">
        <v>37</v>
      </c>
      <c r="AH4" s="78" t="s">
        <v>14</v>
      </c>
      <c r="AI4" s="78" t="s">
        <v>13</v>
      </c>
      <c r="AJ4" s="79" t="s">
        <v>14</v>
      </c>
      <c r="AK4" s="79" t="s">
        <v>13</v>
      </c>
      <c r="AL4" s="78" t="s">
        <v>14</v>
      </c>
      <c r="AM4" s="78" t="s">
        <v>45</v>
      </c>
      <c r="AO4" s="72" t="s">
        <v>46</v>
      </c>
      <c r="AP4" s="80" t="s">
        <v>6</v>
      </c>
      <c r="AR4" s="77" t="s">
        <v>7</v>
      </c>
      <c r="AS4" s="77"/>
      <c r="AT4" s="77">
        <v>7.69</v>
      </c>
      <c r="AU4" s="75">
        <v>0.18205461638491299</v>
      </c>
      <c r="AV4" s="77" t="s">
        <v>47</v>
      </c>
    </row>
    <row r="5" spans="1:49">
      <c r="A5" s="81">
        <v>-20</v>
      </c>
      <c r="B5" s="64">
        <f>Mode3!B5</f>
        <v>291.36992403709252</v>
      </c>
      <c r="C5" s="64">
        <f>D5-B5</f>
        <v>102.51497848575184</v>
      </c>
      <c r="D5" s="64">
        <f>H5+F5</f>
        <v>393.88490252284436</v>
      </c>
      <c r="E5" s="65">
        <f>Mode3!E5</f>
        <v>11.5</v>
      </c>
      <c r="F5" s="66">
        <f>Mode3!$F$5</f>
        <v>10</v>
      </c>
      <c r="G5" s="67">
        <f>B5-E5</f>
        <v>279.86992403709252</v>
      </c>
      <c r="H5" s="68">
        <f>AP5-I5*$AU$7*AO5</f>
        <v>383.88490252284436</v>
      </c>
      <c r="I5" s="64">
        <f>(I6*AP5)/AP6</f>
        <v>181.38690811942655</v>
      </c>
      <c r="J5" s="7"/>
      <c r="K5" s="81">
        <v>-20</v>
      </c>
      <c r="L5" s="64">
        <f>B5</f>
        <v>291.36992403709252</v>
      </c>
      <c r="M5" s="64">
        <f>N5-L5</f>
        <v>120.36958606678712</v>
      </c>
      <c r="N5" s="64">
        <f>R5+P5</f>
        <v>411.73951010387964</v>
      </c>
      <c r="O5" s="65">
        <f>$E$5</f>
        <v>11.5</v>
      </c>
      <c r="P5" s="66">
        <f>$F$5</f>
        <v>10</v>
      </c>
      <c r="Q5" s="67">
        <f>L5-O5</f>
        <v>279.86992403709252</v>
      </c>
      <c r="R5" s="68">
        <f>$AP5-S5*$AU$6*AO5</f>
        <v>401.73951010387964</v>
      </c>
      <c r="S5" s="64">
        <f>(S6*AP5)/AP6</f>
        <v>120.92460541295111</v>
      </c>
      <c r="T5" s="7"/>
      <c r="U5" s="81">
        <v>-20</v>
      </c>
      <c r="V5" s="64">
        <f>B5</f>
        <v>291.36992403709252</v>
      </c>
      <c r="W5" s="64">
        <f>X5-V5</f>
        <v>137.80924817467456</v>
      </c>
      <c r="X5" s="64">
        <f>AB5+Z5</f>
        <v>429.17917221176708</v>
      </c>
      <c r="Y5" s="65">
        <f>$E$5</f>
        <v>11.5</v>
      </c>
      <c r="Z5" s="66">
        <f>$F$5</f>
        <v>10</v>
      </c>
      <c r="AA5" s="67">
        <f>V5-Y5</f>
        <v>279.86992403709252</v>
      </c>
      <c r="AB5" s="68">
        <f>$AP5-AC5*$AU$5*AO5</f>
        <v>419.17917221176708</v>
      </c>
      <c r="AC5" s="64">
        <f>(AC6*AP5)/AP6</f>
        <v>60.462302706475555</v>
      </c>
      <c r="AD5" s="7"/>
      <c r="AE5" s="81">
        <v>-20</v>
      </c>
      <c r="AF5" s="64">
        <f>L5</f>
        <v>291.36992403709252</v>
      </c>
      <c r="AG5" s="64">
        <f>AH5-AF5</f>
        <v>146.07112148722854</v>
      </c>
      <c r="AH5" s="64">
        <f>AL5+AJ5</f>
        <v>437.44104552432105</v>
      </c>
      <c r="AI5" s="65">
        <f>$E$5</f>
        <v>11.5</v>
      </c>
      <c r="AJ5" s="66">
        <f>$F$5</f>
        <v>10</v>
      </c>
      <c r="AK5" s="67">
        <f>AF5-AI5</f>
        <v>279.86992403709252</v>
      </c>
      <c r="AL5" s="68">
        <f>$AP5-AM5*$AU$9*AO5</f>
        <v>427.44104552432105</v>
      </c>
      <c r="AM5" s="64">
        <f>(AM6*AP5)/AP6</f>
        <v>30.231151353237777</v>
      </c>
      <c r="AN5" s="7"/>
      <c r="AO5" s="72">
        <v>0.99787738254551228</v>
      </c>
      <c r="AP5" s="7">
        <f>Mode3!H5</f>
        <v>433.50460894324601</v>
      </c>
      <c r="AR5" s="82" t="s">
        <v>8</v>
      </c>
      <c r="AS5" s="82"/>
      <c r="AT5" s="82">
        <v>60</v>
      </c>
      <c r="AU5" s="83">
        <v>0.23743569449940599</v>
      </c>
      <c r="AV5" s="82" t="s">
        <v>47</v>
      </c>
    </row>
    <row r="6" spans="1:49">
      <c r="A6" s="81">
        <v>-19</v>
      </c>
      <c r="B6" s="64">
        <f>Mode3!B6</f>
        <v>292.06244158231618</v>
      </c>
      <c r="C6" s="64">
        <f t="shared" ref="C6:C65" si="0">D6-B6</f>
        <v>102.70299224733139</v>
      </c>
      <c r="D6" s="64">
        <f t="shared" ref="D6:D65" si="1">H6+F6</f>
        <v>394.76543382964758</v>
      </c>
      <c r="E6" s="65">
        <f t="shared" ref="E6:E65" si="2">$E$5</f>
        <v>11.5</v>
      </c>
      <c r="F6" s="66">
        <f>$F$5</f>
        <v>10</v>
      </c>
      <c r="G6" s="67">
        <f t="shared" ref="G6:G64" si="3">B6-E6</f>
        <v>280.56244158231618</v>
      </c>
      <c r="H6" s="71">
        <f t="shared" ref="H6:H65" si="4">AP6-I6*$AU$7*AO6</f>
        <v>384.76543382964758</v>
      </c>
      <c r="I6" s="64">
        <f t="shared" ref="I6:I39" si="5">(I7*AP6)/AP7</f>
        <v>181.8279668431112</v>
      </c>
      <c r="J6" s="7"/>
      <c r="K6" s="81">
        <v>-19</v>
      </c>
      <c r="L6" s="64">
        <f t="shared" ref="L6:L65" si="6">B6</f>
        <v>292.06244158231618</v>
      </c>
      <c r="M6" s="64">
        <f t="shared" ref="M6:M65" si="7">N6-L6</f>
        <v>120.62005695383743</v>
      </c>
      <c r="N6" s="64">
        <f t="shared" ref="N6:N65" si="8">R6+P6</f>
        <v>412.68249853615362</v>
      </c>
      <c r="O6" s="65">
        <f t="shared" ref="O6:O65" si="9">$E$5</f>
        <v>11.5</v>
      </c>
      <c r="P6" s="66">
        <f t="shared" ref="P6:P65" si="10">$F$5</f>
        <v>10</v>
      </c>
      <c r="Q6" s="67">
        <f t="shared" ref="Q6:Q64" si="11">L6-O6</f>
        <v>280.56244158231618</v>
      </c>
      <c r="R6" s="71">
        <f t="shared" ref="R6:R65" si="12">$AP6-S6*$AU$6*AO6</f>
        <v>402.68249853615362</v>
      </c>
      <c r="S6" s="64">
        <f t="shared" ref="S6:S39" si="13">(S7*AP6)/AP7</f>
        <v>121.21864456207419</v>
      </c>
      <c r="T6" s="7"/>
      <c r="U6" s="81">
        <v>-19</v>
      </c>
      <c r="V6" s="64">
        <f t="shared" ref="V6:V65" si="14">B6</f>
        <v>292.06244158231618</v>
      </c>
      <c r="W6" s="64">
        <f t="shared" ref="W6:W65" si="15">X6-V6</f>
        <v>138.12072466823258</v>
      </c>
      <c r="X6" s="64">
        <f t="shared" ref="X6:X65" si="16">AB6+Z6</f>
        <v>430.18316625054877</v>
      </c>
      <c r="Y6" s="65">
        <f t="shared" ref="Y6:Y65" si="17">$E$5</f>
        <v>11.5</v>
      </c>
      <c r="Z6" s="66">
        <f t="shared" ref="Z6:Z65" si="18">$F$5</f>
        <v>10</v>
      </c>
      <c r="AA6" s="67">
        <f t="shared" ref="AA6:AA64" si="19">V6-Y6</f>
        <v>280.56244158231618</v>
      </c>
      <c r="AB6" s="71">
        <f t="shared" ref="AB6:AB65" si="20">$AP6-AC6*$AU$5*AO6</f>
        <v>420.18316625054877</v>
      </c>
      <c r="AC6" s="64">
        <f t="shared" ref="AC6:AC39" si="21">(AC7*AP6)/AP7</f>
        <v>60.609322281037095</v>
      </c>
      <c r="AD6" s="7"/>
      <c r="AE6" s="81">
        <v>-19</v>
      </c>
      <c r="AF6" s="64">
        <f t="shared" ref="AF6:AF65" si="22">L6</f>
        <v>292.06244158231618</v>
      </c>
      <c r="AG6" s="64">
        <f t="shared" ref="AG6:AG65" si="23">AH6-AF6</f>
        <v>146.41149880404822</v>
      </c>
      <c r="AH6" s="64">
        <f t="shared" ref="AH6:AH65" si="24">AL6+AJ6</f>
        <v>438.4739403863644</v>
      </c>
      <c r="AI6" s="65">
        <f t="shared" ref="AI6:AI65" si="25">$E$5</f>
        <v>11.5</v>
      </c>
      <c r="AJ6" s="66">
        <f t="shared" ref="AJ6:AJ65" si="26">$F$5</f>
        <v>10</v>
      </c>
      <c r="AK6" s="67">
        <f t="shared" ref="AK6:AK64" si="27">AF6-AI6</f>
        <v>280.56244158231618</v>
      </c>
      <c r="AL6" s="71">
        <f t="shared" ref="AL6:AL65" si="28">$AP6-AM6*$AU$9*AO6</f>
        <v>428.4739403863644</v>
      </c>
      <c r="AM6" s="64">
        <f t="shared" ref="AM6:AM39" si="29">(AM7*AP6)/AP7</f>
        <v>30.304661140518547</v>
      </c>
      <c r="AN6" s="7"/>
      <c r="AO6" s="72">
        <v>0.99893904218541607</v>
      </c>
      <c r="AP6" s="7">
        <f>Mode3!H6</f>
        <v>434.55871473023052</v>
      </c>
      <c r="AR6" s="84" t="s">
        <v>9</v>
      </c>
      <c r="AS6" s="85"/>
      <c r="AT6" s="84">
        <v>120</v>
      </c>
      <c r="AU6" s="86">
        <v>0.26324392216238501</v>
      </c>
      <c r="AV6" s="84" t="s">
        <v>47</v>
      </c>
    </row>
    <row r="7" spans="1:49">
      <c r="A7" s="81">
        <v>-18</v>
      </c>
      <c r="B7" s="64">
        <f>Mode3!B7</f>
        <v>292.72581494626007</v>
      </c>
      <c r="C7" s="64">
        <f t="shared" si="0"/>
        <v>102.8806205425895</v>
      </c>
      <c r="D7" s="64">
        <f t="shared" si="1"/>
        <v>395.60643548884957</v>
      </c>
      <c r="E7" s="65">
        <f t="shared" si="2"/>
        <v>11.5</v>
      </c>
      <c r="F7" s="66">
        <f t="shared" ref="F7:F65" si="30">$F$5</f>
        <v>10</v>
      </c>
      <c r="G7" s="67">
        <f t="shared" si="3"/>
        <v>281.22581494626007</v>
      </c>
      <c r="H7" s="71">
        <f t="shared" si="4"/>
        <v>385.60643548884957</v>
      </c>
      <c r="I7" s="64">
        <f t="shared" si="5"/>
        <v>182.25046387765641</v>
      </c>
      <c r="J7" s="7"/>
      <c r="K7" s="81">
        <v>-18</v>
      </c>
      <c r="L7" s="64">
        <f t="shared" si="6"/>
        <v>292.72581494626007</v>
      </c>
      <c r="M7" s="64">
        <f t="shared" si="7"/>
        <v>120.85840376890184</v>
      </c>
      <c r="N7" s="64">
        <f t="shared" si="8"/>
        <v>413.58421871516191</v>
      </c>
      <c r="O7" s="65">
        <f t="shared" si="9"/>
        <v>11.5</v>
      </c>
      <c r="P7" s="66">
        <f t="shared" si="10"/>
        <v>10</v>
      </c>
      <c r="Q7" s="67">
        <f t="shared" si="11"/>
        <v>281.22581494626007</v>
      </c>
      <c r="R7" s="71">
        <f t="shared" si="12"/>
        <v>403.58421871516191</v>
      </c>
      <c r="S7" s="64">
        <f t="shared" si="13"/>
        <v>121.50030925177099</v>
      </c>
      <c r="T7" s="7"/>
      <c r="U7" s="81">
        <v>-18</v>
      </c>
      <c r="V7" s="64">
        <f t="shared" si="14"/>
        <v>292.72581494626007</v>
      </c>
      <c r="W7" s="64">
        <f t="shared" si="15"/>
        <v>138.41837888976386</v>
      </c>
      <c r="X7" s="64">
        <f t="shared" si="16"/>
        <v>431.14419383602393</v>
      </c>
      <c r="Y7" s="65">
        <f t="shared" si="17"/>
        <v>11.5</v>
      </c>
      <c r="Z7" s="66">
        <f t="shared" si="18"/>
        <v>10</v>
      </c>
      <c r="AA7" s="67">
        <f t="shared" si="19"/>
        <v>281.22581494626007</v>
      </c>
      <c r="AB7" s="71">
        <f t="shared" si="20"/>
        <v>421.14419383602393</v>
      </c>
      <c r="AC7" s="64">
        <f t="shared" si="21"/>
        <v>60.750154625885493</v>
      </c>
      <c r="AD7" s="7"/>
      <c r="AE7" s="81">
        <v>-18</v>
      </c>
      <c r="AF7" s="64">
        <f t="shared" si="22"/>
        <v>292.72581494626007</v>
      </c>
      <c r="AG7" s="64">
        <f t="shared" si="23"/>
        <v>146.73724934279562</v>
      </c>
      <c r="AH7" s="64">
        <f t="shared" si="24"/>
        <v>439.46306428905569</v>
      </c>
      <c r="AI7" s="65">
        <f t="shared" si="25"/>
        <v>11.5</v>
      </c>
      <c r="AJ7" s="66">
        <f t="shared" si="26"/>
        <v>10</v>
      </c>
      <c r="AK7" s="67">
        <f t="shared" si="27"/>
        <v>281.22581494626007</v>
      </c>
      <c r="AL7" s="71">
        <f t="shared" si="28"/>
        <v>429.46306428905569</v>
      </c>
      <c r="AM7" s="64">
        <f t="shared" si="29"/>
        <v>30.375077312942746</v>
      </c>
      <c r="AN7" s="7"/>
      <c r="AO7" s="72">
        <v>1.0000007018253199</v>
      </c>
      <c r="AP7" s="7">
        <f>Mode3!H7</f>
        <v>435.56845911387484</v>
      </c>
      <c r="AR7" s="87" t="s">
        <v>10</v>
      </c>
      <c r="AS7" s="88"/>
      <c r="AT7" s="87">
        <v>180</v>
      </c>
      <c r="AU7" s="89">
        <v>0.27413915716546999</v>
      </c>
      <c r="AV7" s="87" t="s">
        <v>47</v>
      </c>
    </row>
    <row r="8" spans="1:49">
      <c r="A8" s="81">
        <v>-17</v>
      </c>
      <c r="B8" s="64">
        <f>Mode3!B8</f>
        <v>293.3727998244043</v>
      </c>
      <c r="C8" s="64">
        <f t="shared" si="0"/>
        <v>103.05231031242948</v>
      </c>
      <c r="D8" s="64">
        <f t="shared" si="1"/>
        <v>396.42511013683378</v>
      </c>
      <c r="E8" s="65">
        <f t="shared" si="2"/>
        <v>11.5</v>
      </c>
      <c r="F8" s="66">
        <f t="shared" si="30"/>
        <v>10</v>
      </c>
      <c r="G8" s="67">
        <f t="shared" si="3"/>
        <v>281.8727998244043</v>
      </c>
      <c r="H8" s="71">
        <f t="shared" si="4"/>
        <v>386.42511013683378</v>
      </c>
      <c r="I8" s="64">
        <f t="shared" si="5"/>
        <v>182.66252322050727</v>
      </c>
      <c r="J8" s="7"/>
      <c r="K8" s="81">
        <v>-17</v>
      </c>
      <c r="L8" s="64">
        <f t="shared" si="6"/>
        <v>293.3727998244043</v>
      </c>
      <c r="M8" s="64">
        <f t="shared" si="7"/>
        <v>121.08986984976713</v>
      </c>
      <c r="N8" s="64">
        <f t="shared" si="8"/>
        <v>414.46266967417142</v>
      </c>
      <c r="O8" s="65">
        <f t="shared" si="9"/>
        <v>11.5</v>
      </c>
      <c r="P8" s="66">
        <f t="shared" si="10"/>
        <v>10</v>
      </c>
      <c r="Q8" s="67">
        <f t="shared" si="11"/>
        <v>281.8727998244043</v>
      </c>
      <c r="R8" s="71">
        <f t="shared" si="12"/>
        <v>404.46266967417142</v>
      </c>
      <c r="S8" s="64">
        <f t="shared" si="13"/>
        <v>121.77501548033823</v>
      </c>
      <c r="T8" s="7"/>
      <c r="U8" s="81">
        <v>-17</v>
      </c>
      <c r="V8" s="64">
        <f t="shared" si="14"/>
        <v>293.3727998244043</v>
      </c>
      <c r="W8" s="64">
        <f t="shared" si="15"/>
        <v>138.70823206547874</v>
      </c>
      <c r="X8" s="64">
        <f t="shared" si="16"/>
        <v>432.08103188988304</v>
      </c>
      <c r="Y8" s="65">
        <f t="shared" si="17"/>
        <v>11.5</v>
      </c>
      <c r="Z8" s="66">
        <f t="shared" si="18"/>
        <v>10</v>
      </c>
      <c r="AA8" s="67">
        <f t="shared" si="19"/>
        <v>281.8727998244043</v>
      </c>
      <c r="AB8" s="71">
        <f t="shared" si="20"/>
        <v>422.08103188988304</v>
      </c>
      <c r="AC8" s="64">
        <f t="shared" si="21"/>
        <v>60.887507740169113</v>
      </c>
      <c r="AD8" s="7"/>
      <c r="AE8" s="81">
        <v>-17</v>
      </c>
      <c r="AF8" s="64">
        <f t="shared" si="22"/>
        <v>293.3727998244043</v>
      </c>
      <c r="AG8" s="64">
        <f t="shared" si="23"/>
        <v>147.05476284689024</v>
      </c>
      <c r="AH8" s="64">
        <f t="shared" si="24"/>
        <v>440.42756267129454</v>
      </c>
      <c r="AI8" s="65">
        <f t="shared" si="25"/>
        <v>11.5</v>
      </c>
      <c r="AJ8" s="66">
        <f t="shared" si="26"/>
        <v>10</v>
      </c>
      <c r="AK8" s="67">
        <f t="shared" si="27"/>
        <v>281.8727998244043</v>
      </c>
      <c r="AL8" s="71">
        <f t="shared" si="28"/>
        <v>430.42756267129454</v>
      </c>
      <c r="AM8" s="64">
        <f t="shared" si="29"/>
        <v>30.443753870084556</v>
      </c>
      <c r="AN8" s="7"/>
      <c r="AO8" s="72">
        <v>1.0010623614652236</v>
      </c>
      <c r="AP8" s="7">
        <f>Mode3!H8</f>
        <v>436.55325799564616</v>
      </c>
      <c r="AR8" s="90" t="s">
        <v>11</v>
      </c>
      <c r="AS8" s="90"/>
      <c r="AT8" s="90">
        <v>240</v>
      </c>
      <c r="AU8" s="91">
        <v>0.28388928317955997</v>
      </c>
      <c r="AV8" s="90" t="s">
        <v>47</v>
      </c>
    </row>
    <row r="9" spans="1:49">
      <c r="A9" s="81">
        <v>-16</v>
      </c>
      <c r="B9" s="64">
        <f>Mode3!B9</f>
        <v>293.96220439095146</v>
      </c>
      <c r="C9" s="64">
        <f t="shared" si="0"/>
        <v>103.20377018500074</v>
      </c>
      <c r="D9" s="64">
        <f t="shared" si="1"/>
        <v>397.16597457595219</v>
      </c>
      <c r="E9" s="65">
        <f t="shared" si="2"/>
        <v>11.5</v>
      </c>
      <c r="F9" s="66">
        <f t="shared" si="30"/>
        <v>10</v>
      </c>
      <c r="G9" s="67">
        <f t="shared" si="3"/>
        <v>282.46220439095146</v>
      </c>
      <c r="H9" s="71">
        <f t="shared" si="4"/>
        <v>387.16597457595219</v>
      </c>
      <c r="I9" s="64">
        <f t="shared" si="5"/>
        <v>183.03791013690844</v>
      </c>
      <c r="J9" s="7"/>
      <c r="K9" s="81">
        <v>-16</v>
      </c>
      <c r="L9" s="64">
        <f t="shared" si="6"/>
        <v>293.96220439095146</v>
      </c>
      <c r="M9" s="64">
        <f t="shared" si="7"/>
        <v>121.29756717017131</v>
      </c>
      <c r="N9" s="64">
        <f t="shared" si="8"/>
        <v>415.25977156112276</v>
      </c>
      <c r="O9" s="65">
        <f t="shared" si="9"/>
        <v>11.5</v>
      </c>
      <c r="P9" s="66">
        <f t="shared" si="10"/>
        <v>10</v>
      </c>
      <c r="Q9" s="67">
        <f t="shared" si="11"/>
        <v>282.46220439095146</v>
      </c>
      <c r="R9" s="71">
        <f t="shared" si="12"/>
        <v>405.25977156112276</v>
      </c>
      <c r="S9" s="64">
        <f t="shared" si="13"/>
        <v>122.02527342460567</v>
      </c>
      <c r="T9" s="7"/>
      <c r="U9" s="81">
        <v>-16</v>
      </c>
      <c r="V9" s="64">
        <f t="shared" si="14"/>
        <v>293.96220439095146</v>
      </c>
      <c r="W9" s="64">
        <f t="shared" si="15"/>
        <v>138.97085986159152</v>
      </c>
      <c r="X9" s="64">
        <f t="shared" si="16"/>
        <v>432.93306425254298</v>
      </c>
      <c r="Y9" s="65">
        <f t="shared" si="17"/>
        <v>11.5</v>
      </c>
      <c r="Z9" s="66">
        <f t="shared" si="18"/>
        <v>10</v>
      </c>
      <c r="AA9" s="67">
        <f t="shared" si="19"/>
        <v>282.46220439095146</v>
      </c>
      <c r="AB9" s="71">
        <f t="shared" si="20"/>
        <v>422.93306425254298</v>
      </c>
      <c r="AC9" s="64">
        <f t="shared" si="21"/>
        <v>61.012636712302836</v>
      </c>
      <c r="AD9" s="7"/>
      <c r="AE9" s="81">
        <v>-16</v>
      </c>
      <c r="AF9" s="64">
        <f t="shared" si="22"/>
        <v>293.96220439095146</v>
      </c>
      <c r="AG9" s="64">
        <f t="shared" si="23"/>
        <v>147.3434134310877</v>
      </c>
      <c r="AH9" s="64">
        <f t="shared" si="24"/>
        <v>441.30561782203915</v>
      </c>
      <c r="AI9" s="65">
        <f t="shared" si="25"/>
        <v>11.5</v>
      </c>
      <c r="AJ9" s="66">
        <f t="shared" si="26"/>
        <v>10</v>
      </c>
      <c r="AK9" s="67">
        <f t="shared" si="27"/>
        <v>282.46220439095146</v>
      </c>
      <c r="AL9" s="71">
        <f t="shared" si="28"/>
        <v>431.30561782203915</v>
      </c>
      <c r="AM9" s="64">
        <f t="shared" si="29"/>
        <v>30.506318356151418</v>
      </c>
      <c r="AN9" s="7"/>
      <c r="AO9" s="72">
        <v>1.0021240211051274</v>
      </c>
      <c r="AP9" s="7">
        <f>Mode3!H9</f>
        <v>437.45041182049528</v>
      </c>
      <c r="AR9" s="84" t="s">
        <v>48</v>
      </c>
      <c r="AS9" s="85"/>
      <c r="AT9" s="84">
        <v>30</v>
      </c>
      <c r="AU9" s="86">
        <v>0.20100000000000001</v>
      </c>
      <c r="AV9" s="84" t="s">
        <v>49</v>
      </c>
    </row>
    <row r="10" spans="1:49">
      <c r="A10" s="81">
        <v>-15</v>
      </c>
      <c r="B10" s="64">
        <f>Mode3!B10</f>
        <v>294.50768393946197</v>
      </c>
      <c r="C10" s="64">
        <f t="shared" si="0"/>
        <v>103.33977033027907</v>
      </c>
      <c r="D10" s="64">
        <f t="shared" si="1"/>
        <v>397.84745426974104</v>
      </c>
      <c r="E10" s="65">
        <f t="shared" si="2"/>
        <v>11.5</v>
      </c>
      <c r="F10" s="66">
        <f t="shared" si="30"/>
        <v>10</v>
      </c>
      <c r="G10" s="67">
        <f t="shared" si="3"/>
        <v>283.00768393946197</v>
      </c>
      <c r="H10" s="71">
        <f t="shared" si="4"/>
        <v>387.84745426974104</v>
      </c>
      <c r="I10" s="64">
        <f t="shared" si="5"/>
        <v>183.3853215709168</v>
      </c>
      <c r="J10" s="7"/>
      <c r="K10" s="81">
        <v>-15</v>
      </c>
      <c r="L10" s="64">
        <f t="shared" si="6"/>
        <v>294.50768393946197</v>
      </c>
      <c r="M10" s="64">
        <f t="shared" si="7"/>
        <v>121.48711500592276</v>
      </c>
      <c r="N10" s="64">
        <f t="shared" si="8"/>
        <v>415.99479894538473</v>
      </c>
      <c r="O10" s="65">
        <f t="shared" si="9"/>
        <v>11.5</v>
      </c>
      <c r="P10" s="66">
        <f t="shared" si="10"/>
        <v>10</v>
      </c>
      <c r="Q10" s="67">
        <f t="shared" si="11"/>
        <v>283.00768393946197</v>
      </c>
      <c r="R10" s="71">
        <f t="shared" si="12"/>
        <v>405.99479894538473</v>
      </c>
      <c r="S10" s="64">
        <f t="shared" si="13"/>
        <v>122.25688104727791</v>
      </c>
      <c r="T10" s="7"/>
      <c r="U10" s="81">
        <v>-15</v>
      </c>
      <c r="V10" s="64">
        <f t="shared" si="14"/>
        <v>294.50768393946197</v>
      </c>
      <c r="W10" s="64">
        <f t="shared" si="15"/>
        <v>139.21271092631457</v>
      </c>
      <c r="X10" s="64">
        <f t="shared" si="16"/>
        <v>433.72039486577654</v>
      </c>
      <c r="Y10" s="65">
        <f t="shared" si="17"/>
        <v>11.5</v>
      </c>
      <c r="Z10" s="66">
        <f t="shared" si="18"/>
        <v>10</v>
      </c>
      <c r="AA10" s="67">
        <f t="shared" si="19"/>
        <v>283.00768393946197</v>
      </c>
      <c r="AB10" s="71">
        <f t="shared" si="20"/>
        <v>423.72039486577654</v>
      </c>
      <c r="AC10" s="64">
        <f t="shared" si="21"/>
        <v>61.128440523638957</v>
      </c>
      <c r="AD10" s="7"/>
      <c r="AE10" s="81">
        <v>-15</v>
      </c>
      <c r="AF10" s="64">
        <f t="shared" si="22"/>
        <v>294.50768393946197</v>
      </c>
      <c r="AG10" s="64">
        <f t="shared" si="23"/>
        <v>147.61004265085347</v>
      </c>
      <c r="AH10" s="64">
        <f t="shared" si="24"/>
        <v>442.11772659031544</v>
      </c>
      <c r="AI10" s="65">
        <f t="shared" si="25"/>
        <v>11.5</v>
      </c>
      <c r="AJ10" s="66">
        <f t="shared" si="26"/>
        <v>10</v>
      </c>
      <c r="AK10" s="67">
        <f t="shared" si="27"/>
        <v>283.00768393946197</v>
      </c>
      <c r="AL10" s="71">
        <f t="shared" si="28"/>
        <v>432.11772659031544</v>
      </c>
      <c r="AM10" s="64">
        <f t="shared" si="29"/>
        <v>30.564220261819479</v>
      </c>
      <c r="AN10" s="7"/>
      <c r="AO10" s="72">
        <v>1.0031856807450312</v>
      </c>
      <c r="AP10" s="7">
        <f>Mode3!H10</f>
        <v>438.28070580038411</v>
      </c>
    </row>
    <row r="11" spans="1:49">
      <c r="A11" s="81">
        <v>-14</v>
      </c>
      <c r="B11" s="64">
        <f>Mode3!B11</f>
        <v>295.07676206989032</v>
      </c>
      <c r="C11" s="64">
        <f t="shared" si="0"/>
        <v>103.4837521773515</v>
      </c>
      <c r="D11" s="64">
        <f t="shared" si="1"/>
        <v>398.56051424724183</v>
      </c>
      <c r="E11" s="65">
        <f t="shared" si="2"/>
        <v>11.5</v>
      </c>
      <c r="F11" s="66">
        <f t="shared" si="30"/>
        <v>10</v>
      </c>
      <c r="G11" s="67">
        <f t="shared" si="3"/>
        <v>283.57676206989032</v>
      </c>
      <c r="H11" s="71">
        <f t="shared" si="4"/>
        <v>388.56051424724183</v>
      </c>
      <c r="I11" s="64">
        <f t="shared" si="5"/>
        <v>183.74776274748302</v>
      </c>
      <c r="J11" s="7"/>
      <c r="K11" s="81">
        <v>-14</v>
      </c>
      <c r="L11" s="64">
        <f t="shared" si="6"/>
        <v>295.07676206989032</v>
      </c>
      <c r="M11" s="64">
        <f t="shared" si="7"/>
        <v>121.68620618821797</v>
      </c>
      <c r="N11" s="64">
        <f t="shared" si="8"/>
        <v>416.76296825810829</v>
      </c>
      <c r="O11" s="65">
        <f t="shared" si="9"/>
        <v>11.5</v>
      </c>
      <c r="P11" s="66">
        <f t="shared" si="10"/>
        <v>10</v>
      </c>
      <c r="Q11" s="67">
        <f t="shared" si="11"/>
        <v>283.57676206989032</v>
      </c>
      <c r="R11" s="71">
        <f t="shared" si="12"/>
        <v>406.76296825810829</v>
      </c>
      <c r="S11" s="64">
        <f t="shared" si="13"/>
        <v>122.49850849832207</v>
      </c>
      <c r="T11" s="7"/>
      <c r="U11" s="81">
        <v>-14</v>
      </c>
      <c r="V11" s="64">
        <f t="shared" si="14"/>
        <v>295.07676206989032</v>
      </c>
      <c r="W11" s="64">
        <f t="shared" si="15"/>
        <v>139.46563068932278</v>
      </c>
      <c r="X11" s="64">
        <f t="shared" si="16"/>
        <v>434.5423927592131</v>
      </c>
      <c r="Y11" s="65">
        <f t="shared" si="17"/>
        <v>11.5</v>
      </c>
      <c r="Z11" s="66">
        <f t="shared" si="18"/>
        <v>10</v>
      </c>
      <c r="AA11" s="67">
        <f t="shared" si="19"/>
        <v>283.57676206989032</v>
      </c>
      <c r="AB11" s="71">
        <f t="shared" si="20"/>
        <v>424.5423927592131</v>
      </c>
      <c r="AC11" s="64">
        <f t="shared" si="21"/>
        <v>61.249254249161034</v>
      </c>
      <c r="AD11" s="7"/>
      <c r="AE11" s="81">
        <v>-14</v>
      </c>
      <c r="AF11" s="64">
        <f t="shared" si="22"/>
        <v>295.07676206989032</v>
      </c>
      <c r="AG11" s="64">
        <f t="shared" si="23"/>
        <v>147.88846318971923</v>
      </c>
      <c r="AH11" s="64">
        <f t="shared" si="24"/>
        <v>442.96522525960955</v>
      </c>
      <c r="AI11" s="65">
        <f t="shared" si="25"/>
        <v>11.5</v>
      </c>
      <c r="AJ11" s="66">
        <f t="shared" si="26"/>
        <v>10</v>
      </c>
      <c r="AK11" s="67">
        <f t="shared" si="27"/>
        <v>283.57676206989032</v>
      </c>
      <c r="AL11" s="71">
        <f t="shared" si="28"/>
        <v>432.96522525960955</v>
      </c>
      <c r="AM11" s="64">
        <f t="shared" si="29"/>
        <v>30.624627124580517</v>
      </c>
      <c r="AN11" s="7"/>
      <c r="AO11" s="72">
        <v>1.004247340384935</v>
      </c>
      <c r="AP11" s="7">
        <f>Mode3!H11</f>
        <v>439.14692002797779</v>
      </c>
      <c r="AU11" s="92"/>
    </row>
    <row r="12" spans="1:49">
      <c r="A12" s="81">
        <v>-13</v>
      </c>
      <c r="B12" s="64">
        <f>Mode3!B12</f>
        <v>295.57239094327417</v>
      </c>
      <c r="C12" s="64">
        <f t="shared" si="0"/>
        <v>103.6020646627361</v>
      </c>
      <c r="D12" s="64">
        <f t="shared" si="1"/>
        <v>399.17445560601027</v>
      </c>
      <c r="E12" s="65">
        <f t="shared" si="2"/>
        <v>11.5</v>
      </c>
      <c r="F12" s="66">
        <f t="shared" si="30"/>
        <v>10</v>
      </c>
      <c r="G12" s="67">
        <f t="shared" si="3"/>
        <v>284.07239094327417</v>
      </c>
      <c r="H12" s="71">
        <f t="shared" si="4"/>
        <v>389.17445560601027</v>
      </c>
      <c r="I12" s="64">
        <f t="shared" si="5"/>
        <v>184.06342469687857</v>
      </c>
      <c r="J12" s="7"/>
      <c r="K12" s="81">
        <v>-13</v>
      </c>
      <c r="L12" s="64">
        <f t="shared" si="6"/>
        <v>295.57239094327417</v>
      </c>
      <c r="M12" s="64">
        <f t="shared" si="7"/>
        <v>121.85506497128529</v>
      </c>
      <c r="N12" s="64">
        <f t="shared" si="8"/>
        <v>417.42745591455946</v>
      </c>
      <c r="O12" s="65">
        <f t="shared" si="9"/>
        <v>11.5</v>
      </c>
      <c r="P12" s="66">
        <f t="shared" si="10"/>
        <v>10</v>
      </c>
      <c r="Q12" s="67">
        <f t="shared" si="11"/>
        <v>284.07239094327417</v>
      </c>
      <c r="R12" s="71">
        <f t="shared" si="12"/>
        <v>407.42745591455946</v>
      </c>
      <c r="S12" s="64">
        <f t="shared" si="13"/>
        <v>122.7089497979191</v>
      </c>
      <c r="T12" s="7"/>
      <c r="U12" s="81">
        <v>-13</v>
      </c>
      <c r="V12" s="64">
        <f t="shared" si="14"/>
        <v>295.57239094327417</v>
      </c>
      <c r="W12" s="64">
        <f t="shared" si="15"/>
        <v>139.68386106167827</v>
      </c>
      <c r="X12" s="64">
        <f t="shared" si="16"/>
        <v>435.25625200495244</v>
      </c>
      <c r="Y12" s="65">
        <f t="shared" si="17"/>
        <v>11.5</v>
      </c>
      <c r="Z12" s="66">
        <f t="shared" si="18"/>
        <v>10</v>
      </c>
      <c r="AA12" s="67">
        <f t="shared" si="19"/>
        <v>284.07239094327417</v>
      </c>
      <c r="AB12" s="71">
        <f t="shared" si="20"/>
        <v>425.25625200495244</v>
      </c>
      <c r="AC12" s="64">
        <f t="shared" si="21"/>
        <v>61.354474898959552</v>
      </c>
      <c r="AD12" s="7"/>
      <c r="AE12" s="81">
        <v>-13</v>
      </c>
      <c r="AF12" s="64">
        <f t="shared" si="22"/>
        <v>295.57239094327417</v>
      </c>
      <c r="AG12" s="64">
        <f t="shared" si="23"/>
        <v>148.130082880825</v>
      </c>
      <c r="AH12" s="64">
        <f t="shared" si="24"/>
        <v>443.70247382409917</v>
      </c>
      <c r="AI12" s="65">
        <f t="shared" si="25"/>
        <v>11.5</v>
      </c>
      <c r="AJ12" s="66">
        <f t="shared" si="26"/>
        <v>10</v>
      </c>
      <c r="AK12" s="67">
        <f t="shared" si="27"/>
        <v>284.07239094327417</v>
      </c>
      <c r="AL12" s="71">
        <f t="shared" si="28"/>
        <v>433.70247382409917</v>
      </c>
      <c r="AM12" s="64">
        <f t="shared" si="29"/>
        <v>30.677237449479776</v>
      </c>
      <c r="AN12" s="7"/>
      <c r="AO12" s="72">
        <v>1.0053090000248388</v>
      </c>
      <c r="AP12" s="7">
        <f>Mode3!H12</f>
        <v>439.90133450777523</v>
      </c>
    </row>
    <row r="13" spans="1:49">
      <c r="A13" s="81">
        <v>-12</v>
      </c>
      <c r="B13" s="64">
        <f>Mode3!B13</f>
        <v>295.95408495361971</v>
      </c>
      <c r="C13" s="64">
        <f t="shared" si="0"/>
        <v>103.68072334037868</v>
      </c>
      <c r="D13" s="64">
        <f t="shared" si="1"/>
        <v>399.63480829399839</v>
      </c>
      <c r="E13" s="65">
        <f t="shared" si="2"/>
        <v>11.5</v>
      </c>
      <c r="F13" s="66">
        <f t="shared" si="30"/>
        <v>10</v>
      </c>
      <c r="G13" s="67">
        <f t="shared" si="3"/>
        <v>284.45408495361971</v>
      </c>
      <c r="H13" s="71">
        <f t="shared" si="4"/>
        <v>389.63480829399839</v>
      </c>
      <c r="I13" s="64">
        <f t="shared" si="5"/>
        <v>184.30652246992736</v>
      </c>
      <c r="J13" s="7"/>
      <c r="K13" s="81">
        <v>-12</v>
      </c>
      <c r="L13" s="64">
        <f t="shared" si="6"/>
        <v>295.95408495361971</v>
      </c>
      <c r="M13" s="64">
        <f t="shared" si="7"/>
        <v>121.9771324981653</v>
      </c>
      <c r="N13" s="64">
        <f t="shared" si="8"/>
        <v>417.93121745178502</v>
      </c>
      <c r="O13" s="65">
        <f t="shared" si="9"/>
        <v>11.5</v>
      </c>
      <c r="P13" s="66">
        <f t="shared" si="10"/>
        <v>10</v>
      </c>
      <c r="Q13" s="67">
        <f t="shared" si="11"/>
        <v>284.45408495361971</v>
      </c>
      <c r="R13" s="71">
        <f t="shared" si="12"/>
        <v>407.93121745178502</v>
      </c>
      <c r="S13" s="64">
        <f t="shared" si="13"/>
        <v>122.87101497995162</v>
      </c>
      <c r="T13" s="7"/>
      <c r="U13" s="81">
        <v>-12</v>
      </c>
      <c r="V13" s="64">
        <f t="shared" si="14"/>
        <v>295.95408495361971</v>
      </c>
      <c r="W13" s="64">
        <f t="shared" si="15"/>
        <v>139.84832860545907</v>
      </c>
      <c r="X13" s="64">
        <f t="shared" si="16"/>
        <v>435.80241355907879</v>
      </c>
      <c r="Y13" s="65">
        <f t="shared" si="17"/>
        <v>11.5</v>
      </c>
      <c r="Z13" s="66">
        <f t="shared" si="18"/>
        <v>10</v>
      </c>
      <c r="AA13" s="67">
        <f t="shared" si="19"/>
        <v>284.45408495361971</v>
      </c>
      <c r="AB13" s="71">
        <f t="shared" si="20"/>
        <v>425.80241355907879</v>
      </c>
      <c r="AC13" s="64">
        <f t="shared" si="21"/>
        <v>61.435507489975812</v>
      </c>
      <c r="AD13" s="7"/>
      <c r="AE13" s="81">
        <v>-12</v>
      </c>
      <c r="AF13" s="64">
        <f t="shared" si="22"/>
        <v>295.95408495361971</v>
      </c>
      <c r="AG13" s="64">
        <f t="shared" si="23"/>
        <v>148.31463702754098</v>
      </c>
      <c r="AH13" s="64">
        <f t="shared" si="24"/>
        <v>444.2687219811607</v>
      </c>
      <c r="AI13" s="65">
        <f t="shared" si="25"/>
        <v>11.5</v>
      </c>
      <c r="AJ13" s="66">
        <f t="shared" si="26"/>
        <v>10</v>
      </c>
      <c r="AK13" s="67">
        <f t="shared" si="27"/>
        <v>284.45408495361971</v>
      </c>
      <c r="AL13" s="71">
        <f t="shared" si="28"/>
        <v>434.2687219811607</v>
      </c>
      <c r="AM13" s="64">
        <f t="shared" si="29"/>
        <v>30.717753744987906</v>
      </c>
      <c r="AN13" s="7"/>
      <c r="AO13" s="72">
        <v>1.0063706596647426</v>
      </c>
      <c r="AP13" s="7">
        <f>Mode3!H13</f>
        <v>440.48232464721298</v>
      </c>
    </row>
    <row r="14" spans="1:49">
      <c r="A14" s="81">
        <v>-11</v>
      </c>
      <c r="B14" s="64">
        <f>Mode3!B14</f>
        <v>296.45765080532902</v>
      </c>
      <c r="C14" s="64">
        <f t="shared" si="0"/>
        <v>103.80143756996478</v>
      </c>
      <c r="D14" s="64">
        <f t="shared" si="1"/>
        <v>400.2590883752938</v>
      </c>
      <c r="E14" s="65">
        <f t="shared" si="2"/>
        <v>11.5</v>
      </c>
      <c r="F14" s="66">
        <f t="shared" si="30"/>
        <v>10</v>
      </c>
      <c r="G14" s="67">
        <f t="shared" si="3"/>
        <v>284.95765080532902</v>
      </c>
      <c r="H14" s="71">
        <f t="shared" si="4"/>
        <v>390.2590883752938</v>
      </c>
      <c r="I14" s="64">
        <f t="shared" si="5"/>
        <v>184.62723941548052</v>
      </c>
      <c r="J14" s="7"/>
      <c r="K14" s="81">
        <v>-11</v>
      </c>
      <c r="L14" s="64">
        <f t="shared" si="6"/>
        <v>296.45765080532902</v>
      </c>
      <c r="M14" s="64">
        <f t="shared" si="7"/>
        <v>122.14902000465514</v>
      </c>
      <c r="N14" s="64">
        <f t="shared" si="8"/>
        <v>418.60667080998417</v>
      </c>
      <c r="O14" s="65">
        <f t="shared" si="9"/>
        <v>11.5</v>
      </c>
      <c r="P14" s="66">
        <f t="shared" si="10"/>
        <v>10</v>
      </c>
      <c r="Q14" s="67">
        <f t="shared" si="11"/>
        <v>284.95765080532902</v>
      </c>
      <c r="R14" s="71">
        <f t="shared" si="12"/>
        <v>408.60667080998417</v>
      </c>
      <c r="S14" s="64">
        <f t="shared" si="13"/>
        <v>123.08482627698704</v>
      </c>
      <c r="T14" s="7"/>
      <c r="U14" s="81">
        <v>-11</v>
      </c>
      <c r="V14" s="64">
        <f t="shared" si="14"/>
        <v>296.45765080532902</v>
      </c>
      <c r="W14" s="64">
        <f t="shared" si="15"/>
        <v>140.0702001093066</v>
      </c>
      <c r="X14" s="64">
        <f t="shared" si="16"/>
        <v>436.52785091463562</v>
      </c>
      <c r="Y14" s="65">
        <f t="shared" si="17"/>
        <v>11.5</v>
      </c>
      <c r="Z14" s="66">
        <f t="shared" si="18"/>
        <v>10</v>
      </c>
      <c r="AA14" s="67">
        <f t="shared" si="19"/>
        <v>284.95765080532902</v>
      </c>
      <c r="AB14" s="71">
        <f t="shared" si="20"/>
        <v>426.52785091463562</v>
      </c>
      <c r="AC14" s="64">
        <f t="shared" si="21"/>
        <v>61.542413138493522</v>
      </c>
      <c r="AD14" s="7"/>
      <c r="AE14" s="81">
        <v>-11</v>
      </c>
      <c r="AF14" s="64">
        <f t="shared" si="22"/>
        <v>296.45765080532902</v>
      </c>
      <c r="AG14" s="64">
        <f t="shared" si="23"/>
        <v>148.560187972611</v>
      </c>
      <c r="AH14" s="64">
        <f t="shared" si="24"/>
        <v>445.01783877794003</v>
      </c>
      <c r="AI14" s="65">
        <f t="shared" si="25"/>
        <v>11.5</v>
      </c>
      <c r="AJ14" s="66">
        <f t="shared" si="26"/>
        <v>10</v>
      </c>
      <c r="AK14" s="67">
        <f t="shared" si="27"/>
        <v>284.95765080532902</v>
      </c>
      <c r="AL14" s="71">
        <f t="shared" si="28"/>
        <v>435.01783877794003</v>
      </c>
      <c r="AM14" s="64">
        <f t="shared" si="29"/>
        <v>30.771206569246761</v>
      </c>
      <c r="AN14" s="7"/>
      <c r="AO14" s="72">
        <v>1.0074323193046464</v>
      </c>
      <c r="AP14" s="7">
        <f>Mode3!H14</f>
        <v>441.24882028631362</v>
      </c>
    </row>
    <row r="15" spans="1:49">
      <c r="A15" s="81">
        <v>-10</v>
      </c>
      <c r="B15" s="64">
        <f>Mode3!B15</f>
        <v>296.92085373000418</v>
      </c>
      <c r="C15" s="64">
        <f t="shared" si="0"/>
        <v>103.85417705765656</v>
      </c>
      <c r="D15" s="64">
        <f t="shared" si="1"/>
        <v>400.77503078766074</v>
      </c>
      <c r="E15" s="65">
        <f t="shared" si="2"/>
        <v>11.5</v>
      </c>
      <c r="F15" s="66">
        <f t="shared" si="30"/>
        <v>10</v>
      </c>
      <c r="G15" s="67">
        <f t="shared" si="3"/>
        <v>285.42085373000418</v>
      </c>
      <c r="H15" s="68">
        <f t="shared" si="4"/>
        <v>390.77503078766074</v>
      </c>
      <c r="I15" s="64">
        <f t="shared" si="5"/>
        <v>184.92224954507694</v>
      </c>
      <c r="J15" s="7"/>
      <c r="K15" s="81">
        <v>-10</v>
      </c>
      <c r="L15" s="64">
        <f t="shared" si="6"/>
        <v>296.92085373000418</v>
      </c>
      <c r="M15" s="64">
        <f t="shared" si="7"/>
        <v>122.26980867946588</v>
      </c>
      <c r="N15" s="64">
        <f t="shared" si="8"/>
        <v>419.19066240947006</v>
      </c>
      <c r="O15" s="65">
        <f t="shared" si="9"/>
        <v>11.5</v>
      </c>
      <c r="P15" s="66">
        <f t="shared" si="10"/>
        <v>10</v>
      </c>
      <c r="Q15" s="67">
        <f t="shared" si="11"/>
        <v>285.42085373000418</v>
      </c>
      <c r="R15" s="68">
        <f t="shared" si="12"/>
        <v>409.19066240947006</v>
      </c>
      <c r="S15" s="64">
        <f t="shared" si="13"/>
        <v>123.28149969671799</v>
      </c>
      <c r="T15" s="7"/>
      <c r="U15" s="81">
        <v>-10</v>
      </c>
      <c r="V15" s="64">
        <f t="shared" si="14"/>
        <v>296.92085373000418</v>
      </c>
      <c r="W15" s="64">
        <f t="shared" si="15"/>
        <v>140.2574564913848</v>
      </c>
      <c r="X15" s="64">
        <f t="shared" si="16"/>
        <v>437.17831022138898</v>
      </c>
      <c r="Y15" s="65">
        <f t="shared" si="17"/>
        <v>11.5</v>
      </c>
      <c r="Z15" s="66">
        <f t="shared" si="18"/>
        <v>10</v>
      </c>
      <c r="AA15" s="67">
        <f t="shared" si="19"/>
        <v>285.42085373000418</v>
      </c>
      <c r="AB15" s="68">
        <f t="shared" si="20"/>
        <v>427.17831022138898</v>
      </c>
      <c r="AC15" s="64">
        <f t="shared" si="21"/>
        <v>61.640749848358993</v>
      </c>
      <c r="AD15" s="7"/>
      <c r="AE15" s="81">
        <v>-10</v>
      </c>
      <c r="AF15" s="64">
        <f t="shared" si="22"/>
        <v>296.92085373000418</v>
      </c>
      <c r="AG15" s="64">
        <f t="shared" si="23"/>
        <v>148.77893279600318</v>
      </c>
      <c r="AH15" s="64">
        <f t="shared" si="24"/>
        <v>445.69978652600736</v>
      </c>
      <c r="AI15" s="65">
        <f t="shared" si="25"/>
        <v>11.5</v>
      </c>
      <c r="AJ15" s="66">
        <f t="shared" si="26"/>
        <v>10</v>
      </c>
      <c r="AK15" s="67">
        <f t="shared" si="27"/>
        <v>285.42085373000418</v>
      </c>
      <c r="AL15" s="68">
        <f t="shared" si="28"/>
        <v>435.69978652600736</v>
      </c>
      <c r="AM15" s="64">
        <f t="shared" si="29"/>
        <v>30.820374924179497</v>
      </c>
      <c r="AN15" s="7"/>
      <c r="AO15" s="72">
        <v>1.009555638584454</v>
      </c>
      <c r="AP15" s="7">
        <f>Mode3!H15</f>
        <v>441.95387806689382</v>
      </c>
    </row>
    <row r="16" spans="1:49">
      <c r="A16" s="81">
        <v>-9</v>
      </c>
      <c r="B16" s="64">
        <f>Mode3!B16</f>
        <v>297.34306844606044</v>
      </c>
      <c r="C16" s="64">
        <f t="shared" si="0"/>
        <v>103.94631017934194</v>
      </c>
      <c r="D16" s="64">
        <f t="shared" si="1"/>
        <v>401.28937862540238</v>
      </c>
      <c r="E16" s="65">
        <f t="shared" si="2"/>
        <v>11.5</v>
      </c>
      <c r="F16" s="66">
        <f t="shared" si="30"/>
        <v>10</v>
      </c>
      <c r="G16" s="67">
        <f t="shared" si="3"/>
        <v>285.84306844606044</v>
      </c>
      <c r="H16" s="71">
        <f t="shared" si="4"/>
        <v>391.28937862540238</v>
      </c>
      <c r="I16" s="64">
        <f t="shared" si="5"/>
        <v>185.19115462202274</v>
      </c>
      <c r="J16" s="7"/>
      <c r="K16" s="81">
        <v>-9</v>
      </c>
      <c r="L16" s="64">
        <f t="shared" si="6"/>
        <v>297.34306844606044</v>
      </c>
      <c r="M16" s="64">
        <f t="shared" si="7"/>
        <v>122.40811516931069</v>
      </c>
      <c r="N16" s="64">
        <f t="shared" si="8"/>
        <v>419.75118361537113</v>
      </c>
      <c r="O16" s="65">
        <f t="shared" si="9"/>
        <v>11.5</v>
      </c>
      <c r="P16" s="66">
        <f t="shared" si="10"/>
        <v>10</v>
      </c>
      <c r="Q16" s="67">
        <f t="shared" si="11"/>
        <v>285.84306844606044</v>
      </c>
      <c r="R16" s="71">
        <f t="shared" si="12"/>
        <v>409.75118361537113</v>
      </c>
      <c r="S16" s="64">
        <f t="shared" si="13"/>
        <v>123.46076974801517</v>
      </c>
      <c r="T16" s="7"/>
      <c r="U16" s="81">
        <v>-9</v>
      </c>
      <c r="V16" s="64">
        <f t="shared" si="14"/>
        <v>297.34306844606044</v>
      </c>
      <c r="W16" s="64">
        <f t="shared" si="15"/>
        <v>140.44086326895251</v>
      </c>
      <c r="X16" s="64">
        <f t="shared" si="16"/>
        <v>437.78393171501295</v>
      </c>
      <c r="Y16" s="65">
        <f t="shared" si="17"/>
        <v>11.5</v>
      </c>
      <c r="Z16" s="66">
        <f t="shared" si="18"/>
        <v>10</v>
      </c>
      <c r="AA16" s="67">
        <f t="shared" si="19"/>
        <v>285.84306844606044</v>
      </c>
      <c r="AB16" s="71">
        <f t="shared" si="20"/>
        <v>427.78393171501295</v>
      </c>
      <c r="AC16" s="64">
        <f t="shared" si="21"/>
        <v>61.730384874007584</v>
      </c>
      <c r="AD16" s="7"/>
      <c r="AE16" s="81">
        <v>-9</v>
      </c>
      <c r="AF16" s="64">
        <f t="shared" si="22"/>
        <v>297.34306844606044</v>
      </c>
      <c r="AG16" s="64">
        <f t="shared" si="23"/>
        <v>148.98370540401078</v>
      </c>
      <c r="AH16" s="64">
        <f t="shared" si="24"/>
        <v>446.32677385007122</v>
      </c>
      <c r="AI16" s="65">
        <f t="shared" si="25"/>
        <v>11.5</v>
      </c>
      <c r="AJ16" s="66">
        <f t="shared" si="26"/>
        <v>10</v>
      </c>
      <c r="AK16" s="67">
        <f t="shared" si="27"/>
        <v>285.84306844606044</v>
      </c>
      <c r="AL16" s="71">
        <f t="shared" si="28"/>
        <v>436.32677385007122</v>
      </c>
      <c r="AM16" s="64">
        <f t="shared" si="29"/>
        <v>30.865192437003792</v>
      </c>
      <c r="AN16" s="7"/>
      <c r="AO16" s="72">
        <v>1.0106172982243578</v>
      </c>
      <c r="AP16" s="7">
        <f>Mode3!H16</f>
        <v>442.59654622543303</v>
      </c>
      <c r="AT16" s="93"/>
    </row>
    <row r="17" spans="1:42">
      <c r="A17" s="81">
        <v>-8</v>
      </c>
      <c r="B17" s="64">
        <f>Mode3!B17</f>
        <v>297.72367561812865</v>
      </c>
      <c r="C17" s="64">
        <f t="shared" si="0"/>
        <v>104.02391137840044</v>
      </c>
      <c r="D17" s="64">
        <f t="shared" si="1"/>
        <v>401.74758699652909</v>
      </c>
      <c r="E17" s="65">
        <f t="shared" si="2"/>
        <v>11.5</v>
      </c>
      <c r="F17" s="66">
        <f t="shared" si="30"/>
        <v>10</v>
      </c>
      <c r="G17" s="67">
        <f t="shared" si="3"/>
        <v>286.22367561812865</v>
      </c>
      <c r="H17" s="71">
        <f t="shared" si="4"/>
        <v>391.74758699652909</v>
      </c>
      <c r="I17" s="64">
        <f t="shared" si="5"/>
        <v>185.43356019671964</v>
      </c>
      <c r="J17" s="7"/>
      <c r="K17" s="81">
        <v>-8</v>
      </c>
      <c r="L17" s="64">
        <f t="shared" si="6"/>
        <v>297.72367561812865</v>
      </c>
      <c r="M17" s="64">
        <f t="shared" si="7"/>
        <v>122.52930153428468</v>
      </c>
      <c r="N17" s="64">
        <f t="shared" si="8"/>
        <v>420.25297715241334</v>
      </c>
      <c r="O17" s="65">
        <f t="shared" si="9"/>
        <v>11.5</v>
      </c>
      <c r="P17" s="66">
        <f t="shared" si="10"/>
        <v>10</v>
      </c>
      <c r="Q17" s="67">
        <f t="shared" si="11"/>
        <v>286.22367561812865</v>
      </c>
      <c r="R17" s="71">
        <f t="shared" si="12"/>
        <v>410.25297715241334</v>
      </c>
      <c r="S17" s="64">
        <f t="shared" si="13"/>
        <v>123.62237346447976</v>
      </c>
      <c r="T17" s="7"/>
      <c r="U17" s="81">
        <v>-8</v>
      </c>
      <c r="V17" s="64">
        <f t="shared" si="14"/>
        <v>297.72367561812865</v>
      </c>
      <c r="W17" s="64">
        <f t="shared" si="15"/>
        <v>140.60462186986234</v>
      </c>
      <c r="X17" s="64">
        <f t="shared" si="16"/>
        <v>438.32829748799099</v>
      </c>
      <c r="Y17" s="65">
        <f t="shared" si="17"/>
        <v>11.5</v>
      </c>
      <c r="Z17" s="66">
        <f t="shared" si="18"/>
        <v>10</v>
      </c>
      <c r="AA17" s="67">
        <f t="shared" si="19"/>
        <v>286.22367561812865</v>
      </c>
      <c r="AB17" s="71">
        <f t="shared" si="20"/>
        <v>428.32829748799099</v>
      </c>
      <c r="AC17" s="64">
        <f t="shared" si="21"/>
        <v>61.811186732239882</v>
      </c>
      <c r="AD17" s="7"/>
      <c r="AE17" s="81">
        <v>-8</v>
      </c>
      <c r="AF17" s="64">
        <f t="shared" si="22"/>
        <v>297.72367561812865</v>
      </c>
      <c r="AG17" s="64">
        <f t="shared" si="23"/>
        <v>149.16763219497835</v>
      </c>
      <c r="AH17" s="64">
        <f t="shared" si="24"/>
        <v>446.89130781310701</v>
      </c>
      <c r="AI17" s="65">
        <f t="shared" si="25"/>
        <v>11.5</v>
      </c>
      <c r="AJ17" s="66">
        <f t="shared" si="26"/>
        <v>10</v>
      </c>
      <c r="AK17" s="67">
        <f t="shared" si="27"/>
        <v>286.22367561812865</v>
      </c>
      <c r="AL17" s="71">
        <f t="shared" si="28"/>
        <v>436.89130781310701</v>
      </c>
      <c r="AM17" s="64">
        <f t="shared" si="29"/>
        <v>30.905593366119941</v>
      </c>
      <c r="AN17" s="7"/>
      <c r="AO17" s="72">
        <v>1.0116789578642615</v>
      </c>
      <c r="AP17" s="7">
        <f>Mode3!H17</f>
        <v>443.17588204935839</v>
      </c>
    </row>
    <row r="18" spans="1:42">
      <c r="A18" s="81">
        <v>-7</v>
      </c>
      <c r="B18" s="64">
        <f>Mode3!B18</f>
        <v>298.06206149837618</v>
      </c>
      <c r="C18" s="64">
        <f t="shared" si="0"/>
        <v>104.08679185630331</v>
      </c>
      <c r="D18" s="64">
        <f t="shared" si="1"/>
        <v>402.14885335467949</v>
      </c>
      <c r="E18" s="65">
        <f t="shared" si="2"/>
        <v>11.5</v>
      </c>
      <c r="F18" s="66">
        <f t="shared" si="30"/>
        <v>10</v>
      </c>
      <c r="G18" s="67">
        <f t="shared" si="3"/>
        <v>286.56206149837618</v>
      </c>
      <c r="H18" s="71">
        <f t="shared" si="4"/>
        <v>392.14885335467949</v>
      </c>
      <c r="I18" s="64">
        <f t="shared" si="5"/>
        <v>185.64907537822549</v>
      </c>
      <c r="J18" s="7"/>
      <c r="K18" s="81">
        <v>-7</v>
      </c>
      <c r="L18" s="64">
        <f t="shared" si="6"/>
        <v>298.06206149837618</v>
      </c>
      <c r="M18" s="64">
        <f t="shared" si="7"/>
        <v>122.633131600338</v>
      </c>
      <c r="N18" s="64">
        <f t="shared" si="8"/>
        <v>420.69519309871418</v>
      </c>
      <c r="O18" s="65">
        <f t="shared" si="9"/>
        <v>11.5</v>
      </c>
      <c r="P18" s="66">
        <f t="shared" si="10"/>
        <v>10</v>
      </c>
      <c r="Q18" s="67">
        <f t="shared" si="11"/>
        <v>286.56206149837618</v>
      </c>
      <c r="R18" s="71">
        <f t="shared" si="12"/>
        <v>410.69519309871418</v>
      </c>
      <c r="S18" s="64">
        <f t="shared" si="13"/>
        <v>123.76605025215035</v>
      </c>
      <c r="T18" s="7"/>
      <c r="U18" s="81">
        <v>-7</v>
      </c>
      <c r="V18" s="64">
        <f t="shared" si="14"/>
        <v>298.06206149837618</v>
      </c>
      <c r="W18" s="64">
        <f t="shared" si="15"/>
        <v>140.74844984556228</v>
      </c>
      <c r="X18" s="64">
        <f t="shared" si="16"/>
        <v>438.81051134393846</v>
      </c>
      <c r="Y18" s="65">
        <f t="shared" si="17"/>
        <v>11.5</v>
      </c>
      <c r="Z18" s="66">
        <f t="shared" si="18"/>
        <v>10</v>
      </c>
      <c r="AA18" s="67">
        <f t="shared" si="19"/>
        <v>286.56206149837618</v>
      </c>
      <c r="AB18" s="71">
        <f t="shared" si="20"/>
        <v>428.81051134393846</v>
      </c>
      <c r="AC18" s="64">
        <f t="shared" si="21"/>
        <v>61.883025126075175</v>
      </c>
      <c r="AD18" s="7"/>
      <c r="AE18" s="81">
        <v>-7</v>
      </c>
      <c r="AF18" s="64">
        <f t="shared" si="22"/>
        <v>298.06206149837618</v>
      </c>
      <c r="AG18" s="64">
        <f t="shared" si="23"/>
        <v>149.3304087982504</v>
      </c>
      <c r="AH18" s="64">
        <f t="shared" si="24"/>
        <v>447.39247029662658</v>
      </c>
      <c r="AI18" s="65">
        <f t="shared" si="25"/>
        <v>11.5</v>
      </c>
      <c r="AJ18" s="66">
        <f t="shared" si="26"/>
        <v>10</v>
      </c>
      <c r="AK18" s="67">
        <f t="shared" si="27"/>
        <v>286.56206149837618</v>
      </c>
      <c r="AL18" s="71">
        <f t="shared" si="28"/>
        <v>437.39247029662658</v>
      </c>
      <c r="AM18" s="64">
        <f t="shared" si="29"/>
        <v>30.941512563037588</v>
      </c>
      <c r="AN18" s="7"/>
      <c r="AO18" s="72">
        <v>1.0127406175041653</v>
      </c>
      <c r="AP18" s="7">
        <f>Mode3!H18</f>
        <v>443.69095133108692</v>
      </c>
    </row>
    <row r="19" spans="1:42">
      <c r="A19" s="81">
        <v>-6</v>
      </c>
      <c r="B19" s="64">
        <f>Mode3!B19</f>
        <v>298.35761754106824</v>
      </c>
      <c r="C19" s="64">
        <f t="shared" si="0"/>
        <v>104.18885161710449</v>
      </c>
      <c r="D19" s="64">
        <f t="shared" si="1"/>
        <v>402.54646915817273</v>
      </c>
      <c r="E19" s="65">
        <f t="shared" si="2"/>
        <v>11.5</v>
      </c>
      <c r="F19" s="66">
        <f t="shared" si="30"/>
        <v>10</v>
      </c>
      <c r="G19" s="67">
        <f t="shared" si="3"/>
        <v>286.85761754106824</v>
      </c>
      <c r="H19" s="71">
        <f t="shared" si="4"/>
        <v>392.54646915817273</v>
      </c>
      <c r="I19" s="64">
        <f t="shared" si="5"/>
        <v>185.83731258877148</v>
      </c>
      <c r="J19" s="7"/>
      <c r="K19" s="81">
        <v>-6</v>
      </c>
      <c r="L19" s="64">
        <f t="shared" si="6"/>
        <v>298.35761754106824</v>
      </c>
      <c r="M19" s="64">
        <f t="shared" si="7"/>
        <v>122.75399625554627</v>
      </c>
      <c r="N19" s="64">
        <f t="shared" si="8"/>
        <v>421.11161379661451</v>
      </c>
      <c r="O19" s="65">
        <f t="shared" si="9"/>
        <v>11.5</v>
      </c>
      <c r="P19" s="66">
        <f t="shared" si="10"/>
        <v>10</v>
      </c>
      <c r="Q19" s="67">
        <f t="shared" si="11"/>
        <v>286.85761754106824</v>
      </c>
      <c r="R19" s="71">
        <f t="shared" si="12"/>
        <v>411.11161379661451</v>
      </c>
      <c r="S19" s="64">
        <f t="shared" si="13"/>
        <v>123.89154172584769</v>
      </c>
      <c r="T19" s="7"/>
      <c r="U19" s="81">
        <v>-6</v>
      </c>
      <c r="V19" s="64">
        <f t="shared" si="14"/>
        <v>298.35761754106824</v>
      </c>
      <c r="W19" s="64">
        <f t="shared" si="15"/>
        <v>140.88768236480479</v>
      </c>
      <c r="X19" s="64">
        <f t="shared" si="16"/>
        <v>439.24529990587303</v>
      </c>
      <c r="Y19" s="65">
        <f t="shared" si="17"/>
        <v>11.5</v>
      </c>
      <c r="Z19" s="66">
        <f t="shared" si="18"/>
        <v>10</v>
      </c>
      <c r="AA19" s="67">
        <f t="shared" si="19"/>
        <v>286.85761754106824</v>
      </c>
      <c r="AB19" s="71">
        <f t="shared" si="20"/>
        <v>429.24529990587303</v>
      </c>
      <c r="AC19" s="64">
        <f t="shared" si="21"/>
        <v>61.945770862923844</v>
      </c>
      <c r="AD19" s="7"/>
      <c r="AE19" s="81">
        <v>-6</v>
      </c>
      <c r="AF19" s="64">
        <f t="shared" si="22"/>
        <v>298.35761754106824</v>
      </c>
      <c r="AG19" s="64">
        <f t="shared" si="23"/>
        <v>149.47834291760046</v>
      </c>
      <c r="AH19" s="64">
        <f t="shared" si="24"/>
        <v>447.83596045866869</v>
      </c>
      <c r="AI19" s="65">
        <f t="shared" si="25"/>
        <v>11.5</v>
      </c>
      <c r="AJ19" s="66">
        <f t="shared" si="26"/>
        <v>10</v>
      </c>
      <c r="AK19" s="67">
        <f t="shared" si="27"/>
        <v>286.85761754106824</v>
      </c>
      <c r="AL19" s="71">
        <f t="shared" si="28"/>
        <v>437.83596045866869</v>
      </c>
      <c r="AM19" s="64">
        <f t="shared" si="29"/>
        <v>30.972885431461922</v>
      </c>
      <c r="AN19" s="7"/>
      <c r="AO19" s="72">
        <v>1.0127406175041653</v>
      </c>
      <c r="AP19" s="7">
        <f>Mode3!H19</f>
        <v>444.14082778133536</v>
      </c>
    </row>
    <row r="20" spans="1:42">
      <c r="A20" s="81">
        <v>-5</v>
      </c>
      <c r="B20" s="64">
        <f>Mode3!B20</f>
        <v>298.60973999394469</v>
      </c>
      <c r="C20" s="64">
        <f t="shared" si="0"/>
        <v>104.22177984723339</v>
      </c>
      <c r="D20" s="64">
        <f t="shared" si="1"/>
        <v>402.83151984117808</v>
      </c>
      <c r="E20" s="65">
        <f t="shared" si="2"/>
        <v>11.5</v>
      </c>
      <c r="F20" s="66">
        <f t="shared" si="30"/>
        <v>10</v>
      </c>
      <c r="G20" s="67">
        <f t="shared" si="3"/>
        <v>287.10973999394469</v>
      </c>
      <c r="H20" s="71">
        <f t="shared" si="4"/>
        <v>392.83151984117808</v>
      </c>
      <c r="I20" s="64">
        <f t="shared" si="5"/>
        <v>185.99788730351321</v>
      </c>
      <c r="J20" s="7"/>
      <c r="K20" s="81">
        <v>-5</v>
      </c>
      <c r="L20" s="64">
        <f t="shared" si="6"/>
        <v>298.60973999394469</v>
      </c>
      <c r="M20" s="64">
        <f t="shared" si="7"/>
        <v>122.82244462149623</v>
      </c>
      <c r="N20" s="64">
        <f t="shared" si="8"/>
        <v>421.43218461544092</v>
      </c>
      <c r="O20" s="65">
        <f t="shared" si="9"/>
        <v>11.5</v>
      </c>
      <c r="P20" s="66">
        <f t="shared" si="10"/>
        <v>10</v>
      </c>
      <c r="Q20" s="67">
        <f t="shared" si="11"/>
        <v>287.10973999394469</v>
      </c>
      <c r="R20" s="71">
        <f t="shared" si="12"/>
        <v>411.43218461544092</v>
      </c>
      <c r="S20" s="64">
        <f t="shared" si="13"/>
        <v>123.9985915356755</v>
      </c>
      <c r="T20" s="7"/>
      <c r="U20" s="81">
        <v>-5</v>
      </c>
      <c r="V20" s="64">
        <f t="shared" si="14"/>
        <v>298.60973999394469</v>
      </c>
      <c r="W20" s="64">
        <f t="shared" si="15"/>
        <v>140.99082536987999</v>
      </c>
      <c r="X20" s="64">
        <f t="shared" si="16"/>
        <v>439.60056536382467</v>
      </c>
      <c r="Y20" s="65">
        <f t="shared" si="17"/>
        <v>11.5</v>
      </c>
      <c r="Z20" s="66">
        <f t="shared" si="18"/>
        <v>10</v>
      </c>
      <c r="AA20" s="67">
        <f t="shared" si="19"/>
        <v>287.10973999394469</v>
      </c>
      <c r="AB20" s="71">
        <f t="shared" si="20"/>
        <v>429.60056536382467</v>
      </c>
      <c r="AC20" s="64">
        <f t="shared" si="21"/>
        <v>61.999295767837751</v>
      </c>
      <c r="AD20" s="7"/>
      <c r="AE20" s="81">
        <v>-5</v>
      </c>
      <c r="AF20" s="64">
        <f t="shared" si="22"/>
        <v>298.60973999394469</v>
      </c>
      <c r="AG20" s="64">
        <f t="shared" si="23"/>
        <v>149.59792217650352</v>
      </c>
      <c r="AH20" s="64">
        <f t="shared" si="24"/>
        <v>448.2076621704482</v>
      </c>
      <c r="AI20" s="65">
        <f t="shared" si="25"/>
        <v>11.5</v>
      </c>
      <c r="AJ20" s="66">
        <f t="shared" si="26"/>
        <v>10</v>
      </c>
      <c r="AK20" s="67">
        <f t="shared" si="27"/>
        <v>287.10973999394469</v>
      </c>
      <c r="AL20" s="71">
        <f t="shared" si="28"/>
        <v>438.2076621704482</v>
      </c>
      <c r="AM20" s="64">
        <f t="shared" si="29"/>
        <v>30.999647883918875</v>
      </c>
      <c r="AN20" s="7"/>
      <c r="AO20" s="72">
        <v>1.0138022771440691</v>
      </c>
      <c r="AP20" s="7">
        <f>Mode3!H20</f>
        <v>444.52459240713983</v>
      </c>
    </row>
    <row r="21" spans="1:42">
      <c r="A21" s="81">
        <v>-4</v>
      </c>
      <c r="B21" s="64">
        <f>Mode3!B21</f>
        <v>298.79073226038815</v>
      </c>
      <c r="C21" s="64">
        <f t="shared" si="0"/>
        <v>104.28306362559039</v>
      </c>
      <c r="D21" s="64">
        <f t="shared" si="1"/>
        <v>403.07379588597854</v>
      </c>
      <c r="E21" s="65">
        <f t="shared" si="2"/>
        <v>11.5</v>
      </c>
      <c r="F21" s="66">
        <f t="shared" si="30"/>
        <v>10</v>
      </c>
      <c r="G21" s="67">
        <f t="shared" si="3"/>
        <v>287.29073226038815</v>
      </c>
      <c r="H21" s="71">
        <f t="shared" si="4"/>
        <v>393.07379588597854</v>
      </c>
      <c r="I21" s="64">
        <f t="shared" si="5"/>
        <v>186.11315978806604</v>
      </c>
      <c r="J21" s="7"/>
      <c r="K21" s="81">
        <v>-4</v>
      </c>
      <c r="L21" s="64">
        <f t="shared" si="6"/>
        <v>298.79073226038815</v>
      </c>
      <c r="M21" s="64">
        <f t="shared" si="7"/>
        <v>122.89568147681075</v>
      </c>
      <c r="N21" s="64">
        <f t="shared" si="8"/>
        <v>421.6864137371989</v>
      </c>
      <c r="O21" s="65">
        <f t="shared" si="9"/>
        <v>11.5</v>
      </c>
      <c r="P21" s="66">
        <f t="shared" si="10"/>
        <v>10</v>
      </c>
      <c r="Q21" s="67">
        <f t="shared" si="11"/>
        <v>287.29073226038815</v>
      </c>
      <c r="R21" s="71">
        <f t="shared" si="12"/>
        <v>411.6864137371989</v>
      </c>
      <c r="S21" s="64">
        <f t="shared" si="13"/>
        <v>124.07543985871072</v>
      </c>
      <c r="T21" s="7"/>
      <c r="U21" s="81">
        <v>-4</v>
      </c>
      <c r="V21" s="64">
        <f t="shared" si="14"/>
        <v>298.79073226038815</v>
      </c>
      <c r="W21" s="64">
        <f t="shared" si="15"/>
        <v>141.07573750970255</v>
      </c>
      <c r="X21" s="64">
        <f t="shared" si="16"/>
        <v>439.8664697700907</v>
      </c>
      <c r="Y21" s="65">
        <f t="shared" si="17"/>
        <v>11.5</v>
      </c>
      <c r="Z21" s="66">
        <f t="shared" si="18"/>
        <v>10</v>
      </c>
      <c r="AA21" s="67">
        <f t="shared" si="19"/>
        <v>287.29073226038815</v>
      </c>
      <c r="AB21" s="71">
        <f t="shared" si="20"/>
        <v>429.8664697700907</v>
      </c>
      <c r="AC21" s="64">
        <f t="shared" si="21"/>
        <v>62.037719929355362</v>
      </c>
      <c r="AD21" s="7"/>
      <c r="AE21" s="81">
        <v>-4</v>
      </c>
      <c r="AF21" s="64">
        <f t="shared" si="22"/>
        <v>298.79073226038815</v>
      </c>
      <c r="AG21" s="64">
        <f t="shared" si="23"/>
        <v>149.68836537082115</v>
      </c>
      <c r="AH21" s="64">
        <f t="shared" si="24"/>
        <v>448.4790976312093</v>
      </c>
      <c r="AI21" s="65">
        <f t="shared" si="25"/>
        <v>11.5</v>
      </c>
      <c r="AJ21" s="66">
        <f t="shared" si="26"/>
        <v>10</v>
      </c>
      <c r="AK21" s="67">
        <f t="shared" si="27"/>
        <v>287.29073226038815</v>
      </c>
      <c r="AL21" s="71">
        <f t="shared" si="28"/>
        <v>438.4790976312093</v>
      </c>
      <c r="AM21" s="64">
        <f t="shared" si="29"/>
        <v>31.018859964677681</v>
      </c>
      <c r="AN21" s="7"/>
      <c r="AO21" s="72">
        <v>1.0138254423611959</v>
      </c>
      <c r="AP21" s="7">
        <f>Mode3!H21</f>
        <v>444.80008722568039</v>
      </c>
    </row>
    <row r="22" spans="1:42">
      <c r="A22" s="81">
        <v>-3</v>
      </c>
      <c r="B22" s="64">
        <f>Mode3!B22</f>
        <v>298.93376199134173</v>
      </c>
      <c r="C22" s="64">
        <f t="shared" si="0"/>
        <v>104.33124427320763</v>
      </c>
      <c r="D22" s="64">
        <f t="shared" si="1"/>
        <v>403.26500626454936</v>
      </c>
      <c r="E22" s="65">
        <f t="shared" si="2"/>
        <v>11.5</v>
      </c>
      <c r="F22" s="66">
        <f t="shared" si="30"/>
        <v>10</v>
      </c>
      <c r="G22" s="67">
        <f t="shared" si="3"/>
        <v>287.43376199134173</v>
      </c>
      <c r="H22" s="71">
        <f t="shared" si="4"/>
        <v>393.26500626454936</v>
      </c>
      <c r="I22" s="64">
        <f t="shared" si="5"/>
        <v>186.20425424627643</v>
      </c>
      <c r="J22" s="7"/>
      <c r="K22" s="81">
        <v>-3</v>
      </c>
      <c r="L22" s="64">
        <f t="shared" si="6"/>
        <v>298.93376199134173</v>
      </c>
      <c r="M22" s="64">
        <f t="shared" si="7"/>
        <v>122.95339770119188</v>
      </c>
      <c r="N22" s="64">
        <f t="shared" si="8"/>
        <v>421.8871596925336</v>
      </c>
      <c r="O22" s="65">
        <f t="shared" si="9"/>
        <v>11.5</v>
      </c>
      <c r="P22" s="66">
        <f t="shared" si="10"/>
        <v>10</v>
      </c>
      <c r="Q22" s="67">
        <f t="shared" si="11"/>
        <v>287.43376199134173</v>
      </c>
      <c r="R22" s="71">
        <f t="shared" si="12"/>
        <v>411.8871596925336</v>
      </c>
      <c r="S22" s="64">
        <f t="shared" si="13"/>
        <v>124.13616949751766</v>
      </c>
      <c r="T22" s="7"/>
      <c r="U22" s="81">
        <v>-3</v>
      </c>
      <c r="V22" s="64">
        <f t="shared" si="14"/>
        <v>298.93376199134173</v>
      </c>
      <c r="W22" s="64">
        <f t="shared" si="15"/>
        <v>141.14276770169744</v>
      </c>
      <c r="X22" s="64">
        <f t="shared" si="16"/>
        <v>440.07652969303916</v>
      </c>
      <c r="Y22" s="65">
        <f t="shared" si="17"/>
        <v>11.5</v>
      </c>
      <c r="Z22" s="66">
        <f t="shared" si="18"/>
        <v>10</v>
      </c>
      <c r="AA22" s="67">
        <f t="shared" si="19"/>
        <v>287.43376199134173</v>
      </c>
      <c r="AB22" s="71">
        <f t="shared" si="20"/>
        <v>430.07652969303916</v>
      </c>
      <c r="AC22" s="64">
        <f t="shared" si="21"/>
        <v>62.068084748758828</v>
      </c>
      <c r="AD22" s="7"/>
      <c r="AE22" s="81">
        <v>-3</v>
      </c>
      <c r="AF22" s="64">
        <f t="shared" si="22"/>
        <v>298.93376199134173</v>
      </c>
      <c r="AG22" s="64">
        <f t="shared" si="23"/>
        <v>149.7598079659914</v>
      </c>
      <c r="AH22" s="64">
        <f t="shared" si="24"/>
        <v>448.69356995733312</v>
      </c>
      <c r="AI22" s="65">
        <f t="shared" si="25"/>
        <v>11.5</v>
      </c>
      <c r="AJ22" s="66">
        <f t="shared" si="26"/>
        <v>10</v>
      </c>
      <c r="AK22" s="67">
        <f t="shared" si="27"/>
        <v>287.43376199134173</v>
      </c>
      <c r="AL22" s="71">
        <f t="shared" si="28"/>
        <v>438.69356995733312</v>
      </c>
      <c r="AM22" s="64">
        <f t="shared" si="29"/>
        <v>31.034042374379414</v>
      </c>
      <c r="AN22" s="7"/>
      <c r="AO22" s="72">
        <v>1.0138486075783226</v>
      </c>
      <c r="AP22" s="7">
        <f>Mode3!H22</f>
        <v>445.01779790774015</v>
      </c>
    </row>
    <row r="23" spans="1:42">
      <c r="A23" s="81">
        <v>-2</v>
      </c>
      <c r="B23" s="64">
        <f>Mode3!B23</f>
        <v>300.10694899037912</v>
      </c>
      <c r="C23" s="64">
        <f t="shared" si="0"/>
        <v>104.7349484618685</v>
      </c>
      <c r="D23" s="64">
        <f t="shared" si="1"/>
        <v>404.84189745224762</v>
      </c>
      <c r="E23" s="65">
        <f t="shared" si="2"/>
        <v>11.5</v>
      </c>
      <c r="F23" s="66">
        <f t="shared" si="30"/>
        <v>10</v>
      </c>
      <c r="G23" s="67">
        <f t="shared" si="3"/>
        <v>288.60694899037912</v>
      </c>
      <c r="H23" s="71">
        <f t="shared" si="4"/>
        <v>394.84189745224762</v>
      </c>
      <c r="I23" s="64">
        <f t="shared" si="5"/>
        <v>186.95144738817979</v>
      </c>
      <c r="J23" s="7"/>
      <c r="K23" s="81">
        <v>-2</v>
      </c>
      <c r="L23" s="64">
        <f t="shared" si="6"/>
        <v>300.10694899037912</v>
      </c>
      <c r="M23" s="64">
        <f t="shared" si="7"/>
        <v>123.43225533924368</v>
      </c>
      <c r="N23" s="64">
        <f t="shared" si="8"/>
        <v>423.53920432962281</v>
      </c>
      <c r="O23" s="65">
        <f t="shared" si="9"/>
        <v>11.5</v>
      </c>
      <c r="P23" s="66">
        <f t="shared" si="10"/>
        <v>10</v>
      </c>
      <c r="Q23" s="67">
        <f t="shared" si="11"/>
        <v>288.60694899037912</v>
      </c>
      <c r="R23" s="71">
        <f t="shared" si="12"/>
        <v>413.53920432962281</v>
      </c>
      <c r="S23" s="64">
        <f t="shared" si="13"/>
        <v>124.63429825878657</v>
      </c>
      <c r="T23" s="7"/>
      <c r="U23" s="81">
        <v>-2</v>
      </c>
      <c r="V23" s="64">
        <f t="shared" si="14"/>
        <v>300.10694899037912</v>
      </c>
      <c r="W23" s="64">
        <f t="shared" si="15"/>
        <v>141.69503220448553</v>
      </c>
      <c r="X23" s="64">
        <f t="shared" si="16"/>
        <v>441.80198119486465</v>
      </c>
      <c r="Y23" s="65">
        <f t="shared" si="17"/>
        <v>11.5</v>
      </c>
      <c r="Z23" s="66">
        <f t="shared" si="18"/>
        <v>10</v>
      </c>
      <c r="AA23" s="67">
        <f t="shared" si="19"/>
        <v>288.60694899037912</v>
      </c>
      <c r="AB23" s="71">
        <f t="shared" si="20"/>
        <v>431.80198119486465</v>
      </c>
      <c r="AC23" s="64">
        <f t="shared" si="21"/>
        <v>62.317149129393286</v>
      </c>
      <c r="AD23" s="7"/>
      <c r="AE23" s="81">
        <v>-2</v>
      </c>
      <c r="AF23" s="64">
        <f t="shared" si="22"/>
        <v>300.10694899037912</v>
      </c>
      <c r="AG23" s="64">
        <f t="shared" si="23"/>
        <v>150.34684826965059</v>
      </c>
      <c r="AH23" s="64">
        <f t="shared" si="24"/>
        <v>450.45379726002972</v>
      </c>
      <c r="AI23" s="65">
        <f t="shared" si="25"/>
        <v>11.5</v>
      </c>
      <c r="AJ23" s="66">
        <f t="shared" si="26"/>
        <v>10</v>
      </c>
      <c r="AK23" s="67">
        <f t="shared" si="27"/>
        <v>288.60694899037912</v>
      </c>
      <c r="AL23" s="71">
        <f t="shared" si="28"/>
        <v>440.45379726002972</v>
      </c>
      <c r="AM23" s="64">
        <f t="shared" si="29"/>
        <v>31.158574564696643</v>
      </c>
      <c r="AN23" s="7"/>
      <c r="AO23" s="72">
        <v>1.0138717727954494</v>
      </c>
      <c r="AP23" s="7">
        <f>Mode3!H23</f>
        <v>446.80354790559903</v>
      </c>
    </row>
    <row r="24" spans="1:42">
      <c r="A24" s="81">
        <v>-1</v>
      </c>
      <c r="B24" s="64">
        <f>Mode3!B24</f>
        <v>300.916660884225</v>
      </c>
      <c r="C24" s="64">
        <f t="shared" si="0"/>
        <v>105.01320322366286</v>
      </c>
      <c r="D24" s="64">
        <f t="shared" si="1"/>
        <v>405.92986410788785</v>
      </c>
      <c r="E24" s="65">
        <f t="shared" si="2"/>
        <v>11.5</v>
      </c>
      <c r="F24" s="66">
        <f t="shared" si="30"/>
        <v>10</v>
      </c>
      <c r="G24" s="67">
        <f t="shared" si="3"/>
        <v>289.416660884225</v>
      </c>
      <c r="H24" s="71">
        <f t="shared" si="4"/>
        <v>395.92986410788785</v>
      </c>
      <c r="I24" s="64">
        <f t="shared" si="5"/>
        <v>187.46714622774724</v>
      </c>
      <c r="J24" s="7"/>
      <c r="K24" s="81">
        <v>-1</v>
      </c>
      <c r="L24" s="64">
        <f t="shared" si="6"/>
        <v>300.916660884225</v>
      </c>
      <c r="M24" s="64">
        <f t="shared" si="7"/>
        <v>123.76251432873158</v>
      </c>
      <c r="N24" s="64">
        <f t="shared" si="8"/>
        <v>424.67917521295658</v>
      </c>
      <c r="O24" s="65">
        <f t="shared" si="9"/>
        <v>11.5</v>
      </c>
      <c r="P24" s="66">
        <f t="shared" si="10"/>
        <v>10</v>
      </c>
      <c r="Q24" s="67">
        <f t="shared" si="11"/>
        <v>289.416660884225</v>
      </c>
      <c r="R24" s="71">
        <f t="shared" si="12"/>
        <v>414.67917521295658</v>
      </c>
      <c r="S24" s="64">
        <f t="shared" si="13"/>
        <v>124.97809748516489</v>
      </c>
      <c r="T24" s="7"/>
      <c r="U24" s="81">
        <v>-1</v>
      </c>
      <c r="V24" s="64">
        <f t="shared" si="14"/>
        <v>300.916660884225</v>
      </c>
      <c r="W24" s="64">
        <f t="shared" si="15"/>
        <v>142.07608683062017</v>
      </c>
      <c r="X24" s="64">
        <f t="shared" si="16"/>
        <v>442.99274771484517</v>
      </c>
      <c r="Y24" s="65">
        <f t="shared" si="17"/>
        <v>11.5</v>
      </c>
      <c r="Z24" s="66">
        <f t="shared" si="18"/>
        <v>10</v>
      </c>
      <c r="AA24" s="67">
        <f t="shared" si="19"/>
        <v>289.416660884225</v>
      </c>
      <c r="AB24" s="71">
        <f t="shared" si="20"/>
        <v>432.99274771484517</v>
      </c>
      <c r="AC24" s="64">
        <f t="shared" si="21"/>
        <v>62.489048742582447</v>
      </c>
      <c r="AD24" s="7"/>
      <c r="AE24" s="81">
        <v>-1</v>
      </c>
      <c r="AF24" s="64">
        <f t="shared" si="22"/>
        <v>300.916660884225</v>
      </c>
      <c r="AG24" s="64">
        <f t="shared" si="23"/>
        <v>150.75196684336686</v>
      </c>
      <c r="AH24" s="64">
        <f t="shared" si="24"/>
        <v>451.66862772759185</v>
      </c>
      <c r="AI24" s="65">
        <f t="shared" si="25"/>
        <v>11.5</v>
      </c>
      <c r="AJ24" s="66">
        <f t="shared" si="26"/>
        <v>10</v>
      </c>
      <c r="AK24" s="67">
        <f t="shared" si="27"/>
        <v>289.416660884225</v>
      </c>
      <c r="AL24" s="71">
        <f t="shared" si="28"/>
        <v>441.66862772759185</v>
      </c>
      <c r="AM24" s="64">
        <f t="shared" si="29"/>
        <v>31.244524371291224</v>
      </c>
      <c r="AN24" s="7"/>
      <c r="AO24" s="72">
        <v>1.0138949380125761</v>
      </c>
      <c r="AP24" s="7">
        <f>Mode3!H24</f>
        <v>448.03603941282506</v>
      </c>
    </row>
    <row r="25" spans="1:42" s="94" customFormat="1">
      <c r="A25" s="81">
        <v>0</v>
      </c>
      <c r="B25" s="64">
        <f>Mode3!B25</f>
        <v>301.71083839594246</v>
      </c>
      <c r="C25" s="64">
        <f t="shared" si="0"/>
        <v>105.28609038320121</v>
      </c>
      <c r="D25" s="64">
        <f t="shared" si="1"/>
        <v>406.99692877914367</v>
      </c>
      <c r="E25" s="65">
        <f t="shared" si="2"/>
        <v>11.5</v>
      </c>
      <c r="F25" s="66">
        <f t="shared" si="30"/>
        <v>10</v>
      </c>
      <c r="G25" s="67">
        <f t="shared" si="3"/>
        <v>290.21083839594246</v>
      </c>
      <c r="H25" s="68">
        <f t="shared" si="4"/>
        <v>396.99692877914367</v>
      </c>
      <c r="I25" s="64">
        <f t="shared" si="5"/>
        <v>187.97295134721756</v>
      </c>
      <c r="J25" s="7"/>
      <c r="K25" s="81">
        <v>0</v>
      </c>
      <c r="L25" s="64">
        <f t="shared" si="6"/>
        <v>301.71083839594246</v>
      </c>
      <c r="M25" s="64">
        <f t="shared" si="7"/>
        <v>124.08641854115223</v>
      </c>
      <c r="N25" s="64">
        <f t="shared" si="8"/>
        <v>425.79725693709469</v>
      </c>
      <c r="O25" s="65">
        <f t="shared" si="9"/>
        <v>11.5</v>
      </c>
      <c r="P25" s="66">
        <f t="shared" si="10"/>
        <v>10</v>
      </c>
      <c r="Q25" s="67">
        <f t="shared" si="11"/>
        <v>290.21083839594246</v>
      </c>
      <c r="R25" s="68">
        <f t="shared" si="12"/>
        <v>415.79725693709469</v>
      </c>
      <c r="S25" s="64">
        <f t="shared" si="13"/>
        <v>125.31530089814511</v>
      </c>
      <c r="T25" s="7"/>
      <c r="U25" s="81">
        <v>0</v>
      </c>
      <c r="V25" s="64">
        <f t="shared" si="14"/>
        <v>301.71083839594246</v>
      </c>
      <c r="W25" s="64">
        <f t="shared" si="15"/>
        <v>142.44982244706193</v>
      </c>
      <c r="X25" s="64">
        <f t="shared" si="16"/>
        <v>444.16066084300439</v>
      </c>
      <c r="Y25" s="65">
        <f t="shared" si="17"/>
        <v>11.5</v>
      </c>
      <c r="Z25" s="66">
        <f t="shared" si="18"/>
        <v>10</v>
      </c>
      <c r="AA25" s="67">
        <f t="shared" si="19"/>
        <v>290.21083839594246</v>
      </c>
      <c r="AB25" s="68">
        <f t="shared" si="20"/>
        <v>434.16066084300439</v>
      </c>
      <c r="AC25" s="64">
        <f t="shared" si="21"/>
        <v>62.657650449072555</v>
      </c>
      <c r="AD25" s="7"/>
      <c r="AE25" s="81">
        <v>0</v>
      </c>
      <c r="AF25" s="64">
        <f t="shared" si="22"/>
        <v>301.71083839594246</v>
      </c>
      <c r="AG25" s="64">
        <f t="shared" si="23"/>
        <v>151.14930961139572</v>
      </c>
      <c r="AH25" s="64">
        <f t="shared" si="24"/>
        <v>452.86014800733818</v>
      </c>
      <c r="AI25" s="65">
        <f t="shared" si="25"/>
        <v>11.5</v>
      </c>
      <c r="AJ25" s="66">
        <f t="shared" si="26"/>
        <v>10</v>
      </c>
      <c r="AK25" s="67">
        <f t="shared" si="27"/>
        <v>290.21083839594246</v>
      </c>
      <c r="AL25" s="68">
        <f t="shared" si="28"/>
        <v>442.86014800733818</v>
      </c>
      <c r="AM25" s="64">
        <f t="shared" si="29"/>
        <v>31.328825224536278</v>
      </c>
      <c r="AN25" s="7"/>
      <c r="AO25" s="94">
        <v>1.0139181032297029</v>
      </c>
      <c r="AP25" s="8">
        <f>Mode3!H25</f>
        <v>449.24488548000159</v>
      </c>
    </row>
    <row r="26" spans="1:42" s="94" customFormat="1">
      <c r="A26" s="81">
        <v>1</v>
      </c>
      <c r="B26" s="64">
        <f>Mode3!B26</f>
        <v>301.17291764177224</v>
      </c>
      <c r="C26" s="64">
        <f t="shared" si="0"/>
        <v>105.09925763821553</v>
      </c>
      <c r="D26" s="64">
        <f t="shared" si="1"/>
        <v>406.27217527998778</v>
      </c>
      <c r="E26" s="65">
        <f t="shared" si="2"/>
        <v>11.5</v>
      </c>
      <c r="F26" s="66">
        <f t="shared" si="30"/>
        <v>10</v>
      </c>
      <c r="G26" s="67">
        <f t="shared" si="3"/>
        <v>289.67291764177224</v>
      </c>
      <c r="H26" s="71">
        <f t="shared" si="4"/>
        <v>396.27217527998778</v>
      </c>
      <c r="I26" s="64">
        <f t="shared" si="5"/>
        <v>187.63035404709981</v>
      </c>
      <c r="J26" s="7"/>
      <c r="K26" s="81">
        <v>1</v>
      </c>
      <c r="L26" s="64">
        <f t="shared" si="6"/>
        <v>301.17291764177224</v>
      </c>
      <c r="M26" s="64">
        <f t="shared" si="7"/>
        <v>123.86574929070235</v>
      </c>
      <c r="N26" s="64">
        <f t="shared" si="8"/>
        <v>425.0386669324746</v>
      </c>
      <c r="O26" s="65">
        <f t="shared" si="9"/>
        <v>11.5</v>
      </c>
      <c r="P26" s="66">
        <f t="shared" si="10"/>
        <v>10</v>
      </c>
      <c r="Q26" s="67">
        <f t="shared" si="11"/>
        <v>289.67291764177224</v>
      </c>
      <c r="R26" s="71">
        <f t="shared" si="12"/>
        <v>415.0386669324746</v>
      </c>
      <c r="S26" s="64">
        <f t="shared" si="13"/>
        <v>125.08690269806661</v>
      </c>
      <c r="T26" s="7"/>
      <c r="U26" s="81">
        <v>1</v>
      </c>
      <c r="V26" s="64">
        <f t="shared" si="14"/>
        <v>301.17291764177224</v>
      </c>
      <c r="W26" s="64">
        <f t="shared" si="15"/>
        <v>142.19610305985992</v>
      </c>
      <c r="X26" s="64">
        <f t="shared" si="16"/>
        <v>443.36902070163217</v>
      </c>
      <c r="Y26" s="65">
        <f t="shared" si="17"/>
        <v>11.5</v>
      </c>
      <c r="Z26" s="66">
        <f t="shared" si="18"/>
        <v>10</v>
      </c>
      <c r="AA26" s="67">
        <f t="shared" si="19"/>
        <v>289.67291764177224</v>
      </c>
      <c r="AB26" s="71">
        <f t="shared" si="20"/>
        <v>433.36902070163217</v>
      </c>
      <c r="AC26" s="64">
        <f t="shared" si="21"/>
        <v>62.543451349033305</v>
      </c>
      <c r="AD26" s="7"/>
      <c r="AE26" s="81">
        <v>1</v>
      </c>
      <c r="AF26" s="64">
        <f t="shared" si="22"/>
        <v>301.17291764177224</v>
      </c>
      <c r="AG26" s="64">
        <f t="shared" si="23"/>
        <v>150.87993303765421</v>
      </c>
      <c r="AH26" s="64">
        <f t="shared" si="24"/>
        <v>452.05285067942646</v>
      </c>
      <c r="AI26" s="65">
        <f t="shared" si="25"/>
        <v>11.5</v>
      </c>
      <c r="AJ26" s="66">
        <f t="shared" si="26"/>
        <v>10</v>
      </c>
      <c r="AK26" s="67">
        <f t="shared" si="27"/>
        <v>289.67291764177224</v>
      </c>
      <c r="AL26" s="71">
        <f t="shared" si="28"/>
        <v>442.05285067942646</v>
      </c>
      <c r="AM26" s="64">
        <f t="shared" si="29"/>
        <v>31.271725674516652</v>
      </c>
      <c r="AN26" s="7"/>
      <c r="AO26" s="94">
        <v>1.0139412684468294</v>
      </c>
      <c r="AP26" s="8">
        <f>Mode3!H26</f>
        <v>448.42609701201155</v>
      </c>
    </row>
    <row r="27" spans="1:42" s="94" customFormat="1">
      <c r="A27" s="81">
        <v>2</v>
      </c>
      <c r="B27" s="64">
        <f>Mode3!B27</f>
        <v>300.61418022983611</v>
      </c>
      <c r="C27" s="64">
        <f t="shared" si="0"/>
        <v>104.90524540062893</v>
      </c>
      <c r="D27" s="64">
        <f t="shared" si="1"/>
        <v>405.51942563046504</v>
      </c>
      <c r="E27" s="65">
        <f t="shared" si="2"/>
        <v>11.5</v>
      </c>
      <c r="F27" s="66">
        <f t="shared" si="30"/>
        <v>10</v>
      </c>
      <c r="G27" s="67">
        <f t="shared" si="3"/>
        <v>289.11418022983611</v>
      </c>
      <c r="H27" s="71">
        <f t="shared" si="4"/>
        <v>395.51942563046504</v>
      </c>
      <c r="I27" s="64">
        <f t="shared" si="5"/>
        <v>187.27449878901561</v>
      </c>
      <c r="J27" s="7"/>
      <c r="K27" s="81">
        <v>2</v>
      </c>
      <c r="L27" s="64">
        <f t="shared" si="6"/>
        <v>300.61418022983611</v>
      </c>
      <c r="M27" s="64">
        <f t="shared" si="7"/>
        <v>123.63657291160848</v>
      </c>
      <c r="N27" s="64">
        <f t="shared" si="8"/>
        <v>424.25075314144459</v>
      </c>
      <c r="O27" s="65">
        <f t="shared" si="9"/>
        <v>11.5</v>
      </c>
      <c r="P27" s="66">
        <f t="shared" si="10"/>
        <v>10</v>
      </c>
      <c r="Q27" s="67">
        <f t="shared" si="11"/>
        <v>289.11418022983611</v>
      </c>
      <c r="R27" s="71">
        <f t="shared" si="12"/>
        <v>414.25075314144459</v>
      </c>
      <c r="S27" s="64">
        <f t="shared" si="13"/>
        <v>124.8496658593438</v>
      </c>
      <c r="T27" s="7"/>
      <c r="U27" s="81">
        <v>2</v>
      </c>
      <c r="V27" s="64">
        <f t="shared" si="14"/>
        <v>300.61418022983611</v>
      </c>
      <c r="W27" s="64">
        <f t="shared" si="15"/>
        <v>141.93257976255927</v>
      </c>
      <c r="X27" s="64">
        <f t="shared" si="16"/>
        <v>442.54675999239538</v>
      </c>
      <c r="Y27" s="65">
        <f t="shared" si="17"/>
        <v>11.5</v>
      </c>
      <c r="Z27" s="66">
        <f t="shared" si="18"/>
        <v>10</v>
      </c>
      <c r="AA27" s="67">
        <f t="shared" si="19"/>
        <v>289.11418022983611</v>
      </c>
      <c r="AB27" s="71">
        <f t="shared" si="20"/>
        <v>432.54675999239538</v>
      </c>
      <c r="AC27" s="64">
        <f t="shared" si="21"/>
        <v>62.424832929671901</v>
      </c>
      <c r="AD27" s="7"/>
      <c r="AE27" s="81">
        <v>2</v>
      </c>
      <c r="AF27" s="64">
        <f t="shared" si="22"/>
        <v>300.61418022983611</v>
      </c>
      <c r="AG27" s="64">
        <f t="shared" si="23"/>
        <v>150.60013821598886</v>
      </c>
      <c r="AH27" s="64">
        <f t="shared" si="24"/>
        <v>451.21431844582497</v>
      </c>
      <c r="AI27" s="65">
        <f t="shared" si="25"/>
        <v>11.5</v>
      </c>
      <c r="AJ27" s="66">
        <f t="shared" si="26"/>
        <v>10</v>
      </c>
      <c r="AK27" s="67">
        <f t="shared" si="27"/>
        <v>289.11418022983611</v>
      </c>
      <c r="AL27" s="71">
        <f t="shared" si="28"/>
        <v>441.21431844582497</v>
      </c>
      <c r="AM27" s="64">
        <f t="shared" si="29"/>
        <v>31.21241646483595</v>
      </c>
      <c r="AN27" s="7"/>
      <c r="AO27" s="94">
        <v>1.0139644336639562</v>
      </c>
      <c r="AP27" s="8">
        <f>Mode3!H27</f>
        <v>447.57562276281919</v>
      </c>
    </row>
    <row r="28" spans="1:42" s="94" customFormat="1">
      <c r="A28" s="81">
        <v>3</v>
      </c>
      <c r="B28" s="64">
        <f>Mode3!B28</f>
        <v>300.03195934090326</v>
      </c>
      <c r="C28" s="64">
        <f t="shared" si="0"/>
        <v>104.70313361253062</v>
      </c>
      <c r="D28" s="64">
        <f t="shared" si="1"/>
        <v>404.73509295343388</v>
      </c>
      <c r="E28" s="65">
        <f t="shared" si="2"/>
        <v>11.5</v>
      </c>
      <c r="F28" s="66">
        <f t="shared" si="30"/>
        <v>10</v>
      </c>
      <c r="G28" s="67">
        <f t="shared" si="3"/>
        <v>288.53195934090326</v>
      </c>
      <c r="H28" s="71">
        <f t="shared" si="4"/>
        <v>394.73509295343388</v>
      </c>
      <c r="I28" s="64">
        <f t="shared" si="5"/>
        <v>186.90368709775029</v>
      </c>
      <c r="J28" s="7"/>
      <c r="K28" s="81">
        <v>3</v>
      </c>
      <c r="L28" s="64">
        <f t="shared" si="6"/>
        <v>300.03195934090326</v>
      </c>
      <c r="M28" s="64">
        <f t="shared" si="7"/>
        <v>123.39779936850243</v>
      </c>
      <c r="N28" s="64">
        <f t="shared" si="8"/>
        <v>423.42975870940569</v>
      </c>
      <c r="O28" s="65">
        <f t="shared" si="9"/>
        <v>11.5</v>
      </c>
      <c r="P28" s="66">
        <f t="shared" si="10"/>
        <v>10</v>
      </c>
      <c r="Q28" s="67">
        <f t="shared" si="11"/>
        <v>288.53195934090326</v>
      </c>
      <c r="R28" s="71">
        <f t="shared" si="12"/>
        <v>413.42975870940569</v>
      </c>
      <c r="S28" s="64">
        <f t="shared" si="13"/>
        <v>124.60245806516691</v>
      </c>
      <c r="T28" s="7"/>
      <c r="U28" s="81">
        <v>3</v>
      </c>
      <c r="V28" s="64">
        <f t="shared" si="14"/>
        <v>300.03195934090326</v>
      </c>
      <c r="W28" s="64">
        <f t="shared" si="15"/>
        <v>141.65799649265216</v>
      </c>
      <c r="X28" s="64">
        <f t="shared" si="16"/>
        <v>441.68995583355542</v>
      </c>
      <c r="Y28" s="65">
        <f t="shared" si="17"/>
        <v>11.5</v>
      </c>
      <c r="Z28" s="66">
        <f t="shared" si="18"/>
        <v>10</v>
      </c>
      <c r="AA28" s="67">
        <f t="shared" si="19"/>
        <v>288.53195934090326</v>
      </c>
      <c r="AB28" s="71">
        <f t="shared" si="20"/>
        <v>431.68995583355542</v>
      </c>
      <c r="AC28" s="64">
        <f t="shared" si="21"/>
        <v>62.301229032583457</v>
      </c>
      <c r="AD28" s="7"/>
      <c r="AE28" s="81">
        <v>3</v>
      </c>
      <c r="AF28" s="64">
        <f t="shared" si="22"/>
        <v>300.03195934090326</v>
      </c>
      <c r="AG28" s="64">
        <f t="shared" si="23"/>
        <v>150.30859043012055</v>
      </c>
      <c r="AH28" s="64">
        <f t="shared" si="24"/>
        <v>450.3405497710238</v>
      </c>
      <c r="AI28" s="65">
        <f t="shared" si="25"/>
        <v>11.5</v>
      </c>
      <c r="AJ28" s="66">
        <f t="shared" si="26"/>
        <v>10</v>
      </c>
      <c r="AK28" s="67">
        <f t="shared" si="27"/>
        <v>288.53195934090326</v>
      </c>
      <c r="AL28" s="71">
        <f t="shared" si="28"/>
        <v>440.3405497710238</v>
      </c>
      <c r="AM28" s="64">
        <f t="shared" si="29"/>
        <v>31.150614516291729</v>
      </c>
      <c r="AN28" s="7"/>
      <c r="AO28" s="94">
        <v>1.0139875988810829</v>
      </c>
      <c r="AP28" s="8">
        <f>Mode3!H28</f>
        <v>446.68940347124982</v>
      </c>
    </row>
    <row r="29" spans="1:42" s="94" customFormat="1">
      <c r="A29" s="81">
        <v>4</v>
      </c>
      <c r="B29" s="64">
        <f>Mode3!B29</f>
        <v>299.42361329333698</v>
      </c>
      <c r="C29" s="64">
        <f t="shared" si="0"/>
        <v>104.49201093395374</v>
      </c>
      <c r="D29" s="64">
        <f t="shared" si="1"/>
        <v>403.91562422729072</v>
      </c>
      <c r="E29" s="65">
        <f t="shared" si="2"/>
        <v>11.5</v>
      </c>
      <c r="F29" s="66">
        <f t="shared" si="30"/>
        <v>10</v>
      </c>
      <c r="G29" s="67">
        <f t="shared" si="3"/>
        <v>287.92361329333698</v>
      </c>
      <c r="H29" s="71">
        <f t="shared" si="4"/>
        <v>393.91562422729072</v>
      </c>
      <c r="I29" s="64">
        <f t="shared" si="5"/>
        <v>186.51623650801611</v>
      </c>
      <c r="J29" s="7"/>
      <c r="K29" s="81">
        <v>4</v>
      </c>
      <c r="L29" s="64">
        <f t="shared" si="6"/>
        <v>299.42361329333698</v>
      </c>
      <c r="M29" s="64">
        <f t="shared" si="7"/>
        <v>123.14834892983248</v>
      </c>
      <c r="N29" s="64">
        <f t="shared" si="8"/>
        <v>422.57196222316946</v>
      </c>
      <c r="O29" s="65">
        <f t="shared" si="9"/>
        <v>11.5</v>
      </c>
      <c r="P29" s="66">
        <f t="shared" si="10"/>
        <v>10</v>
      </c>
      <c r="Q29" s="67">
        <f t="shared" si="11"/>
        <v>287.92361329333698</v>
      </c>
      <c r="R29" s="71">
        <f t="shared" si="12"/>
        <v>412.57196222316946</v>
      </c>
      <c r="S29" s="64">
        <f t="shared" si="13"/>
        <v>124.34415767201078</v>
      </c>
      <c r="T29" s="7"/>
      <c r="U29" s="81">
        <v>4</v>
      </c>
      <c r="V29" s="64">
        <f t="shared" si="14"/>
        <v>299.42361329333698</v>
      </c>
      <c r="W29" s="64">
        <f t="shared" si="15"/>
        <v>141.37110904046392</v>
      </c>
      <c r="X29" s="64">
        <f t="shared" si="16"/>
        <v>440.79472233380091</v>
      </c>
      <c r="Y29" s="65">
        <f t="shared" si="17"/>
        <v>11.5</v>
      </c>
      <c r="Z29" s="66">
        <f t="shared" si="18"/>
        <v>10</v>
      </c>
      <c r="AA29" s="67">
        <f t="shared" si="19"/>
        <v>287.92361329333698</v>
      </c>
      <c r="AB29" s="71">
        <f t="shared" si="20"/>
        <v>430.79472233380091</v>
      </c>
      <c r="AC29" s="64">
        <f t="shared" si="21"/>
        <v>62.17207883600539</v>
      </c>
      <c r="AD29" s="7"/>
      <c r="AE29" s="81">
        <v>4</v>
      </c>
      <c r="AF29" s="64">
        <f t="shared" si="22"/>
        <v>299.42361329333698</v>
      </c>
      <c r="AG29" s="64">
        <f t="shared" si="23"/>
        <v>150.00396755043516</v>
      </c>
      <c r="AH29" s="64">
        <f t="shared" si="24"/>
        <v>449.42758084377215</v>
      </c>
      <c r="AI29" s="65">
        <f t="shared" si="25"/>
        <v>11.5</v>
      </c>
      <c r="AJ29" s="66">
        <f t="shared" si="26"/>
        <v>10</v>
      </c>
      <c r="AK29" s="67">
        <f t="shared" si="27"/>
        <v>287.92361329333698</v>
      </c>
      <c r="AL29" s="71">
        <f t="shared" si="28"/>
        <v>439.42758084377215</v>
      </c>
      <c r="AM29" s="64">
        <f t="shared" si="29"/>
        <v>31.086039418002695</v>
      </c>
      <c r="AN29" s="7"/>
      <c r="AO29" s="94">
        <v>1.0140107640982097</v>
      </c>
      <c r="AP29" s="8">
        <f>Mode3!H29</f>
        <v>445.76341813896238</v>
      </c>
    </row>
    <row r="30" spans="1:42" s="94" customFormat="1">
      <c r="A30" s="81">
        <v>5</v>
      </c>
      <c r="B30" s="64">
        <f>Mode3!B30</f>
        <v>298.7865508391854</v>
      </c>
      <c r="C30" s="64">
        <f t="shared" si="0"/>
        <v>104.270983471759</v>
      </c>
      <c r="D30" s="64">
        <f t="shared" si="1"/>
        <v>403.05753431094439</v>
      </c>
      <c r="E30" s="65">
        <f t="shared" si="2"/>
        <v>11.5</v>
      </c>
      <c r="F30" s="66">
        <f t="shared" si="30"/>
        <v>10</v>
      </c>
      <c r="G30" s="67">
        <f t="shared" si="3"/>
        <v>287.2865508391854</v>
      </c>
      <c r="H30" s="71">
        <f t="shared" si="4"/>
        <v>393.05753431094439</v>
      </c>
      <c r="I30" s="64">
        <f t="shared" si="5"/>
        <v>186.11049667532382</v>
      </c>
      <c r="J30" s="7"/>
      <c r="K30" s="81">
        <v>5</v>
      </c>
      <c r="L30" s="64">
        <f t="shared" si="6"/>
        <v>298.7865508391854</v>
      </c>
      <c r="M30" s="64">
        <f t="shared" si="7"/>
        <v>122.88716250846124</v>
      </c>
      <c r="N30" s="64">
        <f t="shared" si="8"/>
        <v>421.67371334764664</v>
      </c>
      <c r="O30" s="65">
        <f t="shared" si="9"/>
        <v>11.5</v>
      </c>
      <c r="P30" s="66">
        <f t="shared" si="10"/>
        <v>10</v>
      </c>
      <c r="Q30" s="67">
        <f t="shared" si="11"/>
        <v>287.2865508391854</v>
      </c>
      <c r="R30" s="71">
        <f t="shared" si="12"/>
        <v>411.67371334764664</v>
      </c>
      <c r="S30" s="64">
        <f t="shared" si="13"/>
        <v>124.07366445021592</v>
      </c>
      <c r="T30" s="7"/>
      <c r="U30" s="81">
        <v>5</v>
      </c>
      <c r="V30" s="64">
        <f t="shared" si="14"/>
        <v>298.7865508391854</v>
      </c>
      <c r="W30" s="64">
        <f t="shared" si="15"/>
        <v>141.07069696400816</v>
      </c>
      <c r="X30" s="64">
        <f t="shared" si="16"/>
        <v>439.85724780319356</v>
      </c>
      <c r="Y30" s="65">
        <f t="shared" si="17"/>
        <v>11.5</v>
      </c>
      <c r="Z30" s="66">
        <f t="shared" si="18"/>
        <v>10</v>
      </c>
      <c r="AA30" s="67">
        <f t="shared" si="19"/>
        <v>287.2865508391854</v>
      </c>
      <c r="AB30" s="71">
        <f t="shared" si="20"/>
        <v>429.85724780319356</v>
      </c>
      <c r="AC30" s="64">
        <f t="shared" si="21"/>
        <v>62.036832225107958</v>
      </c>
      <c r="AD30" s="7"/>
      <c r="AE30" s="81">
        <v>5</v>
      </c>
      <c r="AF30" s="64">
        <f t="shared" si="22"/>
        <v>298.7865508391854</v>
      </c>
      <c r="AG30" s="64">
        <f t="shared" si="23"/>
        <v>149.68497269462824</v>
      </c>
      <c r="AH30" s="64">
        <f t="shared" si="24"/>
        <v>448.47152353381364</v>
      </c>
      <c r="AI30" s="65">
        <f t="shared" si="25"/>
        <v>11.5</v>
      </c>
      <c r="AJ30" s="66">
        <f t="shared" si="26"/>
        <v>10</v>
      </c>
      <c r="AK30" s="67">
        <f t="shared" si="27"/>
        <v>287.2865508391854</v>
      </c>
      <c r="AL30" s="71">
        <f t="shared" si="28"/>
        <v>438.47152353381364</v>
      </c>
      <c r="AM30" s="64">
        <f t="shared" si="29"/>
        <v>31.018416112553979</v>
      </c>
      <c r="AN30" s="7"/>
      <c r="AO30" s="94">
        <v>1.0140339293153364</v>
      </c>
      <c r="AP30" s="8">
        <f>Mode3!H30</f>
        <v>444.79372253453562</v>
      </c>
    </row>
    <row r="31" spans="1:42" s="94" customFormat="1">
      <c r="A31" s="81">
        <v>6</v>
      </c>
      <c r="B31" s="64">
        <f>Mode3!B31</f>
        <v>298.08256628591647</v>
      </c>
      <c r="C31" s="64">
        <f t="shared" si="0"/>
        <v>104.02686737985925</v>
      </c>
      <c r="D31" s="64">
        <f t="shared" si="1"/>
        <v>402.10943366577573</v>
      </c>
      <c r="E31" s="65">
        <f t="shared" si="2"/>
        <v>11.5</v>
      </c>
      <c r="F31" s="66">
        <f t="shared" si="30"/>
        <v>10</v>
      </c>
      <c r="G31" s="67">
        <f t="shared" si="3"/>
        <v>286.58256628591647</v>
      </c>
      <c r="H31" s="71">
        <f t="shared" si="4"/>
        <v>392.10943366577573</v>
      </c>
      <c r="I31" s="64">
        <f t="shared" si="5"/>
        <v>185.66213470861265</v>
      </c>
      <c r="J31" s="7"/>
      <c r="K31" s="81">
        <v>6</v>
      </c>
      <c r="L31" s="64">
        <f t="shared" si="6"/>
        <v>298.08256628591647</v>
      </c>
      <c r="M31" s="64">
        <f t="shared" si="7"/>
        <v>122.59862211757894</v>
      </c>
      <c r="N31" s="64">
        <f t="shared" si="8"/>
        <v>420.68118840349541</v>
      </c>
      <c r="O31" s="65">
        <f t="shared" si="9"/>
        <v>11.5</v>
      </c>
      <c r="P31" s="66">
        <f t="shared" si="10"/>
        <v>10</v>
      </c>
      <c r="Q31" s="67">
        <f t="shared" si="11"/>
        <v>286.58256628591647</v>
      </c>
      <c r="R31" s="71">
        <f t="shared" si="12"/>
        <v>410.68118840349541</v>
      </c>
      <c r="S31" s="64">
        <f t="shared" si="13"/>
        <v>123.77475647240846</v>
      </c>
      <c r="T31" s="7"/>
      <c r="U31" s="81">
        <v>6</v>
      </c>
      <c r="V31" s="64">
        <f t="shared" si="14"/>
        <v>298.08256628591647</v>
      </c>
      <c r="W31" s="64">
        <f t="shared" si="15"/>
        <v>140.73876470578176</v>
      </c>
      <c r="X31" s="64">
        <f t="shared" si="16"/>
        <v>438.82133099169823</v>
      </c>
      <c r="Y31" s="65">
        <f t="shared" si="17"/>
        <v>11.5</v>
      </c>
      <c r="Z31" s="66">
        <f t="shared" si="18"/>
        <v>10</v>
      </c>
      <c r="AA31" s="67">
        <f t="shared" si="19"/>
        <v>286.58256628591647</v>
      </c>
      <c r="AB31" s="71">
        <f t="shared" si="20"/>
        <v>428.82133099169823</v>
      </c>
      <c r="AC31" s="64">
        <f t="shared" si="21"/>
        <v>61.887378236204228</v>
      </c>
      <c r="AD31" s="7"/>
      <c r="AE31" s="81">
        <v>6</v>
      </c>
      <c r="AF31" s="64">
        <f t="shared" si="22"/>
        <v>298.08256628591647</v>
      </c>
      <c r="AG31" s="64">
        <f t="shared" si="23"/>
        <v>149.33248395379491</v>
      </c>
      <c r="AH31" s="64">
        <f t="shared" si="24"/>
        <v>447.41505023971138</v>
      </c>
      <c r="AI31" s="65">
        <f t="shared" si="25"/>
        <v>11.5</v>
      </c>
      <c r="AJ31" s="66">
        <f t="shared" si="26"/>
        <v>10</v>
      </c>
      <c r="AK31" s="67">
        <f t="shared" si="27"/>
        <v>286.58256628591647</v>
      </c>
      <c r="AL31" s="71">
        <f t="shared" si="28"/>
        <v>437.41505023971138</v>
      </c>
      <c r="AM31" s="64">
        <f t="shared" si="29"/>
        <v>30.943689118102114</v>
      </c>
      <c r="AN31" s="7"/>
      <c r="AO31" s="94">
        <v>1.0140570945324632</v>
      </c>
      <c r="AP31" s="8">
        <f>Mode3!H31</f>
        <v>443.7221624034363</v>
      </c>
    </row>
    <row r="32" spans="1:42" s="94" customFormat="1">
      <c r="A32" s="81">
        <v>7</v>
      </c>
      <c r="B32" s="64">
        <f>Mode3!B32</f>
        <v>297.33524531806978</v>
      </c>
      <c r="C32" s="64">
        <f t="shared" si="0"/>
        <v>103.76780243040167</v>
      </c>
      <c r="D32" s="64">
        <f t="shared" si="1"/>
        <v>401.10304774847145</v>
      </c>
      <c r="E32" s="65">
        <f t="shared" si="2"/>
        <v>11.5</v>
      </c>
      <c r="F32" s="66">
        <f t="shared" si="30"/>
        <v>10</v>
      </c>
      <c r="G32" s="67">
        <f t="shared" si="3"/>
        <v>285.83524531806978</v>
      </c>
      <c r="H32" s="71">
        <f t="shared" si="4"/>
        <v>391.10304774847145</v>
      </c>
      <c r="I32" s="64">
        <f t="shared" si="5"/>
        <v>185.18617213620615</v>
      </c>
      <c r="J32" s="7"/>
      <c r="K32" s="81">
        <v>7</v>
      </c>
      <c r="L32" s="64">
        <f t="shared" si="6"/>
        <v>297.33524531806978</v>
      </c>
      <c r="M32" s="64">
        <f t="shared" si="7"/>
        <v>122.2923698726363</v>
      </c>
      <c r="N32" s="64">
        <f t="shared" si="8"/>
        <v>419.62761519070608</v>
      </c>
      <c r="O32" s="65">
        <f t="shared" si="9"/>
        <v>11.5</v>
      </c>
      <c r="P32" s="66">
        <f t="shared" si="10"/>
        <v>10</v>
      </c>
      <c r="Q32" s="67">
        <f t="shared" si="11"/>
        <v>285.83524531806978</v>
      </c>
      <c r="R32" s="71">
        <f t="shared" si="12"/>
        <v>409.62761519070608</v>
      </c>
      <c r="S32" s="64">
        <f t="shared" si="13"/>
        <v>123.45744809080412</v>
      </c>
      <c r="T32" s="7"/>
      <c r="U32" s="81">
        <v>7</v>
      </c>
      <c r="V32" s="64">
        <f t="shared" si="14"/>
        <v>297.33524531806978</v>
      </c>
      <c r="W32" s="64">
        <f t="shared" si="15"/>
        <v>140.38642180971118</v>
      </c>
      <c r="X32" s="64">
        <f t="shared" si="16"/>
        <v>437.72166712778096</v>
      </c>
      <c r="Y32" s="65">
        <f t="shared" si="17"/>
        <v>11.5</v>
      </c>
      <c r="Z32" s="66">
        <f t="shared" si="18"/>
        <v>10</v>
      </c>
      <c r="AA32" s="67">
        <f t="shared" si="19"/>
        <v>285.83524531806978</v>
      </c>
      <c r="AB32" s="71">
        <f t="shared" si="20"/>
        <v>427.72166712778096</v>
      </c>
      <c r="AC32" s="64">
        <f t="shared" si="21"/>
        <v>61.72872404540206</v>
      </c>
      <c r="AD32" s="7"/>
      <c r="AE32" s="81">
        <v>7</v>
      </c>
      <c r="AF32" s="64">
        <f t="shared" si="22"/>
        <v>297.33524531806978</v>
      </c>
      <c r="AG32" s="64">
        <f t="shared" si="23"/>
        <v>148.95830605208278</v>
      </c>
      <c r="AH32" s="64">
        <f t="shared" si="24"/>
        <v>446.29355137015256</v>
      </c>
      <c r="AI32" s="65">
        <f t="shared" si="25"/>
        <v>11.5</v>
      </c>
      <c r="AJ32" s="66">
        <f t="shared" si="26"/>
        <v>10</v>
      </c>
      <c r="AK32" s="67">
        <f t="shared" si="27"/>
        <v>285.83524531806978</v>
      </c>
      <c r="AL32" s="71">
        <f t="shared" si="28"/>
        <v>436.29355137015256</v>
      </c>
      <c r="AM32" s="64">
        <f t="shared" si="29"/>
        <v>30.86436202270103</v>
      </c>
      <c r="AN32" s="7"/>
      <c r="AO32" s="94">
        <v>1.0140802597495899</v>
      </c>
      <c r="AP32" s="8">
        <f>Mode3!H32</f>
        <v>442.58463836180675</v>
      </c>
    </row>
    <row r="33" spans="1:42" s="94" customFormat="1">
      <c r="A33" s="81">
        <v>8</v>
      </c>
      <c r="B33" s="64">
        <f>Mode3!B33</f>
        <v>296.56300815682295</v>
      </c>
      <c r="C33" s="64">
        <f t="shared" si="0"/>
        <v>103.50014553410011</v>
      </c>
      <c r="D33" s="64">
        <f t="shared" si="1"/>
        <v>400.06315369092306</v>
      </c>
      <c r="E33" s="65">
        <f t="shared" si="2"/>
        <v>11.5</v>
      </c>
      <c r="F33" s="66">
        <f t="shared" si="30"/>
        <v>10</v>
      </c>
      <c r="G33" s="67">
        <f t="shared" si="3"/>
        <v>285.06300815682295</v>
      </c>
      <c r="H33" s="71">
        <f t="shared" si="4"/>
        <v>390.06315369092306</v>
      </c>
      <c r="I33" s="64">
        <f t="shared" si="5"/>
        <v>184.69434064533559</v>
      </c>
      <c r="J33" s="7"/>
      <c r="K33" s="81">
        <v>8</v>
      </c>
      <c r="L33" s="64">
        <f t="shared" si="6"/>
        <v>296.56300815682295</v>
      </c>
      <c r="M33" s="64">
        <f t="shared" si="7"/>
        <v>121.97593606762024</v>
      </c>
      <c r="N33" s="64">
        <f t="shared" si="8"/>
        <v>418.53894422444318</v>
      </c>
      <c r="O33" s="65">
        <f t="shared" si="9"/>
        <v>11.5</v>
      </c>
      <c r="P33" s="66">
        <f t="shared" si="10"/>
        <v>10</v>
      </c>
      <c r="Q33" s="67">
        <f t="shared" si="11"/>
        <v>285.06300815682295</v>
      </c>
      <c r="R33" s="71">
        <f t="shared" si="12"/>
        <v>408.53894422444318</v>
      </c>
      <c r="S33" s="64">
        <f t="shared" si="13"/>
        <v>123.12956043022375</v>
      </c>
      <c r="T33" s="7"/>
      <c r="U33" s="81">
        <v>8</v>
      </c>
      <c r="V33" s="64">
        <f t="shared" si="14"/>
        <v>296.56300815682295</v>
      </c>
      <c r="W33" s="64">
        <f t="shared" si="15"/>
        <v>140.02234468334024</v>
      </c>
      <c r="X33" s="64">
        <f t="shared" si="16"/>
        <v>436.58535284016318</v>
      </c>
      <c r="Y33" s="65">
        <f t="shared" si="17"/>
        <v>11.5</v>
      </c>
      <c r="Z33" s="66">
        <f t="shared" si="18"/>
        <v>10</v>
      </c>
      <c r="AA33" s="67">
        <f t="shared" si="19"/>
        <v>285.06300815682295</v>
      </c>
      <c r="AB33" s="71">
        <f t="shared" si="20"/>
        <v>426.58535284016318</v>
      </c>
      <c r="AC33" s="64">
        <f t="shared" si="21"/>
        <v>61.564780215111874</v>
      </c>
      <c r="AD33" s="7"/>
      <c r="AE33" s="81">
        <v>8</v>
      </c>
      <c r="AF33" s="64">
        <f t="shared" si="22"/>
        <v>296.56300815682295</v>
      </c>
      <c r="AG33" s="64">
        <f t="shared" si="23"/>
        <v>148.57165835738385</v>
      </c>
      <c r="AH33" s="64">
        <f t="shared" si="24"/>
        <v>445.1346665142068</v>
      </c>
      <c r="AI33" s="65">
        <f t="shared" si="25"/>
        <v>11.5</v>
      </c>
      <c r="AJ33" s="66">
        <f t="shared" si="26"/>
        <v>10</v>
      </c>
      <c r="AK33" s="67">
        <f t="shared" si="27"/>
        <v>285.06300815682295</v>
      </c>
      <c r="AL33" s="71">
        <f t="shared" si="28"/>
        <v>435.1346665142068</v>
      </c>
      <c r="AM33" s="64">
        <f t="shared" si="29"/>
        <v>30.782390107555937</v>
      </c>
      <c r="AN33" s="7"/>
      <c r="AO33" s="94">
        <v>1.0141034249667167</v>
      </c>
      <c r="AP33" s="8">
        <f>Mode3!H33</f>
        <v>441.40918848879033</v>
      </c>
    </row>
    <row r="34" spans="1:42" s="94" customFormat="1">
      <c r="A34" s="81">
        <v>9</v>
      </c>
      <c r="B34" s="64">
        <f>Mode3!B34</f>
        <v>295.7498144033587</v>
      </c>
      <c r="C34" s="64">
        <f t="shared" si="0"/>
        <v>103.21836189397311</v>
      </c>
      <c r="D34" s="64">
        <f t="shared" si="1"/>
        <v>398.96817629733181</v>
      </c>
      <c r="E34" s="65">
        <f t="shared" si="2"/>
        <v>11.5</v>
      </c>
      <c r="F34" s="66">
        <f t="shared" si="30"/>
        <v>10</v>
      </c>
      <c r="G34" s="67">
        <f t="shared" si="3"/>
        <v>284.2498144033587</v>
      </c>
      <c r="H34" s="71">
        <f t="shared" si="4"/>
        <v>388.96817629733181</v>
      </c>
      <c r="I34" s="64">
        <f t="shared" si="5"/>
        <v>184.17642423804017</v>
      </c>
      <c r="J34" s="7"/>
      <c r="K34" s="81">
        <v>9</v>
      </c>
      <c r="L34" s="64">
        <f t="shared" si="6"/>
        <v>295.7498144033587</v>
      </c>
      <c r="M34" s="64">
        <f t="shared" si="7"/>
        <v>121.64276382202746</v>
      </c>
      <c r="N34" s="64">
        <f t="shared" si="8"/>
        <v>417.39257822538616</v>
      </c>
      <c r="O34" s="65">
        <f t="shared" si="9"/>
        <v>11.5</v>
      </c>
      <c r="P34" s="66">
        <f t="shared" si="10"/>
        <v>10</v>
      </c>
      <c r="Q34" s="67">
        <f t="shared" si="11"/>
        <v>284.2498144033587</v>
      </c>
      <c r="R34" s="71">
        <f t="shared" si="12"/>
        <v>407.39257822538616</v>
      </c>
      <c r="S34" s="64">
        <f t="shared" si="13"/>
        <v>122.78428282536014</v>
      </c>
      <c r="T34" s="7"/>
      <c r="U34" s="81">
        <v>9</v>
      </c>
      <c r="V34" s="64">
        <f t="shared" si="14"/>
        <v>295.7498144033587</v>
      </c>
      <c r="W34" s="64">
        <f t="shared" si="15"/>
        <v>139.6389781161165</v>
      </c>
      <c r="X34" s="64">
        <f t="shared" si="16"/>
        <v>435.3887925194752</v>
      </c>
      <c r="Y34" s="65">
        <f t="shared" si="17"/>
        <v>11.5</v>
      </c>
      <c r="Z34" s="66">
        <f t="shared" si="18"/>
        <v>10</v>
      </c>
      <c r="AA34" s="67">
        <f t="shared" si="19"/>
        <v>284.2498144033587</v>
      </c>
      <c r="AB34" s="71">
        <f t="shared" si="20"/>
        <v>425.3887925194752</v>
      </c>
      <c r="AC34" s="64">
        <f t="shared" si="21"/>
        <v>61.392141412680068</v>
      </c>
      <c r="AD34" s="7"/>
      <c r="AE34" s="81">
        <v>9</v>
      </c>
      <c r="AF34" s="64">
        <f t="shared" si="22"/>
        <v>295.7498144033587</v>
      </c>
      <c r="AG34" s="64">
        <f t="shared" si="23"/>
        <v>148.16451270982247</v>
      </c>
      <c r="AH34" s="64">
        <f t="shared" si="24"/>
        <v>443.91432711318117</v>
      </c>
      <c r="AI34" s="65">
        <f t="shared" si="25"/>
        <v>11.5</v>
      </c>
      <c r="AJ34" s="66">
        <f t="shared" si="26"/>
        <v>10</v>
      </c>
      <c r="AK34" s="67">
        <f t="shared" si="27"/>
        <v>284.2498144033587</v>
      </c>
      <c r="AL34" s="71">
        <f t="shared" si="28"/>
        <v>433.91432711318117</v>
      </c>
      <c r="AM34" s="64">
        <f t="shared" si="29"/>
        <v>30.696070706340034</v>
      </c>
      <c r="AN34" s="7"/>
      <c r="AO34" s="94">
        <v>1.0141265901838434</v>
      </c>
      <c r="AP34" s="8">
        <f>Mode3!H34</f>
        <v>440.17139711819118</v>
      </c>
    </row>
    <row r="35" spans="1:42" s="94" customFormat="1">
      <c r="A35" s="81">
        <v>10</v>
      </c>
      <c r="B35" s="64">
        <f>Mode3!B35</f>
        <v>294.893744977555</v>
      </c>
      <c r="C35" s="64">
        <f t="shared" si="0"/>
        <v>102.92178979310842</v>
      </c>
      <c r="D35" s="64">
        <f t="shared" si="1"/>
        <v>397.81553477066342</v>
      </c>
      <c r="E35" s="65">
        <f t="shared" si="2"/>
        <v>11.5</v>
      </c>
      <c r="F35" s="66">
        <f t="shared" si="30"/>
        <v>10</v>
      </c>
      <c r="G35" s="67">
        <f t="shared" si="3"/>
        <v>283.393744977555</v>
      </c>
      <c r="H35" s="68">
        <f t="shared" si="4"/>
        <v>387.81553477066342</v>
      </c>
      <c r="I35" s="64">
        <f t="shared" si="5"/>
        <v>183.63120066798822</v>
      </c>
      <c r="J35" s="7"/>
      <c r="K35" s="81">
        <v>10</v>
      </c>
      <c r="L35" s="64">
        <f t="shared" si="6"/>
        <v>294.893744977555</v>
      </c>
      <c r="M35" s="64">
        <f t="shared" si="7"/>
        <v>121.29206896784251</v>
      </c>
      <c r="N35" s="64">
        <f t="shared" si="8"/>
        <v>416.18581394539751</v>
      </c>
      <c r="O35" s="65">
        <f t="shared" si="9"/>
        <v>11.5</v>
      </c>
      <c r="P35" s="66">
        <f t="shared" si="10"/>
        <v>10</v>
      </c>
      <c r="Q35" s="67">
        <f t="shared" si="11"/>
        <v>283.393744977555</v>
      </c>
      <c r="R35" s="68">
        <f t="shared" si="12"/>
        <v>406.18581394539751</v>
      </c>
      <c r="S35" s="64">
        <f t="shared" si="13"/>
        <v>122.42080044532551</v>
      </c>
      <c r="T35" s="7"/>
      <c r="U35" s="81">
        <v>10</v>
      </c>
      <c r="V35" s="64">
        <f t="shared" si="14"/>
        <v>294.893744977555</v>
      </c>
      <c r="W35" s="64">
        <f t="shared" si="15"/>
        <v>139.23541833471489</v>
      </c>
      <c r="X35" s="64">
        <f t="shared" si="16"/>
        <v>434.1291633122699</v>
      </c>
      <c r="Y35" s="65">
        <f t="shared" si="17"/>
        <v>11.5</v>
      </c>
      <c r="Z35" s="66">
        <f t="shared" si="18"/>
        <v>10</v>
      </c>
      <c r="AA35" s="67">
        <f t="shared" si="19"/>
        <v>283.393744977555</v>
      </c>
      <c r="AB35" s="68">
        <f t="shared" si="20"/>
        <v>424.1291633122699</v>
      </c>
      <c r="AC35" s="64">
        <f t="shared" si="21"/>
        <v>61.210400222662756</v>
      </c>
      <c r="AD35" s="7"/>
      <c r="AE35" s="81">
        <v>10</v>
      </c>
      <c r="AF35" s="64">
        <f t="shared" si="22"/>
        <v>294.893744977555</v>
      </c>
      <c r="AG35" s="64">
        <f t="shared" si="23"/>
        <v>147.7359086742008</v>
      </c>
      <c r="AH35" s="64">
        <f t="shared" si="24"/>
        <v>442.6296536517558</v>
      </c>
      <c r="AI35" s="65">
        <f t="shared" si="25"/>
        <v>11.5</v>
      </c>
      <c r="AJ35" s="66">
        <f t="shared" si="26"/>
        <v>10</v>
      </c>
      <c r="AK35" s="67">
        <f t="shared" si="27"/>
        <v>283.393744977555</v>
      </c>
      <c r="AL35" s="68">
        <f t="shared" si="28"/>
        <v>432.6296536517558</v>
      </c>
      <c r="AM35" s="64">
        <f t="shared" si="29"/>
        <v>30.605200111331378</v>
      </c>
      <c r="AN35" s="7"/>
      <c r="AO35" s="94">
        <v>1.01414975540097</v>
      </c>
      <c r="AP35" s="8">
        <f>Mode3!H35</f>
        <v>438.86834314934362</v>
      </c>
    </row>
    <row r="36" spans="1:42" s="94" customFormat="1">
      <c r="A36" s="81">
        <v>11</v>
      </c>
      <c r="B36" s="64">
        <f>Mode3!B36</f>
        <v>293.99297297571434</v>
      </c>
      <c r="C36" s="64">
        <f t="shared" si="0"/>
        <v>102.75297794527546</v>
      </c>
      <c r="D36" s="64">
        <f t="shared" si="1"/>
        <v>396.7459509209898</v>
      </c>
      <c r="E36" s="65">
        <f t="shared" si="2"/>
        <v>11.5</v>
      </c>
      <c r="F36" s="66">
        <f t="shared" si="30"/>
        <v>10</v>
      </c>
      <c r="G36" s="67">
        <f t="shared" si="3"/>
        <v>282.49297297571434</v>
      </c>
      <c r="H36" s="71">
        <f t="shared" si="4"/>
        <v>386.7459509209898</v>
      </c>
      <c r="I36" s="64">
        <f t="shared" si="5"/>
        <v>183.05750639525408</v>
      </c>
      <c r="J36" s="7"/>
      <c r="K36" s="81">
        <v>11</v>
      </c>
      <c r="L36" s="64">
        <f t="shared" si="6"/>
        <v>293.99297297571434</v>
      </c>
      <c r="M36" s="64">
        <f t="shared" si="7"/>
        <v>121.01476382482116</v>
      </c>
      <c r="N36" s="64">
        <f t="shared" si="8"/>
        <v>415.0077368005355</v>
      </c>
      <c r="O36" s="65">
        <f t="shared" si="9"/>
        <v>11.5</v>
      </c>
      <c r="P36" s="66">
        <f t="shared" si="10"/>
        <v>10</v>
      </c>
      <c r="Q36" s="67">
        <f t="shared" si="11"/>
        <v>282.49297297571434</v>
      </c>
      <c r="R36" s="71">
        <f t="shared" si="12"/>
        <v>405.0077368005355</v>
      </c>
      <c r="S36" s="64">
        <f t="shared" si="13"/>
        <v>122.03833759683609</v>
      </c>
      <c r="T36" s="7"/>
      <c r="U36" s="81">
        <v>11</v>
      </c>
      <c r="V36" s="64">
        <f t="shared" si="14"/>
        <v>293.99297297571434</v>
      </c>
      <c r="W36" s="64">
        <f t="shared" si="15"/>
        <v>138.85214130737899</v>
      </c>
      <c r="X36" s="64">
        <f t="shared" si="16"/>
        <v>432.84511428309332</v>
      </c>
      <c r="Y36" s="65">
        <f t="shared" si="17"/>
        <v>11.5</v>
      </c>
      <c r="Z36" s="66">
        <f t="shared" si="18"/>
        <v>10</v>
      </c>
      <c r="AA36" s="67">
        <f t="shared" si="19"/>
        <v>282.49297297571434</v>
      </c>
      <c r="AB36" s="71">
        <f t="shared" si="20"/>
        <v>422.84511428309332</v>
      </c>
      <c r="AC36" s="64">
        <f t="shared" si="21"/>
        <v>61.019168798418043</v>
      </c>
      <c r="AD36" s="7"/>
      <c r="AE36" s="81">
        <v>11</v>
      </c>
      <c r="AF36" s="64">
        <f t="shared" si="22"/>
        <v>293.99297297571434</v>
      </c>
      <c r="AG36" s="64">
        <f t="shared" si="23"/>
        <v>147.3024284790809</v>
      </c>
      <c r="AH36" s="64">
        <f t="shared" si="24"/>
        <v>441.29540145479524</v>
      </c>
      <c r="AI36" s="65">
        <f t="shared" si="25"/>
        <v>11.5</v>
      </c>
      <c r="AJ36" s="66">
        <f t="shared" si="26"/>
        <v>10</v>
      </c>
      <c r="AK36" s="67">
        <f t="shared" si="27"/>
        <v>282.49297297571434</v>
      </c>
      <c r="AL36" s="71">
        <f t="shared" si="28"/>
        <v>431.29540145479524</v>
      </c>
      <c r="AM36" s="64">
        <f t="shared" si="29"/>
        <v>30.509584399209022</v>
      </c>
      <c r="AN36" s="7"/>
      <c r="AO36" s="94">
        <v>1.0113198043207761</v>
      </c>
      <c r="AP36" s="8">
        <f>Mode3!H36</f>
        <v>437.49724578662301</v>
      </c>
    </row>
    <row r="37" spans="1:42" s="94" customFormat="1">
      <c r="A37" s="81">
        <v>12</v>
      </c>
      <c r="B37" s="64">
        <f>Mode3!B37</f>
        <v>293.0457555929865</v>
      </c>
      <c r="C37" s="64">
        <f t="shared" si="0"/>
        <v>102.56720322320558</v>
      </c>
      <c r="D37" s="64">
        <f t="shared" si="1"/>
        <v>395.61295881619208</v>
      </c>
      <c r="E37" s="65">
        <f t="shared" si="2"/>
        <v>11.5</v>
      </c>
      <c r="F37" s="66">
        <f t="shared" si="30"/>
        <v>10</v>
      </c>
      <c r="G37" s="67">
        <f t="shared" si="3"/>
        <v>281.5457555929865</v>
      </c>
      <c r="H37" s="71">
        <f t="shared" si="4"/>
        <v>385.61295881619208</v>
      </c>
      <c r="I37" s="64">
        <f t="shared" si="5"/>
        <v>182.45423144177553</v>
      </c>
      <c r="J37" s="7"/>
      <c r="K37" s="81">
        <v>12</v>
      </c>
      <c r="L37" s="64">
        <f t="shared" si="6"/>
        <v>293.0457555929865</v>
      </c>
      <c r="M37" s="64">
        <f t="shared" si="7"/>
        <v>120.71787340123547</v>
      </c>
      <c r="N37" s="64">
        <f t="shared" si="8"/>
        <v>413.76362899422196</v>
      </c>
      <c r="O37" s="65">
        <f t="shared" si="9"/>
        <v>11.5</v>
      </c>
      <c r="P37" s="66">
        <f t="shared" si="10"/>
        <v>10</v>
      </c>
      <c r="Q37" s="67">
        <f t="shared" si="11"/>
        <v>281.5457555929865</v>
      </c>
      <c r="R37" s="71">
        <f t="shared" si="12"/>
        <v>403.76362899422196</v>
      </c>
      <c r="S37" s="64">
        <f t="shared" si="13"/>
        <v>121.63615429451704</v>
      </c>
      <c r="T37" s="7"/>
      <c r="U37" s="81">
        <v>12</v>
      </c>
      <c r="V37" s="64">
        <f t="shared" si="14"/>
        <v>293.0457555929865</v>
      </c>
      <c r="W37" s="64">
        <f t="shared" si="15"/>
        <v>138.44671753851975</v>
      </c>
      <c r="X37" s="64">
        <f t="shared" si="16"/>
        <v>431.49247313150624</v>
      </c>
      <c r="Y37" s="65">
        <f t="shared" si="17"/>
        <v>11.5</v>
      </c>
      <c r="Z37" s="66">
        <f t="shared" si="18"/>
        <v>10</v>
      </c>
      <c r="AA37" s="67">
        <f t="shared" si="19"/>
        <v>281.5457555929865</v>
      </c>
      <c r="AB37" s="71">
        <f t="shared" si="20"/>
        <v>421.49247313150624</v>
      </c>
      <c r="AC37" s="64">
        <f t="shared" si="21"/>
        <v>60.818077147258521</v>
      </c>
      <c r="AD37" s="7"/>
      <c r="AE37" s="81">
        <v>12</v>
      </c>
      <c r="AF37" s="64">
        <f t="shared" si="22"/>
        <v>293.0457555929865</v>
      </c>
      <c r="AG37" s="64">
        <f t="shared" si="23"/>
        <v>146.8455880747793</v>
      </c>
      <c r="AH37" s="64">
        <f t="shared" si="24"/>
        <v>439.8913436677658</v>
      </c>
      <c r="AI37" s="65">
        <f t="shared" si="25"/>
        <v>11.5</v>
      </c>
      <c r="AJ37" s="66">
        <f t="shared" si="26"/>
        <v>10</v>
      </c>
      <c r="AK37" s="67">
        <f t="shared" si="27"/>
        <v>281.5457555929865</v>
      </c>
      <c r="AL37" s="71">
        <f t="shared" si="28"/>
        <v>429.8913436677658</v>
      </c>
      <c r="AM37" s="64">
        <f t="shared" si="29"/>
        <v>30.40903857362926</v>
      </c>
      <c r="AN37" s="7"/>
      <c r="AO37" s="94">
        <v>1.0084898532405819</v>
      </c>
      <c r="AP37" s="8">
        <f>Mode3!H37</f>
        <v>436.05545224427544</v>
      </c>
    </row>
    <row r="38" spans="1:42" s="94" customFormat="1">
      <c r="A38" s="81">
        <v>13</v>
      </c>
      <c r="B38" s="64">
        <f>Mode3!B38</f>
        <v>291.85704700630055</v>
      </c>
      <c r="C38" s="64">
        <f t="shared" si="0"/>
        <v>102.29680351768928</v>
      </c>
      <c r="D38" s="64">
        <f t="shared" si="1"/>
        <v>394.15385052398983</v>
      </c>
      <c r="E38" s="65">
        <f t="shared" si="2"/>
        <v>11.5</v>
      </c>
      <c r="F38" s="66">
        <f t="shared" si="30"/>
        <v>10</v>
      </c>
      <c r="G38" s="67">
        <f t="shared" si="3"/>
        <v>280.35704700630055</v>
      </c>
      <c r="H38" s="71">
        <f t="shared" si="4"/>
        <v>384.15385052398983</v>
      </c>
      <c r="I38" s="64">
        <f t="shared" si="5"/>
        <v>181.69715272847401</v>
      </c>
      <c r="J38" s="7"/>
      <c r="K38" s="81">
        <v>13</v>
      </c>
      <c r="L38" s="64">
        <f t="shared" si="6"/>
        <v>291.85704700630055</v>
      </c>
      <c r="M38" s="64">
        <f t="shared" si="7"/>
        <v>120.32143724244139</v>
      </c>
      <c r="N38" s="64">
        <f t="shared" si="8"/>
        <v>412.17848424874194</v>
      </c>
      <c r="O38" s="65">
        <f t="shared" si="9"/>
        <v>11.5</v>
      </c>
      <c r="P38" s="66">
        <f t="shared" si="10"/>
        <v>10</v>
      </c>
      <c r="Q38" s="67">
        <f t="shared" si="11"/>
        <v>280.35704700630055</v>
      </c>
      <c r="R38" s="71">
        <f t="shared" si="12"/>
        <v>402.17848424874194</v>
      </c>
      <c r="S38" s="64">
        <f t="shared" si="13"/>
        <v>121.13143515231602</v>
      </c>
      <c r="T38" s="7"/>
      <c r="U38" s="81">
        <v>13</v>
      </c>
      <c r="V38" s="64">
        <f t="shared" si="14"/>
        <v>291.85704700630055</v>
      </c>
      <c r="W38" s="64">
        <f t="shared" si="15"/>
        <v>137.92717404463218</v>
      </c>
      <c r="X38" s="64">
        <f t="shared" si="16"/>
        <v>429.78422105093273</v>
      </c>
      <c r="Y38" s="65">
        <f t="shared" si="17"/>
        <v>11.5</v>
      </c>
      <c r="Z38" s="66">
        <f t="shared" si="18"/>
        <v>10</v>
      </c>
      <c r="AA38" s="67">
        <f t="shared" si="19"/>
        <v>280.35704700630055</v>
      </c>
      <c r="AB38" s="71">
        <f t="shared" si="20"/>
        <v>419.78422105093273</v>
      </c>
      <c r="AC38" s="64">
        <f t="shared" si="21"/>
        <v>60.565717576158008</v>
      </c>
      <c r="AD38" s="7"/>
      <c r="AE38" s="81">
        <v>13</v>
      </c>
      <c r="AF38" s="64">
        <f t="shared" si="22"/>
        <v>291.85704700630055</v>
      </c>
      <c r="AG38" s="64">
        <f t="shared" si="23"/>
        <v>146.267723657006</v>
      </c>
      <c r="AH38" s="64">
        <f t="shared" si="24"/>
        <v>438.12477066330655</v>
      </c>
      <c r="AI38" s="65">
        <f t="shared" si="25"/>
        <v>11.5</v>
      </c>
      <c r="AJ38" s="66">
        <f t="shared" si="26"/>
        <v>10</v>
      </c>
      <c r="AK38" s="67">
        <f t="shared" si="27"/>
        <v>280.35704700630055</v>
      </c>
      <c r="AL38" s="71">
        <f t="shared" si="28"/>
        <v>428.12477066330655</v>
      </c>
      <c r="AM38" s="64">
        <f t="shared" si="29"/>
        <v>30.282858788079004</v>
      </c>
      <c r="AN38" s="7"/>
      <c r="AO38" s="94">
        <v>1.005659902160388</v>
      </c>
      <c r="AP38" s="8">
        <f>Mode3!H38</f>
        <v>434.24607628130377</v>
      </c>
    </row>
    <row r="39" spans="1:42" s="94" customFormat="1">
      <c r="A39" s="81">
        <v>14</v>
      </c>
      <c r="B39" s="64">
        <f>Mode3!B39</f>
        <v>290.56975567596032</v>
      </c>
      <c r="C39" s="64">
        <f t="shared" si="0"/>
        <v>101.99101650131524</v>
      </c>
      <c r="D39" s="64">
        <f t="shared" si="1"/>
        <v>392.56077217727557</v>
      </c>
      <c r="E39" s="65">
        <f t="shared" si="2"/>
        <v>11.5</v>
      </c>
      <c r="F39" s="66">
        <f t="shared" si="30"/>
        <v>10</v>
      </c>
      <c r="G39" s="67">
        <f t="shared" si="3"/>
        <v>279.06975567596032</v>
      </c>
      <c r="H39" s="71">
        <f t="shared" si="4"/>
        <v>382.56077217727557</v>
      </c>
      <c r="I39" s="64">
        <f t="shared" si="5"/>
        <v>180.87728747728121</v>
      </c>
      <c r="J39" s="7"/>
      <c r="K39" s="81">
        <v>14</v>
      </c>
      <c r="L39" s="64">
        <f t="shared" si="6"/>
        <v>290.56975567596032</v>
      </c>
      <c r="M39" s="64">
        <f t="shared" si="7"/>
        <v>119.88382546530875</v>
      </c>
      <c r="N39" s="64">
        <f t="shared" si="8"/>
        <v>410.45358114126907</v>
      </c>
      <c r="O39" s="65">
        <f t="shared" si="9"/>
        <v>11.5</v>
      </c>
      <c r="P39" s="66">
        <f t="shared" si="10"/>
        <v>10</v>
      </c>
      <c r="Q39" s="67">
        <f t="shared" si="11"/>
        <v>279.06975567596032</v>
      </c>
      <c r="R39" s="71">
        <f t="shared" si="12"/>
        <v>400.45358114126907</v>
      </c>
      <c r="S39" s="64">
        <f t="shared" si="13"/>
        <v>120.58485831818747</v>
      </c>
      <c r="T39" s="7"/>
      <c r="U39" s="81">
        <v>14</v>
      </c>
      <c r="V39" s="64">
        <f t="shared" si="14"/>
        <v>290.56975567596032</v>
      </c>
      <c r="W39" s="64">
        <f t="shared" si="15"/>
        <v>137.36080114661524</v>
      </c>
      <c r="X39" s="64">
        <f t="shared" si="16"/>
        <v>427.93055682257557</v>
      </c>
      <c r="Y39" s="65">
        <f t="shared" si="17"/>
        <v>11.5</v>
      </c>
      <c r="Z39" s="66">
        <f t="shared" si="18"/>
        <v>10</v>
      </c>
      <c r="AA39" s="67">
        <f t="shared" si="19"/>
        <v>279.06975567596032</v>
      </c>
      <c r="AB39" s="71">
        <f t="shared" si="20"/>
        <v>417.93055682257557</v>
      </c>
      <c r="AC39" s="64">
        <f t="shared" si="21"/>
        <v>60.292429159093736</v>
      </c>
      <c r="AD39" s="7"/>
      <c r="AE39" s="81">
        <v>14</v>
      </c>
      <c r="AF39" s="64">
        <f t="shared" si="22"/>
        <v>290.56975567596032</v>
      </c>
      <c r="AG39" s="64">
        <f t="shared" si="23"/>
        <v>145.64035140809864</v>
      </c>
      <c r="AH39" s="64">
        <f t="shared" si="24"/>
        <v>436.21010708405896</v>
      </c>
      <c r="AI39" s="65">
        <f t="shared" si="25"/>
        <v>11.5</v>
      </c>
      <c r="AJ39" s="66">
        <f t="shared" si="26"/>
        <v>10</v>
      </c>
      <c r="AK39" s="67">
        <f t="shared" si="27"/>
        <v>279.06975567596032</v>
      </c>
      <c r="AL39" s="71">
        <f t="shared" si="28"/>
        <v>426.21010708405896</v>
      </c>
      <c r="AM39" s="64">
        <f t="shared" si="29"/>
        <v>30.146214579546868</v>
      </c>
      <c r="AN39" s="7"/>
      <c r="AO39" s="94">
        <v>1.0028299510801939</v>
      </c>
      <c r="AP39" s="8">
        <f>Mode3!H39</f>
        <v>432.28664398936303</v>
      </c>
    </row>
    <row r="40" spans="1:42" s="94" customFormat="1">
      <c r="A40" s="95">
        <v>15</v>
      </c>
      <c r="B40" s="68">
        <f>Mode3!B40</f>
        <v>289.19230424467059</v>
      </c>
      <c r="C40" s="68">
        <f t="shared" si="0"/>
        <v>101.65262324046756</v>
      </c>
      <c r="D40" s="68">
        <f t="shared" si="1"/>
        <v>390.84492748513816</v>
      </c>
      <c r="E40" s="65">
        <f t="shared" si="2"/>
        <v>11.5</v>
      </c>
      <c r="F40" s="66">
        <f t="shared" si="30"/>
        <v>10</v>
      </c>
      <c r="G40" s="67">
        <f t="shared" si="3"/>
        <v>277.69230424467059</v>
      </c>
      <c r="H40" s="71">
        <f t="shared" si="4"/>
        <v>380.84492748513816</v>
      </c>
      <c r="I40" s="64">
        <f>AT7</f>
        <v>180</v>
      </c>
      <c r="J40" s="7"/>
      <c r="K40" s="95">
        <v>15</v>
      </c>
      <c r="L40" s="68">
        <f t="shared" si="6"/>
        <v>289.19230424467059</v>
      </c>
      <c r="M40" s="68">
        <f t="shared" si="7"/>
        <v>119.40840087076595</v>
      </c>
      <c r="N40" s="68">
        <f t="shared" si="8"/>
        <v>408.60070511543654</v>
      </c>
      <c r="O40" s="65">
        <f t="shared" si="9"/>
        <v>11.5</v>
      </c>
      <c r="P40" s="66">
        <f t="shared" si="10"/>
        <v>10</v>
      </c>
      <c r="Q40" s="67">
        <f t="shared" si="11"/>
        <v>277.69230424467059</v>
      </c>
      <c r="R40" s="71">
        <f t="shared" si="12"/>
        <v>398.60070511543654</v>
      </c>
      <c r="S40" s="64">
        <f>AT6</f>
        <v>120</v>
      </c>
      <c r="T40" s="7"/>
      <c r="U40" s="95">
        <v>15</v>
      </c>
      <c r="V40" s="68">
        <f t="shared" si="14"/>
        <v>289.19230424467059</v>
      </c>
      <c r="W40" s="68">
        <f t="shared" si="15"/>
        <v>136.7515298602878</v>
      </c>
      <c r="X40" s="68">
        <f t="shared" si="16"/>
        <v>425.9438341049584</v>
      </c>
      <c r="Y40" s="65">
        <f t="shared" si="17"/>
        <v>11.5</v>
      </c>
      <c r="Z40" s="66">
        <f t="shared" si="18"/>
        <v>10</v>
      </c>
      <c r="AA40" s="67">
        <f t="shared" si="19"/>
        <v>277.69230424467059</v>
      </c>
      <c r="AB40" s="71">
        <f t="shared" si="20"/>
        <v>415.9438341049584</v>
      </c>
      <c r="AC40" s="64">
        <f>AT5</f>
        <v>60</v>
      </c>
      <c r="AD40" s="7"/>
      <c r="AE40" s="95">
        <v>15</v>
      </c>
      <c r="AF40" s="68">
        <f>L40</f>
        <v>289.19230424467059</v>
      </c>
      <c r="AG40" s="68">
        <f t="shared" si="23"/>
        <v>144.96767153025218</v>
      </c>
      <c r="AH40" s="68">
        <f t="shared" si="24"/>
        <v>434.15997577492277</v>
      </c>
      <c r="AI40" s="65">
        <f t="shared" si="25"/>
        <v>11.5</v>
      </c>
      <c r="AJ40" s="66">
        <f t="shared" si="26"/>
        <v>10</v>
      </c>
      <c r="AK40" s="67">
        <f t="shared" si="27"/>
        <v>277.69230424467059</v>
      </c>
      <c r="AL40" s="71">
        <f t="shared" si="28"/>
        <v>424.15997577492277</v>
      </c>
      <c r="AM40" s="64">
        <f>AT9</f>
        <v>30</v>
      </c>
      <c r="AN40" s="7"/>
      <c r="AO40" s="94">
        <v>1</v>
      </c>
      <c r="AP40" s="8">
        <f>Mode3!H40</f>
        <v>430.18997577492274</v>
      </c>
    </row>
    <row r="41" spans="1:42" s="94" customFormat="1">
      <c r="A41" s="81">
        <v>16</v>
      </c>
      <c r="B41" s="64">
        <f>Mode3!B41</f>
        <v>287.86295391236041</v>
      </c>
      <c r="C41" s="64">
        <f t="shared" si="0"/>
        <v>101.34190133150281</v>
      </c>
      <c r="D41" s="64">
        <f t="shared" si="1"/>
        <v>389.20485524386322</v>
      </c>
      <c r="E41" s="65">
        <f t="shared" si="2"/>
        <v>11.5</v>
      </c>
      <c r="F41" s="66">
        <f t="shared" si="30"/>
        <v>10</v>
      </c>
      <c r="G41" s="67">
        <f t="shared" si="3"/>
        <v>276.36295391236041</v>
      </c>
      <c r="H41" s="71">
        <f t="shared" si="4"/>
        <v>379.20485524386322</v>
      </c>
      <c r="I41" s="64">
        <f>(I40*AP42)/AP41</f>
        <v>179.1083827187409</v>
      </c>
      <c r="J41" s="7"/>
      <c r="K41" s="81">
        <v>16</v>
      </c>
      <c r="L41" s="64">
        <f t="shared" si="6"/>
        <v>287.86295391236041</v>
      </c>
      <c r="M41" s="64">
        <f t="shared" si="7"/>
        <v>118.95972788967111</v>
      </c>
      <c r="N41" s="64">
        <f t="shared" si="8"/>
        <v>406.82268180203152</v>
      </c>
      <c r="O41" s="65">
        <f t="shared" si="9"/>
        <v>11.5</v>
      </c>
      <c r="P41" s="66">
        <f t="shared" si="10"/>
        <v>10</v>
      </c>
      <c r="Q41" s="67">
        <f t="shared" si="11"/>
        <v>276.36295391236041</v>
      </c>
      <c r="R41" s="71">
        <f t="shared" si="12"/>
        <v>396.82268180203152</v>
      </c>
      <c r="S41" s="64">
        <f>(S40*AP42)/AP41</f>
        <v>119.4055884791606</v>
      </c>
      <c r="T41" s="7"/>
      <c r="U41" s="81">
        <v>16</v>
      </c>
      <c r="V41" s="64">
        <f t="shared" si="14"/>
        <v>287.86295391236041</v>
      </c>
      <c r="W41" s="64">
        <f t="shared" si="15"/>
        <v>136.16811182392081</v>
      </c>
      <c r="X41" s="64">
        <f t="shared" si="16"/>
        <v>424.03106573628122</v>
      </c>
      <c r="Y41" s="65">
        <f t="shared" si="17"/>
        <v>11.5</v>
      </c>
      <c r="Z41" s="66">
        <f t="shared" si="18"/>
        <v>10</v>
      </c>
      <c r="AA41" s="67">
        <f t="shared" si="19"/>
        <v>276.36295391236041</v>
      </c>
      <c r="AB41" s="71">
        <f t="shared" si="20"/>
        <v>414.03106573628122</v>
      </c>
      <c r="AC41" s="64">
        <f>(AC40*AP42)/AP41</f>
        <v>59.7027942395803</v>
      </c>
      <c r="AD41" s="7"/>
      <c r="AE41" s="81">
        <v>16</v>
      </c>
      <c r="AF41" s="64">
        <f t="shared" si="22"/>
        <v>287.86295391236041</v>
      </c>
      <c r="AG41" s="64">
        <f t="shared" si="23"/>
        <v>144.3204193112465</v>
      </c>
      <c r="AH41" s="64">
        <f t="shared" si="24"/>
        <v>432.18337322360691</v>
      </c>
      <c r="AI41" s="65">
        <f t="shared" si="25"/>
        <v>11.5</v>
      </c>
      <c r="AJ41" s="66">
        <f t="shared" si="26"/>
        <v>10</v>
      </c>
      <c r="AK41" s="67">
        <f t="shared" si="27"/>
        <v>276.36295391236041</v>
      </c>
      <c r="AL41" s="71">
        <f t="shared" si="28"/>
        <v>422.18337322360691</v>
      </c>
      <c r="AM41" s="64">
        <f>(AM40*AP42)/AP41</f>
        <v>29.85139711979015</v>
      </c>
      <c r="AN41" s="7"/>
      <c r="AO41" s="94">
        <v>0.99717004891980598</v>
      </c>
      <c r="AP41" s="8">
        <f>Mode3!H41</f>
        <v>428.16652396798634</v>
      </c>
    </row>
    <row r="42" spans="1:42" s="94" customFormat="1">
      <c r="A42" s="81">
        <v>17</v>
      </c>
      <c r="B42" s="64">
        <f>Mode3!B42</f>
        <v>286.46958773349917</v>
      </c>
      <c r="C42" s="64">
        <f t="shared" si="0"/>
        <v>101.33110306789848</v>
      </c>
      <c r="D42" s="64">
        <f t="shared" si="1"/>
        <v>387.80069080139765</v>
      </c>
      <c r="E42" s="65">
        <f t="shared" si="2"/>
        <v>11.5</v>
      </c>
      <c r="F42" s="66">
        <f t="shared" si="30"/>
        <v>10</v>
      </c>
      <c r="G42" s="67">
        <f t="shared" si="3"/>
        <v>274.96958773349917</v>
      </c>
      <c r="H42" s="71">
        <f t="shared" si="4"/>
        <v>377.80069080139765</v>
      </c>
      <c r="I42" s="64">
        <f t="shared" ref="I42:I64" si="31">(I41*AP43)/AP42</f>
        <v>178.17568862585543</v>
      </c>
      <c r="J42" s="7"/>
      <c r="K42" s="81">
        <v>17</v>
      </c>
      <c r="L42" s="64">
        <f t="shared" si="6"/>
        <v>286.46958773349917</v>
      </c>
      <c r="M42" s="64">
        <f t="shared" si="7"/>
        <v>118.69103006724976</v>
      </c>
      <c r="N42" s="64">
        <f t="shared" si="8"/>
        <v>405.16061780074892</v>
      </c>
      <c r="O42" s="65">
        <f t="shared" si="9"/>
        <v>11.5</v>
      </c>
      <c r="P42" s="66">
        <f t="shared" si="10"/>
        <v>10</v>
      </c>
      <c r="Q42" s="67">
        <f t="shared" si="11"/>
        <v>274.96958773349917</v>
      </c>
      <c r="R42" s="71">
        <f t="shared" si="12"/>
        <v>395.16061780074892</v>
      </c>
      <c r="S42" s="64">
        <f t="shared" ref="S42:S64" si="32">(S41*AP43)/AP42</f>
        <v>118.78379241723697</v>
      </c>
      <c r="T42" s="7"/>
      <c r="U42" s="81">
        <v>17</v>
      </c>
      <c r="V42" s="64">
        <f t="shared" si="14"/>
        <v>286.46958773349917</v>
      </c>
      <c r="W42" s="64">
        <f t="shared" si="15"/>
        <v>135.6475080918832</v>
      </c>
      <c r="X42" s="64">
        <f t="shared" si="16"/>
        <v>422.11709582538236</v>
      </c>
      <c r="Y42" s="65">
        <f t="shared" si="17"/>
        <v>11.5</v>
      </c>
      <c r="Z42" s="66">
        <f t="shared" si="18"/>
        <v>10</v>
      </c>
      <c r="AA42" s="67">
        <f t="shared" si="19"/>
        <v>274.96958773349917</v>
      </c>
      <c r="AB42" s="71">
        <f t="shared" si="20"/>
        <v>412.11709582538236</v>
      </c>
      <c r="AC42" s="64">
        <f t="shared" ref="AC42:AC64" si="33">(AC41*AP43)/AP42</f>
        <v>59.391896208618483</v>
      </c>
      <c r="AD42" s="7"/>
      <c r="AE42" s="81">
        <v>17</v>
      </c>
      <c r="AF42" s="64">
        <f t="shared" si="22"/>
        <v>286.46958773349917</v>
      </c>
      <c r="AG42" s="64">
        <f t="shared" si="23"/>
        <v>143.68047756112924</v>
      </c>
      <c r="AH42" s="64">
        <f t="shared" si="24"/>
        <v>430.1500652946284</v>
      </c>
      <c r="AI42" s="65">
        <f t="shared" si="25"/>
        <v>11.5</v>
      </c>
      <c r="AJ42" s="66">
        <f t="shared" si="26"/>
        <v>10</v>
      </c>
      <c r="AK42" s="67">
        <f t="shared" si="27"/>
        <v>274.96958773349917</v>
      </c>
      <c r="AL42" s="71">
        <f t="shared" si="28"/>
        <v>420.1500652946284</v>
      </c>
      <c r="AM42" s="64">
        <f t="shared" ref="AM42:AM64" si="34">(AM41*AP43)/AP42</f>
        <v>29.695948104309242</v>
      </c>
      <c r="AN42" s="7"/>
      <c r="AO42" s="94">
        <v>0.98771638069946199</v>
      </c>
      <c r="AP42" s="8">
        <f>Mode3!H42</f>
        <v>426.04563134561693</v>
      </c>
    </row>
    <row r="43" spans="1:42" s="94" customFormat="1">
      <c r="A43" s="81">
        <v>18</v>
      </c>
      <c r="B43" s="64">
        <f>Mode3!B43</f>
        <v>285.01202916934147</v>
      </c>
      <c r="C43" s="64">
        <f t="shared" si="0"/>
        <v>101.13216478365149</v>
      </c>
      <c r="D43" s="64">
        <f t="shared" si="1"/>
        <v>386.14419395299296</v>
      </c>
      <c r="E43" s="65">
        <f t="shared" si="2"/>
        <v>11.5</v>
      </c>
      <c r="F43" s="66">
        <f t="shared" si="30"/>
        <v>10</v>
      </c>
      <c r="G43" s="67">
        <f t="shared" si="3"/>
        <v>273.51202916934147</v>
      </c>
      <c r="H43" s="71">
        <f t="shared" si="4"/>
        <v>376.14419395299296</v>
      </c>
      <c r="I43" s="64">
        <f t="shared" si="31"/>
        <v>177.20162438334461</v>
      </c>
      <c r="J43" s="7"/>
      <c r="K43" s="81">
        <v>18</v>
      </c>
      <c r="L43" s="64">
        <f t="shared" si="6"/>
        <v>285.01202916934147</v>
      </c>
      <c r="M43" s="64">
        <f t="shared" si="7"/>
        <v>118.28983001302674</v>
      </c>
      <c r="N43" s="64">
        <f t="shared" si="8"/>
        <v>403.30185918236822</v>
      </c>
      <c r="O43" s="65">
        <f t="shared" si="9"/>
        <v>11.5</v>
      </c>
      <c r="P43" s="66">
        <f t="shared" si="10"/>
        <v>10</v>
      </c>
      <c r="Q43" s="67">
        <f t="shared" si="11"/>
        <v>273.51202916934147</v>
      </c>
      <c r="R43" s="71">
        <f t="shared" si="12"/>
        <v>393.30185918236822</v>
      </c>
      <c r="S43" s="64">
        <f t="shared" si="32"/>
        <v>118.1344162555631</v>
      </c>
      <c r="T43" s="7"/>
      <c r="U43" s="81">
        <v>18</v>
      </c>
      <c r="V43" s="64">
        <f t="shared" si="14"/>
        <v>285.01202916934147</v>
      </c>
      <c r="W43" s="64">
        <f t="shared" si="15"/>
        <v>135.04874688098306</v>
      </c>
      <c r="X43" s="64">
        <f t="shared" si="16"/>
        <v>420.06077605032453</v>
      </c>
      <c r="Y43" s="65">
        <f t="shared" si="17"/>
        <v>11.5</v>
      </c>
      <c r="Z43" s="66">
        <f t="shared" si="18"/>
        <v>10</v>
      </c>
      <c r="AA43" s="67">
        <f t="shared" si="19"/>
        <v>273.51202916934147</v>
      </c>
      <c r="AB43" s="71">
        <f t="shared" si="20"/>
        <v>410.06077605032453</v>
      </c>
      <c r="AC43" s="64">
        <f t="shared" si="33"/>
        <v>59.067208127781548</v>
      </c>
      <c r="AD43" s="7"/>
      <c r="AE43" s="81">
        <v>18</v>
      </c>
      <c r="AF43" s="64">
        <f t="shared" si="22"/>
        <v>285.01202916934147</v>
      </c>
      <c r="AG43" s="64">
        <f t="shared" si="23"/>
        <v>142.98812363966795</v>
      </c>
      <c r="AH43" s="64">
        <f t="shared" si="24"/>
        <v>428.00015280900942</v>
      </c>
      <c r="AI43" s="65">
        <f t="shared" si="25"/>
        <v>11.5</v>
      </c>
      <c r="AJ43" s="66">
        <f t="shared" si="26"/>
        <v>10</v>
      </c>
      <c r="AK43" s="67">
        <f t="shared" si="27"/>
        <v>273.51202916934147</v>
      </c>
      <c r="AL43" s="71">
        <f t="shared" si="28"/>
        <v>418.00015280900942</v>
      </c>
      <c r="AM43" s="64">
        <f t="shared" si="34"/>
        <v>29.533604063890774</v>
      </c>
      <c r="AN43" s="7"/>
      <c r="AO43" s="94">
        <v>0.9815745710491931</v>
      </c>
      <c r="AP43" s="8">
        <f>Mode3!H43</f>
        <v>423.82702919186005</v>
      </c>
    </row>
    <row r="44" spans="1:42" s="94" customFormat="1">
      <c r="A44" s="81">
        <v>19</v>
      </c>
      <c r="B44" s="64">
        <f>Mode3!B44</f>
        <v>283.48981980880046</v>
      </c>
      <c r="C44" s="64">
        <f t="shared" si="0"/>
        <v>100.90737643872149</v>
      </c>
      <c r="D44" s="64">
        <f t="shared" si="1"/>
        <v>384.39719624752195</v>
      </c>
      <c r="E44" s="65">
        <f t="shared" si="2"/>
        <v>11.5</v>
      </c>
      <c r="F44" s="66">
        <f t="shared" si="30"/>
        <v>10</v>
      </c>
      <c r="G44" s="67">
        <f t="shared" si="3"/>
        <v>271.98981980880046</v>
      </c>
      <c r="H44" s="71">
        <f t="shared" si="4"/>
        <v>374.39719624752195</v>
      </c>
      <c r="I44" s="64">
        <f t="shared" si="31"/>
        <v>176.18572640043072</v>
      </c>
      <c r="J44" s="7"/>
      <c r="K44" s="81">
        <v>19</v>
      </c>
      <c r="L44" s="64">
        <f t="shared" si="6"/>
        <v>283.48981980880046</v>
      </c>
      <c r="M44" s="64">
        <f t="shared" si="7"/>
        <v>117.85993493262379</v>
      </c>
      <c r="N44" s="64">
        <f t="shared" si="8"/>
        <v>401.34975474142425</v>
      </c>
      <c r="O44" s="65">
        <f t="shared" si="9"/>
        <v>11.5</v>
      </c>
      <c r="P44" s="66">
        <f t="shared" si="10"/>
        <v>10</v>
      </c>
      <c r="Q44" s="67">
        <f t="shared" si="11"/>
        <v>271.98981980880046</v>
      </c>
      <c r="R44" s="71">
        <f t="shared" si="12"/>
        <v>391.34975474142425</v>
      </c>
      <c r="S44" s="64">
        <f t="shared" si="32"/>
        <v>117.45715093362051</v>
      </c>
      <c r="T44" s="7"/>
      <c r="U44" s="81">
        <v>19</v>
      </c>
      <c r="V44" s="64">
        <f t="shared" si="14"/>
        <v>283.48981980880046</v>
      </c>
      <c r="W44" s="64">
        <f t="shared" si="15"/>
        <v>134.41851179610421</v>
      </c>
      <c r="X44" s="64">
        <f t="shared" si="16"/>
        <v>417.90833160490467</v>
      </c>
      <c r="Y44" s="65">
        <f t="shared" si="17"/>
        <v>11.5</v>
      </c>
      <c r="Z44" s="66">
        <f t="shared" si="18"/>
        <v>10</v>
      </c>
      <c r="AA44" s="67">
        <f t="shared" si="19"/>
        <v>271.98981980880046</v>
      </c>
      <c r="AB44" s="71">
        <f t="shared" si="20"/>
        <v>407.90833160490467</v>
      </c>
      <c r="AC44" s="64">
        <f t="shared" si="33"/>
        <v>58.728575466810256</v>
      </c>
      <c r="AD44" s="7"/>
      <c r="AE44" s="81">
        <v>19</v>
      </c>
      <c r="AF44" s="64">
        <f t="shared" si="22"/>
        <v>283.48981980880046</v>
      </c>
      <c r="AG44" s="64">
        <f t="shared" si="23"/>
        <v>142.26297939163123</v>
      </c>
      <c r="AH44" s="64">
        <f t="shared" si="24"/>
        <v>425.7527992004317</v>
      </c>
      <c r="AI44" s="65">
        <f t="shared" si="25"/>
        <v>11.5</v>
      </c>
      <c r="AJ44" s="66">
        <f t="shared" si="26"/>
        <v>10</v>
      </c>
      <c r="AK44" s="67">
        <f t="shared" si="27"/>
        <v>271.98981980880046</v>
      </c>
      <c r="AL44" s="71">
        <f t="shared" si="28"/>
        <v>415.7527992004317</v>
      </c>
      <c r="AM44" s="64">
        <f t="shared" si="34"/>
        <v>29.364287733405128</v>
      </c>
      <c r="AN44" s="7"/>
      <c r="AO44" s="94">
        <v>0.9754327613989241</v>
      </c>
      <c r="AP44" s="8">
        <f>Mode3!H44</f>
        <v>421.51001974276357</v>
      </c>
    </row>
    <row r="45" spans="1:42" s="94" customFormat="1">
      <c r="A45" s="81">
        <v>20</v>
      </c>
      <c r="B45" s="64">
        <f>Mode3!B45</f>
        <v>281.90223517992627</v>
      </c>
      <c r="C45" s="64">
        <f t="shared" si="0"/>
        <v>100.65631505956634</v>
      </c>
      <c r="D45" s="64">
        <f t="shared" si="1"/>
        <v>382.5585502394926</v>
      </c>
      <c r="E45" s="65">
        <f t="shared" si="2"/>
        <v>11.5</v>
      </c>
      <c r="F45" s="66">
        <f t="shared" si="30"/>
        <v>10</v>
      </c>
      <c r="G45" s="67">
        <f t="shared" si="3"/>
        <v>270.40223517992627</v>
      </c>
      <c r="H45" s="68">
        <f t="shared" si="4"/>
        <v>372.5585502394926</v>
      </c>
      <c r="I45" s="64">
        <f t="shared" si="31"/>
        <v>175.12736767655738</v>
      </c>
      <c r="J45" s="7"/>
      <c r="K45" s="81">
        <v>20</v>
      </c>
      <c r="L45" s="64">
        <f t="shared" si="6"/>
        <v>281.90223517992627</v>
      </c>
      <c r="M45" s="64">
        <f t="shared" si="7"/>
        <v>117.40093793712686</v>
      </c>
      <c r="N45" s="64">
        <f t="shared" si="8"/>
        <v>399.30317311705312</v>
      </c>
      <c r="O45" s="65">
        <f t="shared" si="9"/>
        <v>11.5</v>
      </c>
      <c r="P45" s="66">
        <f t="shared" si="10"/>
        <v>10</v>
      </c>
      <c r="Q45" s="67">
        <f t="shared" si="11"/>
        <v>270.40223517992627</v>
      </c>
      <c r="R45" s="68">
        <f t="shared" si="12"/>
        <v>389.30317311705312</v>
      </c>
      <c r="S45" s="64">
        <f t="shared" si="32"/>
        <v>116.75157845103828</v>
      </c>
      <c r="T45" s="7"/>
      <c r="U45" s="81">
        <v>20</v>
      </c>
      <c r="V45" s="64">
        <f t="shared" si="14"/>
        <v>281.90223517992627</v>
      </c>
      <c r="W45" s="64">
        <f t="shared" si="15"/>
        <v>133.75641165914988</v>
      </c>
      <c r="X45" s="64">
        <f t="shared" si="16"/>
        <v>415.65864683907614</v>
      </c>
      <c r="Y45" s="65">
        <f t="shared" si="17"/>
        <v>11.5</v>
      </c>
      <c r="Z45" s="66">
        <f t="shared" si="18"/>
        <v>10</v>
      </c>
      <c r="AA45" s="67">
        <f t="shared" si="19"/>
        <v>270.40223517992627</v>
      </c>
      <c r="AB45" s="68">
        <f t="shared" si="20"/>
        <v>405.65864683907614</v>
      </c>
      <c r="AC45" s="64">
        <f t="shared" si="33"/>
        <v>58.375789225519142</v>
      </c>
      <c r="AD45" s="7"/>
      <c r="AE45" s="81">
        <v>20</v>
      </c>
      <c r="AF45" s="64">
        <f t="shared" si="22"/>
        <v>281.90223517992627</v>
      </c>
      <c r="AG45" s="64">
        <f t="shared" si="23"/>
        <v>141.50466108177187</v>
      </c>
      <c r="AH45" s="64">
        <f t="shared" si="24"/>
        <v>423.40689626169814</v>
      </c>
      <c r="AI45" s="65">
        <f t="shared" si="25"/>
        <v>11.5</v>
      </c>
      <c r="AJ45" s="66">
        <f t="shared" si="26"/>
        <v>10</v>
      </c>
      <c r="AK45" s="67">
        <f t="shared" si="27"/>
        <v>270.40223517992627</v>
      </c>
      <c r="AL45" s="68">
        <f t="shared" si="28"/>
        <v>413.40689626169814</v>
      </c>
      <c r="AM45" s="64">
        <f t="shared" si="34"/>
        <v>29.187894612759571</v>
      </c>
      <c r="AN45" s="7"/>
      <c r="AO45" s="94">
        <v>0.96929095174865509</v>
      </c>
      <c r="AP45" s="8">
        <f>Mode3!H45</f>
        <v>419.0935002535951</v>
      </c>
    </row>
    <row r="46" spans="1:42" s="94" customFormat="1">
      <c r="A46" s="81">
        <v>21</v>
      </c>
      <c r="B46" s="64">
        <f>Mode3!B46</f>
        <v>280.24829544373654</v>
      </c>
      <c r="C46" s="64">
        <f t="shared" si="0"/>
        <v>100.37846221149601</v>
      </c>
      <c r="D46" s="64">
        <f t="shared" si="1"/>
        <v>380.62675765523255</v>
      </c>
      <c r="E46" s="65">
        <f t="shared" si="2"/>
        <v>11.5</v>
      </c>
      <c r="F46" s="66">
        <f t="shared" si="30"/>
        <v>10</v>
      </c>
      <c r="G46" s="67">
        <f t="shared" si="3"/>
        <v>268.74829544373654</v>
      </c>
      <c r="H46" s="71">
        <f t="shared" si="4"/>
        <v>370.62675765523255</v>
      </c>
      <c r="I46" s="64">
        <f t="shared" si="31"/>
        <v>174.02576177176175</v>
      </c>
      <c r="J46" s="7"/>
      <c r="K46" s="81">
        <v>21</v>
      </c>
      <c r="L46" s="64">
        <f t="shared" si="6"/>
        <v>280.24829544373654</v>
      </c>
      <c r="M46" s="64">
        <f t="shared" si="7"/>
        <v>116.91232304790299</v>
      </c>
      <c r="N46" s="64">
        <f t="shared" si="8"/>
        <v>397.16061849163953</v>
      </c>
      <c r="O46" s="65">
        <f t="shared" si="9"/>
        <v>11.5</v>
      </c>
      <c r="P46" s="66">
        <f t="shared" si="10"/>
        <v>10</v>
      </c>
      <c r="Q46" s="67">
        <f t="shared" si="11"/>
        <v>268.74829544373654</v>
      </c>
      <c r="R46" s="71">
        <f t="shared" si="12"/>
        <v>387.16061849163953</v>
      </c>
      <c r="S46" s="64">
        <f t="shared" si="32"/>
        <v>116.01717451450786</v>
      </c>
      <c r="T46" s="7"/>
      <c r="U46" s="81">
        <v>21</v>
      </c>
      <c r="V46" s="64">
        <f t="shared" si="14"/>
        <v>280.24829544373654</v>
      </c>
      <c r="W46" s="64">
        <f t="shared" si="15"/>
        <v>133.06193289046496</v>
      </c>
      <c r="X46" s="64">
        <f t="shared" si="16"/>
        <v>413.3102283342015</v>
      </c>
      <c r="Y46" s="65">
        <f t="shared" si="17"/>
        <v>11.5</v>
      </c>
      <c r="Z46" s="66">
        <f t="shared" si="18"/>
        <v>10</v>
      </c>
      <c r="AA46" s="67">
        <f t="shared" si="19"/>
        <v>268.74829544373654</v>
      </c>
      <c r="AB46" s="71">
        <f t="shared" si="20"/>
        <v>403.3102283342015</v>
      </c>
      <c r="AC46" s="64">
        <f t="shared" si="33"/>
        <v>58.008587257253929</v>
      </c>
      <c r="AD46" s="7"/>
      <c r="AE46" s="81">
        <v>21</v>
      </c>
      <c r="AF46" s="64">
        <f t="shared" si="22"/>
        <v>280.24829544373654</v>
      </c>
      <c r="AG46" s="64">
        <f t="shared" si="23"/>
        <v>140.71265626692752</v>
      </c>
      <c r="AH46" s="64">
        <f t="shared" si="24"/>
        <v>420.96095171066406</v>
      </c>
      <c r="AI46" s="65">
        <f t="shared" si="25"/>
        <v>11.5</v>
      </c>
      <c r="AJ46" s="66">
        <f t="shared" si="26"/>
        <v>10</v>
      </c>
      <c r="AK46" s="67">
        <f t="shared" si="27"/>
        <v>268.74829544373654</v>
      </c>
      <c r="AL46" s="71">
        <f t="shared" si="28"/>
        <v>410.96095171066406</v>
      </c>
      <c r="AM46" s="64">
        <f t="shared" si="34"/>
        <v>29.004293628626964</v>
      </c>
      <c r="AN46" s="7"/>
      <c r="AO46" s="94">
        <v>0.96314914209838609</v>
      </c>
      <c r="AP46" s="8">
        <f>Mode3!H46</f>
        <v>416.57597927630599</v>
      </c>
    </row>
    <row r="47" spans="1:42" s="94" customFormat="1">
      <c r="A47" s="81">
        <v>22</v>
      </c>
      <c r="B47" s="64">
        <f>Mode3!B47</f>
        <v>278.52677159887736</v>
      </c>
      <c r="C47" s="64">
        <f t="shared" si="0"/>
        <v>100.07320548826385</v>
      </c>
      <c r="D47" s="64">
        <f t="shared" si="1"/>
        <v>378.59997708714121</v>
      </c>
      <c r="E47" s="65">
        <f t="shared" si="2"/>
        <v>11.5</v>
      </c>
      <c r="F47" s="66">
        <f t="shared" si="30"/>
        <v>10</v>
      </c>
      <c r="G47" s="67">
        <f t="shared" si="3"/>
        <v>267.02677159887736</v>
      </c>
      <c r="H47" s="71">
        <f t="shared" si="4"/>
        <v>368.59997708714121</v>
      </c>
      <c r="I47" s="64">
        <f t="shared" si="31"/>
        <v>172.87996436120073</v>
      </c>
      <c r="J47" s="7"/>
      <c r="K47" s="81">
        <v>22</v>
      </c>
      <c r="L47" s="64">
        <f t="shared" si="6"/>
        <v>278.52677159887736</v>
      </c>
      <c r="M47" s="64">
        <f t="shared" si="7"/>
        <v>116.39346731592258</v>
      </c>
      <c r="N47" s="64">
        <f t="shared" si="8"/>
        <v>394.92023891479994</v>
      </c>
      <c r="O47" s="65">
        <f t="shared" si="9"/>
        <v>11.5</v>
      </c>
      <c r="P47" s="66">
        <f t="shared" si="10"/>
        <v>10</v>
      </c>
      <c r="Q47" s="67">
        <f t="shared" si="11"/>
        <v>267.02677159887736</v>
      </c>
      <c r="R47" s="71">
        <f t="shared" si="12"/>
        <v>384.92023891479994</v>
      </c>
      <c r="S47" s="64">
        <f t="shared" si="32"/>
        <v>115.25330957413385</v>
      </c>
      <c r="T47" s="7"/>
      <c r="U47" s="81">
        <v>22</v>
      </c>
      <c r="V47" s="64">
        <f t="shared" si="14"/>
        <v>278.52677159887736</v>
      </c>
      <c r="W47" s="64">
        <f t="shared" si="15"/>
        <v>132.3344422432537</v>
      </c>
      <c r="X47" s="64">
        <f t="shared" si="16"/>
        <v>410.86121384213106</v>
      </c>
      <c r="Y47" s="65">
        <f t="shared" si="17"/>
        <v>11.5</v>
      </c>
      <c r="Z47" s="66">
        <f t="shared" si="18"/>
        <v>10</v>
      </c>
      <c r="AA47" s="67">
        <f t="shared" si="19"/>
        <v>267.02677159887736</v>
      </c>
      <c r="AB47" s="71">
        <f t="shared" si="20"/>
        <v>400.86121384213106</v>
      </c>
      <c r="AC47" s="64">
        <f t="shared" si="33"/>
        <v>57.626654787066926</v>
      </c>
      <c r="AD47" s="7"/>
      <c r="AE47" s="81">
        <v>22</v>
      </c>
      <c r="AF47" s="64">
        <f t="shared" si="22"/>
        <v>278.52677159887736</v>
      </c>
      <c r="AG47" s="64">
        <f t="shared" si="23"/>
        <v>139.88632682183419</v>
      </c>
      <c r="AH47" s="64">
        <f t="shared" si="24"/>
        <v>418.41309842071155</v>
      </c>
      <c r="AI47" s="65">
        <f t="shared" si="25"/>
        <v>11.5</v>
      </c>
      <c r="AJ47" s="66">
        <f t="shared" si="26"/>
        <v>10</v>
      </c>
      <c r="AK47" s="67">
        <f t="shared" si="27"/>
        <v>267.02677159887736</v>
      </c>
      <c r="AL47" s="71">
        <f t="shared" si="28"/>
        <v>408.41309842071155</v>
      </c>
      <c r="AM47" s="64">
        <f t="shared" si="34"/>
        <v>28.813327393533463</v>
      </c>
      <c r="AN47" s="7"/>
      <c r="AO47" s="94">
        <v>0.9570073324481172</v>
      </c>
      <c r="AP47" s="8">
        <f>Mode3!H47</f>
        <v>413.95558610386735</v>
      </c>
    </row>
    <row r="48" spans="1:42" s="94" customFormat="1">
      <c r="A48" s="81">
        <v>23</v>
      </c>
      <c r="B48" s="64">
        <f>Mode3!B48</f>
        <v>276.73618791094344</v>
      </c>
      <c r="C48" s="64">
        <f t="shared" si="0"/>
        <v>99.739838543187659</v>
      </c>
      <c r="D48" s="64">
        <f t="shared" si="1"/>
        <v>376.4760264541311</v>
      </c>
      <c r="E48" s="65">
        <f t="shared" si="2"/>
        <v>11.5</v>
      </c>
      <c r="F48" s="66">
        <f t="shared" si="30"/>
        <v>10</v>
      </c>
      <c r="G48" s="67">
        <f t="shared" si="3"/>
        <v>265.23618791094344</v>
      </c>
      <c r="H48" s="71">
        <f t="shared" si="4"/>
        <v>366.4760264541311</v>
      </c>
      <c r="I48" s="64">
        <f t="shared" si="31"/>
        <v>171.68887288279882</v>
      </c>
      <c r="J48" s="7"/>
      <c r="K48" s="81">
        <v>23</v>
      </c>
      <c r="L48" s="64">
        <f t="shared" si="6"/>
        <v>276.73618791094344</v>
      </c>
      <c r="M48" s="64">
        <f t="shared" si="7"/>
        <v>115.84364129810206</v>
      </c>
      <c r="N48" s="64">
        <f t="shared" si="8"/>
        <v>392.5798292090455</v>
      </c>
      <c r="O48" s="65">
        <f t="shared" si="9"/>
        <v>11.5</v>
      </c>
      <c r="P48" s="66">
        <f t="shared" si="10"/>
        <v>10</v>
      </c>
      <c r="Q48" s="67">
        <f t="shared" si="11"/>
        <v>265.23618791094344</v>
      </c>
      <c r="R48" s="71">
        <f t="shared" si="12"/>
        <v>382.5798292090455</v>
      </c>
      <c r="S48" s="64">
        <f t="shared" si="32"/>
        <v>114.45924858853256</v>
      </c>
      <c r="T48" s="7"/>
      <c r="U48" s="81">
        <v>23</v>
      </c>
      <c r="V48" s="64">
        <f t="shared" si="14"/>
        <v>276.73618791094344</v>
      </c>
      <c r="W48" s="64">
        <f t="shared" si="15"/>
        <v>131.57318771479726</v>
      </c>
      <c r="X48" s="64">
        <f t="shared" si="16"/>
        <v>408.3093756257407</v>
      </c>
      <c r="Y48" s="65">
        <f t="shared" si="17"/>
        <v>11.5</v>
      </c>
      <c r="Z48" s="66">
        <f t="shared" si="18"/>
        <v>10</v>
      </c>
      <c r="AA48" s="67">
        <f t="shared" si="19"/>
        <v>265.23618791094344</v>
      </c>
      <c r="AB48" s="71">
        <f t="shared" si="20"/>
        <v>398.3093756257407</v>
      </c>
      <c r="AC48" s="64">
        <f t="shared" si="33"/>
        <v>57.22962429426628</v>
      </c>
      <c r="AD48" s="7"/>
      <c r="AE48" s="81">
        <v>23</v>
      </c>
      <c r="AF48" s="64">
        <f t="shared" si="22"/>
        <v>276.73618791094344</v>
      </c>
      <c r="AG48" s="64">
        <f t="shared" si="23"/>
        <v>139.02491005636142</v>
      </c>
      <c r="AH48" s="64">
        <f t="shared" si="24"/>
        <v>415.76109796730486</v>
      </c>
      <c r="AI48" s="65">
        <f t="shared" si="25"/>
        <v>11.5</v>
      </c>
      <c r="AJ48" s="66">
        <f t="shared" si="26"/>
        <v>10</v>
      </c>
      <c r="AK48" s="67">
        <f t="shared" si="27"/>
        <v>265.23618791094344</v>
      </c>
      <c r="AL48" s="71">
        <f t="shared" si="28"/>
        <v>405.76109796730486</v>
      </c>
      <c r="AM48" s="64">
        <f t="shared" si="34"/>
        <v>28.61481214713314</v>
      </c>
      <c r="AN48" s="7"/>
      <c r="AO48" s="94">
        <v>0.95086552279784819</v>
      </c>
      <c r="AP48" s="8">
        <f>Mode3!H48</f>
        <v>411.23007446802609</v>
      </c>
    </row>
    <row r="49" spans="1:42" s="94" customFormat="1">
      <c r="A49" s="81">
        <v>24</v>
      </c>
      <c r="B49" s="64">
        <f>Mode3!B49</f>
        <v>274.87482136184349</v>
      </c>
      <c r="C49" s="64">
        <f t="shared" si="0"/>
        <v>99.159806140417743</v>
      </c>
      <c r="D49" s="64">
        <f t="shared" si="1"/>
        <v>374.03462750226123</v>
      </c>
      <c r="E49" s="65">
        <f t="shared" si="2"/>
        <v>11.5</v>
      </c>
      <c r="F49" s="66">
        <f t="shared" si="30"/>
        <v>10</v>
      </c>
      <c r="G49" s="67">
        <f t="shared" si="3"/>
        <v>263.37482136184349</v>
      </c>
      <c r="H49" s="71">
        <f t="shared" si="4"/>
        <v>364.03462750226123</v>
      </c>
      <c r="I49" s="64">
        <f t="shared" si="31"/>
        <v>171.29201920096261</v>
      </c>
      <c r="J49" s="7"/>
      <c r="K49" s="81">
        <v>24</v>
      </c>
      <c r="L49" s="64">
        <f t="shared" si="6"/>
        <v>274.87482136184349</v>
      </c>
      <c r="M49" s="64">
        <f t="shared" si="7"/>
        <v>115.12260854284017</v>
      </c>
      <c r="N49" s="64">
        <f t="shared" si="8"/>
        <v>389.99742990468366</v>
      </c>
      <c r="O49" s="65">
        <f t="shared" si="9"/>
        <v>11.5</v>
      </c>
      <c r="P49" s="66">
        <f t="shared" si="10"/>
        <v>10</v>
      </c>
      <c r="Q49" s="67">
        <f t="shared" si="11"/>
        <v>263.37482136184349</v>
      </c>
      <c r="R49" s="71">
        <f t="shared" si="12"/>
        <v>379.99742990468366</v>
      </c>
      <c r="S49" s="64">
        <f t="shared" si="32"/>
        <v>114.19467946730842</v>
      </c>
      <c r="T49" s="7"/>
      <c r="U49" s="81">
        <v>24</v>
      </c>
      <c r="V49" s="64">
        <f t="shared" si="14"/>
        <v>274.87482136184349</v>
      </c>
      <c r="W49" s="64">
        <f t="shared" si="15"/>
        <v>130.71443148992722</v>
      </c>
      <c r="X49" s="64">
        <f t="shared" si="16"/>
        <v>405.58925285177071</v>
      </c>
      <c r="Y49" s="65">
        <f t="shared" si="17"/>
        <v>11.5</v>
      </c>
      <c r="Z49" s="66">
        <f t="shared" si="18"/>
        <v>10</v>
      </c>
      <c r="AA49" s="67">
        <f t="shared" si="19"/>
        <v>263.37482136184349</v>
      </c>
      <c r="AB49" s="71">
        <f t="shared" si="20"/>
        <v>395.58925285177071</v>
      </c>
      <c r="AC49" s="64">
        <f t="shared" si="33"/>
        <v>57.097339733654209</v>
      </c>
      <c r="AD49" s="7"/>
      <c r="AE49" s="81">
        <v>24</v>
      </c>
      <c r="AF49" s="64">
        <f t="shared" si="22"/>
        <v>274.87482136184349</v>
      </c>
      <c r="AG49" s="64">
        <f t="shared" si="23"/>
        <v>138.10090865351543</v>
      </c>
      <c r="AH49" s="64">
        <f t="shared" si="24"/>
        <v>412.97573001535892</v>
      </c>
      <c r="AI49" s="65">
        <f t="shared" si="25"/>
        <v>11.5</v>
      </c>
      <c r="AJ49" s="66">
        <f t="shared" si="26"/>
        <v>10</v>
      </c>
      <c r="AK49" s="67">
        <f t="shared" si="27"/>
        <v>263.37482136184349</v>
      </c>
      <c r="AL49" s="71">
        <f t="shared" si="28"/>
        <v>402.97573001535892</v>
      </c>
      <c r="AM49" s="64">
        <f t="shared" si="34"/>
        <v>28.548669866827105</v>
      </c>
      <c r="AN49" s="7"/>
      <c r="AO49" s="94">
        <v>0.94472371314757919</v>
      </c>
      <c r="AP49" s="8">
        <f>Mode3!H49</f>
        <v>408.39682170116362</v>
      </c>
    </row>
    <row r="50" spans="1:42" s="94" customFormat="1">
      <c r="A50" s="81">
        <v>25</v>
      </c>
      <c r="B50" s="64">
        <f>Mode3!B50</f>
        <v>274.25464215508083</v>
      </c>
      <c r="C50" s="64">
        <f t="shared" si="0"/>
        <v>99.505232388942431</v>
      </c>
      <c r="D50" s="64">
        <f t="shared" si="1"/>
        <v>373.75987454402326</v>
      </c>
      <c r="E50" s="65">
        <f t="shared" si="2"/>
        <v>11.5</v>
      </c>
      <c r="F50" s="66">
        <f t="shared" si="30"/>
        <v>10</v>
      </c>
      <c r="G50" s="67">
        <f t="shared" si="3"/>
        <v>262.75464215508083</v>
      </c>
      <c r="H50" s="71">
        <f t="shared" si="4"/>
        <v>363.75987454402326</v>
      </c>
      <c r="I50" s="64">
        <f t="shared" si="31"/>
        <v>169.81189934892561</v>
      </c>
      <c r="J50" s="7"/>
      <c r="K50" s="81">
        <v>25</v>
      </c>
      <c r="L50" s="64">
        <f t="shared" si="6"/>
        <v>274.25464215508083</v>
      </c>
      <c r="M50" s="64">
        <f t="shared" si="7"/>
        <v>115.22722139785651</v>
      </c>
      <c r="N50" s="64">
        <f t="shared" si="8"/>
        <v>389.48186355293734</v>
      </c>
      <c r="O50" s="65">
        <f t="shared" si="9"/>
        <v>11.5</v>
      </c>
      <c r="P50" s="66">
        <f t="shared" si="10"/>
        <v>10</v>
      </c>
      <c r="Q50" s="67">
        <f t="shared" si="11"/>
        <v>262.75464215508083</v>
      </c>
      <c r="R50" s="71">
        <f t="shared" si="12"/>
        <v>379.48186355293734</v>
      </c>
      <c r="S50" s="64">
        <f t="shared" si="32"/>
        <v>113.20793289928375</v>
      </c>
      <c r="T50" s="7"/>
      <c r="U50" s="81">
        <v>25</v>
      </c>
      <c r="V50" s="64">
        <f t="shared" si="14"/>
        <v>274.25464215508083</v>
      </c>
      <c r="W50" s="64">
        <f t="shared" si="15"/>
        <v>130.58382751395027</v>
      </c>
      <c r="X50" s="64">
        <f t="shared" si="16"/>
        <v>404.8384696690311</v>
      </c>
      <c r="Y50" s="65">
        <f t="shared" si="17"/>
        <v>11.5</v>
      </c>
      <c r="Z50" s="66">
        <f t="shared" si="18"/>
        <v>10</v>
      </c>
      <c r="AA50" s="67">
        <f t="shared" si="19"/>
        <v>262.75464215508083</v>
      </c>
      <c r="AB50" s="71">
        <f t="shared" si="20"/>
        <v>394.8384696690311</v>
      </c>
      <c r="AC50" s="64">
        <f t="shared" si="33"/>
        <v>56.603966449641874</v>
      </c>
      <c r="AD50" s="7"/>
      <c r="AE50" s="81">
        <v>25</v>
      </c>
      <c r="AF50" s="64">
        <f t="shared" si="22"/>
        <v>274.25464215508083</v>
      </c>
      <c r="AG50" s="64">
        <f t="shared" si="23"/>
        <v>137.85887295101622</v>
      </c>
      <c r="AH50" s="64">
        <f t="shared" si="24"/>
        <v>412.11351510609705</v>
      </c>
      <c r="AI50" s="65">
        <f t="shared" si="25"/>
        <v>11.5</v>
      </c>
      <c r="AJ50" s="66">
        <f t="shared" si="26"/>
        <v>10</v>
      </c>
      <c r="AK50" s="67">
        <f t="shared" si="27"/>
        <v>262.75464215508083</v>
      </c>
      <c r="AL50" s="71">
        <f t="shared" si="28"/>
        <v>402.11351510609705</v>
      </c>
      <c r="AM50" s="64">
        <f t="shared" si="34"/>
        <v>28.301983224820937</v>
      </c>
      <c r="AN50" s="7"/>
      <c r="AO50" s="94">
        <v>0.93858190349731019</v>
      </c>
      <c r="AP50" s="8">
        <f>Mode3!H50</f>
        <v>407.45282469296524</v>
      </c>
    </row>
    <row r="51" spans="1:42" s="94" customFormat="1">
      <c r="A51" s="81">
        <v>26</v>
      </c>
      <c r="B51" s="64">
        <f>Mode3!B51</f>
        <v>271.94159934418201</v>
      </c>
      <c r="C51" s="64">
        <f t="shared" si="0"/>
        <v>98.912541876071487</v>
      </c>
      <c r="D51" s="64">
        <f t="shared" si="1"/>
        <v>370.8541412202535</v>
      </c>
      <c r="E51" s="65">
        <f t="shared" si="2"/>
        <v>11.5</v>
      </c>
      <c r="F51" s="66">
        <f t="shared" si="30"/>
        <v>10</v>
      </c>
      <c r="G51" s="67">
        <f t="shared" si="3"/>
        <v>260.44159934418201</v>
      </c>
      <c r="H51" s="71">
        <f t="shared" si="4"/>
        <v>360.8541412202535</v>
      </c>
      <c r="I51" s="64">
        <f t="shared" si="31"/>
        <v>168.52436265093365</v>
      </c>
      <c r="J51" s="7"/>
      <c r="K51" s="81">
        <v>26</v>
      </c>
      <c r="L51" s="64">
        <f t="shared" si="6"/>
        <v>271.94159934418201</v>
      </c>
      <c r="M51" s="64">
        <f t="shared" si="7"/>
        <v>114.4132245296438</v>
      </c>
      <c r="N51" s="64">
        <f t="shared" si="8"/>
        <v>386.35482387382581</v>
      </c>
      <c r="O51" s="65">
        <f t="shared" si="9"/>
        <v>11.5</v>
      </c>
      <c r="P51" s="66">
        <f t="shared" si="10"/>
        <v>10</v>
      </c>
      <c r="Q51" s="67">
        <f t="shared" si="11"/>
        <v>260.44159934418201</v>
      </c>
      <c r="R51" s="71">
        <f t="shared" si="12"/>
        <v>376.35482387382581</v>
      </c>
      <c r="S51" s="64">
        <f t="shared" si="32"/>
        <v>112.34957510062243</v>
      </c>
      <c r="T51" s="7"/>
      <c r="U51" s="81">
        <v>26</v>
      </c>
      <c r="V51" s="64">
        <f t="shared" si="14"/>
        <v>271.94159934418201</v>
      </c>
      <c r="W51" s="64">
        <f t="shared" si="15"/>
        <v>129.55366750454436</v>
      </c>
      <c r="X51" s="64">
        <f t="shared" si="16"/>
        <v>401.49526684872637</v>
      </c>
      <c r="Y51" s="65">
        <f t="shared" si="17"/>
        <v>11.5</v>
      </c>
      <c r="Z51" s="66">
        <f t="shared" si="18"/>
        <v>10</v>
      </c>
      <c r="AA51" s="67">
        <f t="shared" si="19"/>
        <v>260.44159934418201</v>
      </c>
      <c r="AB51" s="71">
        <f t="shared" si="20"/>
        <v>391.49526684872637</v>
      </c>
      <c r="AC51" s="64">
        <f t="shared" si="33"/>
        <v>56.174787550311216</v>
      </c>
      <c r="AD51" s="7"/>
      <c r="AE51" s="81">
        <v>26</v>
      </c>
      <c r="AF51" s="64">
        <f t="shared" si="22"/>
        <v>271.94159934418201</v>
      </c>
      <c r="AG51" s="64">
        <f t="shared" si="23"/>
        <v>136.72630771860008</v>
      </c>
      <c r="AH51" s="64">
        <f t="shared" si="24"/>
        <v>408.66790706278209</v>
      </c>
      <c r="AI51" s="65">
        <f t="shared" si="25"/>
        <v>11.5</v>
      </c>
      <c r="AJ51" s="66">
        <f t="shared" si="26"/>
        <v>10</v>
      </c>
      <c r="AK51" s="67">
        <f t="shared" si="27"/>
        <v>260.44159934418201</v>
      </c>
      <c r="AL51" s="71">
        <f t="shared" si="28"/>
        <v>398.66790706278209</v>
      </c>
      <c r="AM51" s="64">
        <f t="shared" si="34"/>
        <v>28.087393775155608</v>
      </c>
      <c r="AN51" s="7"/>
      <c r="AO51" s="94">
        <v>0.9324400938470413</v>
      </c>
      <c r="AP51" s="8">
        <f>Mode3!H51</f>
        <v>403.93205929239468</v>
      </c>
    </row>
    <row r="52" spans="1:42" s="94" customFormat="1">
      <c r="A52" s="81">
        <v>27</v>
      </c>
      <c r="B52" s="64">
        <f>Mode3!B52</f>
        <v>269.92951397220349</v>
      </c>
      <c r="C52" s="64">
        <f t="shared" si="0"/>
        <v>98.485474224356324</v>
      </c>
      <c r="D52" s="64">
        <f t="shared" si="1"/>
        <v>368.41498819655982</v>
      </c>
      <c r="E52" s="65">
        <f t="shared" si="2"/>
        <v>11.5</v>
      </c>
      <c r="F52" s="66">
        <f t="shared" si="30"/>
        <v>10</v>
      </c>
      <c r="G52" s="67">
        <f t="shared" si="3"/>
        <v>258.42951397220349</v>
      </c>
      <c r="H52" s="71">
        <f t="shared" si="4"/>
        <v>358.41498819655982</v>
      </c>
      <c r="I52" s="64">
        <f t="shared" si="31"/>
        <v>167.18634891058082</v>
      </c>
      <c r="J52" s="7"/>
      <c r="K52" s="81">
        <v>27</v>
      </c>
      <c r="L52" s="64">
        <f t="shared" si="6"/>
        <v>269.92951397220349</v>
      </c>
      <c r="M52" s="64">
        <f t="shared" si="7"/>
        <v>113.76179838459956</v>
      </c>
      <c r="N52" s="64">
        <f t="shared" si="8"/>
        <v>383.69131235680305</v>
      </c>
      <c r="O52" s="65">
        <f t="shared" si="9"/>
        <v>11.5</v>
      </c>
      <c r="P52" s="66">
        <f t="shared" si="10"/>
        <v>10</v>
      </c>
      <c r="Q52" s="67">
        <f t="shared" si="11"/>
        <v>258.42951397220349</v>
      </c>
      <c r="R52" s="71">
        <f t="shared" si="12"/>
        <v>373.69131235680305</v>
      </c>
      <c r="S52" s="64">
        <f t="shared" si="32"/>
        <v>111.45756594038723</v>
      </c>
      <c r="T52" s="7"/>
      <c r="U52" s="81">
        <v>27</v>
      </c>
      <c r="V52" s="64">
        <f t="shared" si="14"/>
        <v>269.92951397220349</v>
      </c>
      <c r="W52" s="64">
        <f t="shared" si="15"/>
        <v>128.68309701275746</v>
      </c>
      <c r="X52" s="64">
        <f t="shared" si="16"/>
        <v>398.61261098496095</v>
      </c>
      <c r="Y52" s="65">
        <f t="shared" si="17"/>
        <v>11.5</v>
      </c>
      <c r="Z52" s="66">
        <f t="shared" si="18"/>
        <v>10</v>
      </c>
      <c r="AA52" s="67">
        <f t="shared" si="19"/>
        <v>258.42951397220349</v>
      </c>
      <c r="AB52" s="71">
        <f t="shared" si="20"/>
        <v>388.61261098496095</v>
      </c>
      <c r="AC52" s="64">
        <f t="shared" si="33"/>
        <v>55.728782970193613</v>
      </c>
      <c r="AD52" s="7"/>
      <c r="AE52" s="81">
        <v>27</v>
      </c>
      <c r="AF52" s="64">
        <f t="shared" si="22"/>
        <v>269.92951397220349</v>
      </c>
      <c r="AG52" s="64">
        <f t="shared" si="23"/>
        <v>135.75191968615502</v>
      </c>
      <c r="AH52" s="64">
        <f t="shared" si="24"/>
        <v>405.68143365835851</v>
      </c>
      <c r="AI52" s="65">
        <f t="shared" si="25"/>
        <v>11.5</v>
      </c>
      <c r="AJ52" s="66">
        <f t="shared" si="26"/>
        <v>10</v>
      </c>
      <c r="AK52" s="67">
        <f t="shared" si="27"/>
        <v>258.42951397220349</v>
      </c>
      <c r="AL52" s="71">
        <f t="shared" si="28"/>
        <v>395.68143365835851</v>
      </c>
      <c r="AM52" s="64">
        <f t="shared" si="34"/>
        <v>27.864391485096807</v>
      </c>
      <c r="AN52" s="7"/>
      <c r="AO52" s="94">
        <v>0.92629828419677229</v>
      </c>
      <c r="AP52" s="8">
        <f>Mode3!H52</f>
        <v>400.86939200094781</v>
      </c>
    </row>
    <row r="53" spans="1:42" s="94" customFormat="1">
      <c r="A53" s="81">
        <v>28</v>
      </c>
      <c r="B53" s="64">
        <f>Mode3!B53</f>
        <v>267.83854609636046</v>
      </c>
      <c r="C53" s="64">
        <f t="shared" si="0"/>
        <v>98.026010493760168</v>
      </c>
      <c r="D53" s="64">
        <f t="shared" si="1"/>
        <v>365.86455659012063</v>
      </c>
      <c r="E53" s="65">
        <f t="shared" si="2"/>
        <v>11.5</v>
      </c>
      <c r="F53" s="66">
        <f t="shared" si="30"/>
        <v>10</v>
      </c>
      <c r="G53" s="67">
        <f t="shared" si="3"/>
        <v>256.33854609636046</v>
      </c>
      <c r="H53" s="71">
        <f t="shared" si="4"/>
        <v>355.86455659012063</v>
      </c>
      <c r="I53" s="64">
        <f t="shared" si="31"/>
        <v>165.79562194144518</v>
      </c>
      <c r="J53" s="7"/>
      <c r="K53" s="81">
        <v>28</v>
      </c>
      <c r="L53" s="64">
        <f t="shared" si="6"/>
        <v>267.83854609636046</v>
      </c>
      <c r="M53" s="64">
        <f t="shared" si="7"/>
        <v>113.07481279455214</v>
      </c>
      <c r="N53" s="64">
        <f t="shared" si="8"/>
        <v>380.9133588909126</v>
      </c>
      <c r="O53" s="65">
        <f t="shared" si="9"/>
        <v>11.5</v>
      </c>
      <c r="P53" s="66">
        <f t="shared" si="10"/>
        <v>10</v>
      </c>
      <c r="Q53" s="67">
        <f t="shared" si="11"/>
        <v>256.33854609636046</v>
      </c>
      <c r="R53" s="71">
        <f t="shared" si="12"/>
        <v>370.9133588909126</v>
      </c>
      <c r="S53" s="64">
        <f t="shared" si="32"/>
        <v>110.53041462763014</v>
      </c>
      <c r="T53" s="7"/>
      <c r="U53" s="81">
        <v>28</v>
      </c>
      <c r="V53" s="64">
        <f t="shared" si="14"/>
        <v>267.83854609636046</v>
      </c>
      <c r="W53" s="64">
        <f t="shared" si="15"/>
        <v>127.77387722725217</v>
      </c>
      <c r="X53" s="64">
        <f t="shared" si="16"/>
        <v>395.61242332361263</v>
      </c>
      <c r="Y53" s="65">
        <f t="shared" si="17"/>
        <v>11.5</v>
      </c>
      <c r="Z53" s="66">
        <f t="shared" si="18"/>
        <v>10</v>
      </c>
      <c r="AA53" s="67">
        <f t="shared" si="19"/>
        <v>256.33854609636046</v>
      </c>
      <c r="AB53" s="71">
        <f t="shared" si="20"/>
        <v>385.61242332361263</v>
      </c>
      <c r="AC53" s="64">
        <f t="shared" si="33"/>
        <v>55.265207313815068</v>
      </c>
      <c r="AD53" s="7"/>
      <c r="AE53" s="81">
        <v>28</v>
      </c>
      <c r="AF53" s="64">
        <f t="shared" si="22"/>
        <v>267.83854609636046</v>
      </c>
      <c r="AG53" s="64">
        <f t="shared" si="23"/>
        <v>134.73741857368174</v>
      </c>
      <c r="AH53" s="64">
        <f t="shared" si="24"/>
        <v>402.5759646700422</v>
      </c>
      <c r="AI53" s="65">
        <f t="shared" si="25"/>
        <v>11.5</v>
      </c>
      <c r="AJ53" s="66">
        <f t="shared" si="26"/>
        <v>10</v>
      </c>
      <c r="AK53" s="67">
        <f t="shared" si="27"/>
        <v>256.33854609636046</v>
      </c>
      <c r="AL53" s="71">
        <f t="shared" si="28"/>
        <v>392.5759646700422</v>
      </c>
      <c r="AM53" s="64">
        <f t="shared" si="34"/>
        <v>27.632603656907534</v>
      </c>
      <c r="AN53" s="7"/>
      <c r="AO53" s="94">
        <v>0.92015647454650329</v>
      </c>
      <c r="AP53" s="8">
        <f>Mode3!H53</f>
        <v>397.68665482190187</v>
      </c>
    </row>
    <row r="54" spans="1:42" s="94" customFormat="1">
      <c r="A54" s="81">
        <v>29</v>
      </c>
      <c r="B54" s="64">
        <f>Mode3!B54</f>
        <v>265.66520113821053</v>
      </c>
      <c r="C54" s="64">
        <f t="shared" si="0"/>
        <v>97.532666909090608</v>
      </c>
      <c r="D54" s="64">
        <f t="shared" si="1"/>
        <v>363.19786804730114</v>
      </c>
      <c r="E54" s="65">
        <f t="shared" si="2"/>
        <v>11.5</v>
      </c>
      <c r="F54" s="66">
        <f t="shared" si="30"/>
        <v>10</v>
      </c>
      <c r="G54" s="67">
        <f t="shared" si="3"/>
        <v>254.16520113821053</v>
      </c>
      <c r="H54" s="71">
        <f t="shared" si="4"/>
        <v>353.19786804730114</v>
      </c>
      <c r="I54" s="64">
        <f t="shared" si="31"/>
        <v>164.34975871710375</v>
      </c>
      <c r="J54" s="7"/>
      <c r="K54" s="81">
        <v>29</v>
      </c>
      <c r="L54" s="64">
        <f t="shared" si="6"/>
        <v>265.66520113821053</v>
      </c>
      <c r="M54" s="64">
        <f t="shared" si="7"/>
        <v>112.35066132958394</v>
      </c>
      <c r="N54" s="64">
        <f t="shared" si="8"/>
        <v>378.01586246779448</v>
      </c>
      <c r="O54" s="65">
        <f t="shared" si="9"/>
        <v>11.5</v>
      </c>
      <c r="P54" s="66">
        <f t="shared" si="10"/>
        <v>10</v>
      </c>
      <c r="Q54" s="67">
        <f t="shared" si="11"/>
        <v>254.16520113821053</v>
      </c>
      <c r="R54" s="71">
        <f t="shared" si="12"/>
        <v>368.01586246779448</v>
      </c>
      <c r="S54" s="64">
        <f t="shared" si="32"/>
        <v>109.56650581140252</v>
      </c>
      <c r="T54" s="7"/>
      <c r="U54" s="81">
        <v>29</v>
      </c>
      <c r="V54" s="64">
        <f t="shared" si="14"/>
        <v>265.66520113821053</v>
      </c>
      <c r="W54" s="64">
        <f t="shared" si="15"/>
        <v>126.82428191391159</v>
      </c>
      <c r="X54" s="64">
        <f t="shared" si="16"/>
        <v>392.48948305212213</v>
      </c>
      <c r="Y54" s="65">
        <f t="shared" si="17"/>
        <v>11.5</v>
      </c>
      <c r="Z54" s="66">
        <f t="shared" si="18"/>
        <v>10</v>
      </c>
      <c r="AA54" s="67">
        <f t="shared" si="19"/>
        <v>254.16520113821053</v>
      </c>
      <c r="AB54" s="71">
        <f t="shared" si="20"/>
        <v>382.48948305212213</v>
      </c>
      <c r="AC54" s="64">
        <f t="shared" si="33"/>
        <v>54.783252905701261</v>
      </c>
      <c r="AD54" s="7"/>
      <c r="AE54" s="81">
        <v>29</v>
      </c>
      <c r="AF54" s="64">
        <f t="shared" si="22"/>
        <v>265.66520113821053</v>
      </c>
      <c r="AG54" s="64">
        <f t="shared" si="23"/>
        <v>133.68102139096868</v>
      </c>
      <c r="AH54" s="64">
        <f t="shared" si="24"/>
        <v>399.34622252917922</v>
      </c>
      <c r="AI54" s="65">
        <f t="shared" si="25"/>
        <v>11.5</v>
      </c>
      <c r="AJ54" s="66">
        <f t="shared" si="26"/>
        <v>10</v>
      </c>
      <c r="AK54" s="67">
        <f t="shared" si="27"/>
        <v>254.16520113821053</v>
      </c>
      <c r="AL54" s="71">
        <f t="shared" si="28"/>
        <v>389.34622252917922</v>
      </c>
      <c r="AM54" s="64">
        <f t="shared" si="34"/>
        <v>27.39162645285063</v>
      </c>
      <c r="AN54" s="7"/>
      <c r="AO54" s="94">
        <v>0.91401466489623429</v>
      </c>
      <c r="AP54" s="8">
        <f>Mode3!H54</f>
        <v>394.37852853210552</v>
      </c>
    </row>
    <row r="55" spans="1:42" s="94" customFormat="1">
      <c r="A55" s="81">
        <v>30</v>
      </c>
      <c r="B55" s="64">
        <f>Mode3!B55</f>
        <v>263.40569253692854</v>
      </c>
      <c r="C55" s="64">
        <f t="shared" si="0"/>
        <v>97.012501613830295</v>
      </c>
      <c r="D55" s="64">
        <f t="shared" si="1"/>
        <v>360.41819415075884</v>
      </c>
      <c r="E55" s="65">
        <f t="shared" si="2"/>
        <v>11.5</v>
      </c>
      <c r="F55" s="66">
        <f t="shared" si="30"/>
        <v>10</v>
      </c>
      <c r="G55" s="67">
        <f t="shared" si="3"/>
        <v>251.90569253692854</v>
      </c>
      <c r="H55" s="71">
        <f t="shared" si="4"/>
        <v>350.41819415075884</v>
      </c>
      <c r="I55" s="64">
        <f t="shared" si="31"/>
        <v>162.81133713779437</v>
      </c>
      <c r="J55" s="7"/>
      <c r="K55" s="81">
        <v>30</v>
      </c>
      <c r="L55" s="64">
        <f t="shared" si="6"/>
        <v>263.40569253692854</v>
      </c>
      <c r="M55" s="64">
        <f t="shared" si="7"/>
        <v>111.59315099116594</v>
      </c>
      <c r="N55" s="64">
        <f t="shared" si="8"/>
        <v>374.99884352809448</v>
      </c>
      <c r="O55" s="65">
        <f t="shared" si="9"/>
        <v>11.5</v>
      </c>
      <c r="P55" s="66">
        <f t="shared" si="10"/>
        <v>10</v>
      </c>
      <c r="Q55" s="67">
        <f t="shared" si="11"/>
        <v>251.90569253692854</v>
      </c>
      <c r="R55" s="71">
        <f t="shared" si="12"/>
        <v>364.99884352809448</v>
      </c>
      <c r="S55" s="64">
        <f t="shared" si="32"/>
        <v>108.54089142519626</v>
      </c>
      <c r="T55" s="7"/>
      <c r="U55" s="81">
        <v>30</v>
      </c>
      <c r="V55" s="64">
        <f t="shared" si="14"/>
        <v>263.40569253692854</v>
      </c>
      <c r="W55" s="64">
        <f t="shared" si="15"/>
        <v>125.83494248953548</v>
      </c>
      <c r="X55" s="64">
        <f t="shared" si="16"/>
        <v>389.24063502646402</v>
      </c>
      <c r="Y55" s="65">
        <f t="shared" si="17"/>
        <v>11.5</v>
      </c>
      <c r="Z55" s="66">
        <f t="shared" si="18"/>
        <v>10</v>
      </c>
      <c r="AA55" s="67">
        <f t="shared" si="19"/>
        <v>251.90569253692854</v>
      </c>
      <c r="AB55" s="71">
        <f t="shared" si="20"/>
        <v>379.24063502646402</v>
      </c>
      <c r="AC55" s="64">
        <f t="shared" si="33"/>
        <v>54.270445712598132</v>
      </c>
      <c r="AD55" s="7"/>
      <c r="AE55" s="81">
        <v>30</v>
      </c>
      <c r="AF55" s="64">
        <f t="shared" si="22"/>
        <v>263.40569253692854</v>
      </c>
      <c r="AG55" s="64">
        <f t="shared" si="23"/>
        <v>132.58185515191565</v>
      </c>
      <c r="AH55" s="64">
        <f t="shared" si="24"/>
        <v>395.98754768884419</v>
      </c>
      <c r="AI55" s="65">
        <f t="shared" si="25"/>
        <v>11.5</v>
      </c>
      <c r="AJ55" s="66">
        <f t="shared" si="26"/>
        <v>10</v>
      </c>
      <c r="AK55" s="67">
        <f t="shared" si="27"/>
        <v>251.90569253692854</v>
      </c>
      <c r="AL55" s="71">
        <f t="shared" si="28"/>
        <v>385.98754768884419</v>
      </c>
      <c r="AM55" s="64">
        <f t="shared" si="34"/>
        <v>27.135222856299066</v>
      </c>
      <c r="AN55" s="7"/>
      <c r="AO55" s="94">
        <v>0.90787285524596539</v>
      </c>
      <c r="AP55" s="8">
        <f>Mode3!H55</f>
        <v>390.93924947155324</v>
      </c>
    </row>
    <row r="56" spans="1:42" s="94" customFormat="1">
      <c r="A56" s="81">
        <v>31</v>
      </c>
      <c r="B56" s="64">
        <f>Mode3!B56</f>
        <v>261.00153927241013</v>
      </c>
      <c r="C56" s="64">
        <f t="shared" si="0"/>
        <v>96.426500205884736</v>
      </c>
      <c r="D56" s="64">
        <f t="shared" si="1"/>
        <v>357.42803947829486</v>
      </c>
      <c r="E56" s="65">
        <f t="shared" si="2"/>
        <v>11.5</v>
      </c>
      <c r="F56" s="66">
        <f t="shared" si="30"/>
        <v>10</v>
      </c>
      <c r="G56" s="67">
        <f t="shared" si="3"/>
        <v>249.50153927241013</v>
      </c>
      <c r="H56" s="71">
        <f t="shared" si="4"/>
        <v>347.42803947829486</v>
      </c>
      <c r="I56" s="64">
        <f t="shared" si="31"/>
        <v>161.21276758772854</v>
      </c>
      <c r="J56" s="7"/>
      <c r="K56" s="81">
        <v>31</v>
      </c>
      <c r="L56" s="64">
        <f t="shared" si="6"/>
        <v>261.00153927241013</v>
      </c>
      <c r="M56" s="64">
        <f t="shared" si="7"/>
        <v>110.76631849817352</v>
      </c>
      <c r="N56" s="64">
        <f t="shared" si="8"/>
        <v>371.76785777058365</v>
      </c>
      <c r="O56" s="65">
        <f t="shared" si="9"/>
        <v>11.5</v>
      </c>
      <c r="P56" s="66">
        <f t="shared" si="10"/>
        <v>10</v>
      </c>
      <c r="Q56" s="67">
        <f t="shared" si="11"/>
        <v>249.50153927241013</v>
      </c>
      <c r="R56" s="71">
        <f t="shared" si="12"/>
        <v>361.76785777058365</v>
      </c>
      <c r="S56" s="64">
        <f t="shared" si="32"/>
        <v>107.47517839181904</v>
      </c>
      <c r="T56" s="7"/>
      <c r="U56" s="81">
        <v>31</v>
      </c>
      <c r="V56" s="64">
        <f t="shared" si="14"/>
        <v>261.00153927241013</v>
      </c>
      <c r="W56" s="64">
        <f t="shared" si="15"/>
        <v>124.77287588516697</v>
      </c>
      <c r="X56" s="64">
        <f t="shared" si="16"/>
        <v>385.7744151575771</v>
      </c>
      <c r="Y56" s="65">
        <f t="shared" si="17"/>
        <v>11.5</v>
      </c>
      <c r="Z56" s="66">
        <f t="shared" si="18"/>
        <v>10</v>
      </c>
      <c r="AA56" s="67">
        <f t="shared" si="19"/>
        <v>249.50153927241013</v>
      </c>
      <c r="AB56" s="71">
        <f t="shared" si="20"/>
        <v>375.7744151575771</v>
      </c>
      <c r="AC56" s="64">
        <f t="shared" si="33"/>
        <v>53.737589195909521</v>
      </c>
      <c r="AD56" s="7"/>
      <c r="AE56" s="81">
        <v>31</v>
      </c>
      <c r="AF56" s="64">
        <f t="shared" si="22"/>
        <v>261.00153927241013</v>
      </c>
      <c r="AG56" s="64">
        <f t="shared" si="23"/>
        <v>131.40834863460867</v>
      </c>
      <c r="AH56" s="64">
        <f t="shared" si="24"/>
        <v>392.4098879070188</v>
      </c>
      <c r="AI56" s="65">
        <f t="shared" si="25"/>
        <v>11.5</v>
      </c>
      <c r="AJ56" s="66">
        <f t="shared" si="26"/>
        <v>10</v>
      </c>
      <c r="AK56" s="67">
        <f t="shared" si="27"/>
        <v>249.50153927241013</v>
      </c>
      <c r="AL56" s="71">
        <f t="shared" si="28"/>
        <v>382.4098879070188</v>
      </c>
      <c r="AM56" s="64">
        <f t="shared" si="34"/>
        <v>26.868794597954761</v>
      </c>
      <c r="AN56" s="7"/>
      <c r="AO56" s="94">
        <v>0.90173104559569639</v>
      </c>
      <c r="AP56" s="8">
        <f>Mode3!H56</f>
        <v>387.27980158260743</v>
      </c>
    </row>
    <row r="57" spans="1:42" s="94" customFormat="1">
      <c r="A57" s="81">
        <v>32</v>
      </c>
      <c r="B57" s="64">
        <f>Mode3!B57</f>
        <v>258.50339035533921</v>
      </c>
      <c r="C57" s="64">
        <f t="shared" si="0"/>
        <v>95.801461318149222</v>
      </c>
      <c r="D57" s="64">
        <f t="shared" si="1"/>
        <v>354.30485167348843</v>
      </c>
      <c r="E57" s="65">
        <f t="shared" si="2"/>
        <v>11.5</v>
      </c>
      <c r="F57" s="66">
        <f t="shared" si="30"/>
        <v>10</v>
      </c>
      <c r="G57" s="67">
        <f t="shared" si="3"/>
        <v>247.00339035533921</v>
      </c>
      <c r="H57" s="71">
        <f t="shared" si="4"/>
        <v>344.30485167348843</v>
      </c>
      <c r="I57" s="64">
        <f t="shared" si="31"/>
        <v>159.55137495239359</v>
      </c>
      <c r="J57" s="7"/>
      <c r="K57" s="81">
        <v>32</v>
      </c>
      <c r="L57" s="64">
        <f t="shared" si="6"/>
        <v>258.50339035533921</v>
      </c>
      <c r="M57" s="64">
        <f t="shared" si="7"/>
        <v>109.89683547528023</v>
      </c>
      <c r="N57" s="64">
        <f t="shared" si="8"/>
        <v>368.40022583061943</v>
      </c>
      <c r="O57" s="65">
        <f t="shared" si="9"/>
        <v>11.5</v>
      </c>
      <c r="P57" s="66">
        <f t="shared" si="10"/>
        <v>10</v>
      </c>
      <c r="Q57" s="67">
        <f t="shared" si="11"/>
        <v>247.00339035533921</v>
      </c>
      <c r="R57" s="71">
        <f t="shared" si="12"/>
        <v>358.40022583061943</v>
      </c>
      <c r="S57" s="64">
        <f t="shared" si="32"/>
        <v>106.36758330159576</v>
      </c>
      <c r="T57" s="7"/>
      <c r="U57" s="81">
        <v>32</v>
      </c>
      <c r="V57" s="64">
        <f t="shared" si="14"/>
        <v>258.50339035533921</v>
      </c>
      <c r="W57" s="64">
        <f t="shared" si="15"/>
        <v>123.66462966896023</v>
      </c>
      <c r="X57" s="64">
        <f t="shared" si="16"/>
        <v>382.16802002429944</v>
      </c>
      <c r="Y57" s="65">
        <f t="shared" si="17"/>
        <v>11.5</v>
      </c>
      <c r="Z57" s="66">
        <f t="shared" si="18"/>
        <v>10</v>
      </c>
      <c r="AA57" s="67">
        <f t="shared" si="19"/>
        <v>247.00339035533921</v>
      </c>
      <c r="AB57" s="71">
        <f t="shared" si="20"/>
        <v>372.16802002429944</v>
      </c>
      <c r="AC57" s="64">
        <f t="shared" si="33"/>
        <v>53.183791650797879</v>
      </c>
      <c r="AD57" s="7"/>
      <c r="AE57" s="81">
        <v>32</v>
      </c>
      <c r="AF57" s="64">
        <f t="shared" si="22"/>
        <v>258.50339035533921</v>
      </c>
      <c r="AG57" s="64">
        <f t="shared" si="23"/>
        <v>130.18699063661086</v>
      </c>
      <c r="AH57" s="64">
        <f t="shared" si="24"/>
        <v>388.69038099195006</v>
      </c>
      <c r="AI57" s="65">
        <f t="shared" si="25"/>
        <v>11.5</v>
      </c>
      <c r="AJ57" s="66">
        <f t="shared" si="26"/>
        <v>10</v>
      </c>
      <c r="AK57" s="67">
        <f t="shared" si="27"/>
        <v>247.00339035533921</v>
      </c>
      <c r="AL57" s="71">
        <f t="shared" si="28"/>
        <v>378.69038099195006</v>
      </c>
      <c r="AM57" s="64">
        <f t="shared" si="34"/>
        <v>26.591895825398939</v>
      </c>
      <c r="AN57" s="7"/>
      <c r="AO57" s="94">
        <v>0.89558923594542739</v>
      </c>
      <c r="AP57" s="8">
        <f>Mode3!H57</f>
        <v>383.47727954053659</v>
      </c>
    </row>
    <row r="58" spans="1:42" s="94" customFormat="1">
      <c r="A58" s="81">
        <v>33</v>
      </c>
      <c r="B58" s="64">
        <f>Mode3!B58</f>
        <v>255.90706527669576</v>
      </c>
      <c r="C58" s="64">
        <f t="shared" si="0"/>
        <v>95.135567491523233</v>
      </c>
      <c r="D58" s="64">
        <f t="shared" si="1"/>
        <v>351.04263276821899</v>
      </c>
      <c r="E58" s="65">
        <f t="shared" si="2"/>
        <v>11.5</v>
      </c>
      <c r="F58" s="66">
        <f t="shared" si="30"/>
        <v>10</v>
      </c>
      <c r="G58" s="67">
        <f t="shared" si="3"/>
        <v>244.40706527669576</v>
      </c>
      <c r="H58" s="71">
        <f t="shared" si="4"/>
        <v>341.04263276821899</v>
      </c>
      <c r="I58" s="64">
        <f t="shared" si="31"/>
        <v>157.82435951232245</v>
      </c>
      <c r="J58" s="7"/>
      <c r="K58" s="81">
        <v>33</v>
      </c>
      <c r="L58" s="64">
        <f t="shared" si="6"/>
        <v>255.90706527669576</v>
      </c>
      <c r="M58" s="64">
        <f t="shared" si="7"/>
        <v>108.98275300542988</v>
      </c>
      <c r="N58" s="64">
        <f t="shared" si="8"/>
        <v>364.88981828212565</v>
      </c>
      <c r="O58" s="65">
        <f t="shared" si="9"/>
        <v>11.5</v>
      </c>
      <c r="P58" s="66">
        <f t="shared" si="10"/>
        <v>10</v>
      </c>
      <c r="Q58" s="67">
        <f t="shared" si="11"/>
        <v>244.40706527669576</v>
      </c>
      <c r="R58" s="71">
        <f t="shared" si="12"/>
        <v>354.88981828212565</v>
      </c>
      <c r="S58" s="64">
        <f t="shared" si="32"/>
        <v>105.21623967488166</v>
      </c>
      <c r="T58" s="7"/>
      <c r="U58" s="81">
        <v>33</v>
      </c>
      <c r="V58" s="64">
        <f t="shared" si="14"/>
        <v>255.90706527669576</v>
      </c>
      <c r="W58" s="64">
        <f t="shared" si="15"/>
        <v>122.50812652101862</v>
      </c>
      <c r="X58" s="64">
        <f t="shared" si="16"/>
        <v>378.41519179771439</v>
      </c>
      <c r="Y58" s="65">
        <f t="shared" si="17"/>
        <v>11.5</v>
      </c>
      <c r="Z58" s="66">
        <f t="shared" si="18"/>
        <v>10</v>
      </c>
      <c r="AA58" s="67">
        <f t="shared" si="19"/>
        <v>244.40706527669576</v>
      </c>
      <c r="AB58" s="71">
        <f t="shared" si="20"/>
        <v>368.41519179771439</v>
      </c>
      <c r="AC58" s="64">
        <f t="shared" si="33"/>
        <v>52.608119837440832</v>
      </c>
      <c r="AD58" s="7"/>
      <c r="AE58" s="81">
        <v>33</v>
      </c>
      <c r="AF58" s="64">
        <f t="shared" si="22"/>
        <v>255.90706527669576</v>
      </c>
      <c r="AG58" s="64">
        <f t="shared" si="23"/>
        <v>128.91564300840682</v>
      </c>
      <c r="AH58" s="64">
        <f t="shared" si="24"/>
        <v>384.82270828510258</v>
      </c>
      <c r="AI58" s="65">
        <f t="shared" si="25"/>
        <v>11.5</v>
      </c>
      <c r="AJ58" s="66">
        <f t="shared" si="26"/>
        <v>10</v>
      </c>
      <c r="AK58" s="67">
        <f t="shared" si="27"/>
        <v>244.40706527669576</v>
      </c>
      <c r="AL58" s="71">
        <f t="shared" si="28"/>
        <v>374.82270828510258</v>
      </c>
      <c r="AM58" s="64">
        <f t="shared" si="34"/>
        <v>26.304059918720416</v>
      </c>
      <c r="AN58" s="7"/>
      <c r="AO58" s="94">
        <v>0.88944742629515838</v>
      </c>
      <c r="AP58" s="8">
        <f>Mode3!H58</f>
        <v>379.52532004266232</v>
      </c>
    </row>
    <row r="59" spans="1:42" s="94" customFormat="1">
      <c r="A59" s="81">
        <v>34</v>
      </c>
      <c r="B59" s="64">
        <f>Mode3!B59</f>
        <v>253.2081888022872</v>
      </c>
      <c r="C59" s="64">
        <f t="shared" si="0"/>
        <v>94.426904276821773</v>
      </c>
      <c r="D59" s="64">
        <f t="shared" si="1"/>
        <v>347.63509307910897</v>
      </c>
      <c r="E59" s="65">
        <f t="shared" si="2"/>
        <v>11.5</v>
      </c>
      <c r="F59" s="66">
        <f t="shared" si="30"/>
        <v>10</v>
      </c>
      <c r="G59" s="67">
        <f t="shared" si="3"/>
        <v>241.7081888022872</v>
      </c>
      <c r="H59" s="71">
        <f t="shared" si="4"/>
        <v>337.63509307910897</v>
      </c>
      <c r="I59" s="64">
        <f t="shared" si="31"/>
        <v>156.02882434090506</v>
      </c>
      <c r="J59" s="7"/>
      <c r="K59" s="81">
        <v>34</v>
      </c>
      <c r="L59" s="64">
        <f t="shared" si="6"/>
        <v>253.2081888022872</v>
      </c>
      <c r="M59" s="64">
        <f t="shared" si="7"/>
        <v>108.02202349643491</v>
      </c>
      <c r="N59" s="64">
        <f t="shared" si="8"/>
        <v>361.23021229872211</v>
      </c>
      <c r="O59" s="65">
        <f t="shared" si="9"/>
        <v>11.5</v>
      </c>
      <c r="P59" s="66">
        <f t="shared" si="10"/>
        <v>10</v>
      </c>
      <c r="Q59" s="67">
        <f t="shared" si="11"/>
        <v>241.7081888022872</v>
      </c>
      <c r="R59" s="71">
        <f t="shared" si="12"/>
        <v>351.23021229872211</v>
      </c>
      <c r="S59" s="64">
        <f t="shared" si="32"/>
        <v>104.01921622727008</v>
      </c>
      <c r="T59" s="7"/>
      <c r="U59" s="81">
        <v>34</v>
      </c>
      <c r="V59" s="64">
        <f t="shared" si="14"/>
        <v>253.2081888022872</v>
      </c>
      <c r="W59" s="64">
        <f t="shared" si="15"/>
        <v>121.30118880042815</v>
      </c>
      <c r="X59" s="64">
        <f t="shared" si="16"/>
        <v>374.50937760271535</v>
      </c>
      <c r="Y59" s="65">
        <f t="shared" si="17"/>
        <v>11.5</v>
      </c>
      <c r="Z59" s="66">
        <f t="shared" si="18"/>
        <v>10</v>
      </c>
      <c r="AA59" s="67">
        <f t="shared" si="19"/>
        <v>241.7081888022872</v>
      </c>
      <c r="AB59" s="71">
        <f t="shared" si="20"/>
        <v>364.50937760271535</v>
      </c>
      <c r="AC59" s="64">
        <f t="shared" si="33"/>
        <v>52.009608113635039</v>
      </c>
      <c r="AD59" s="7"/>
      <c r="AE59" s="81">
        <v>34</v>
      </c>
      <c r="AF59" s="64">
        <f t="shared" si="22"/>
        <v>253.2081888022872</v>
      </c>
      <c r="AG59" s="64">
        <f t="shared" si="23"/>
        <v>127.5920664997407</v>
      </c>
      <c r="AH59" s="64">
        <f t="shared" si="24"/>
        <v>380.80025530202789</v>
      </c>
      <c r="AI59" s="65">
        <f t="shared" si="25"/>
        <v>11.5</v>
      </c>
      <c r="AJ59" s="66">
        <f t="shared" si="26"/>
        <v>10</v>
      </c>
      <c r="AK59" s="67">
        <f t="shared" si="27"/>
        <v>241.7081888022872</v>
      </c>
      <c r="AL59" s="71">
        <f t="shared" si="28"/>
        <v>370.80025530202789</v>
      </c>
      <c r="AM59" s="64">
        <f t="shared" si="34"/>
        <v>26.00480405681752</v>
      </c>
      <c r="AN59" s="7"/>
      <c r="AO59" s="94">
        <v>0.88330561664488938</v>
      </c>
      <c r="AP59" s="8">
        <f>Mode3!H59</f>
        <v>375.41726338813839</v>
      </c>
    </row>
    <row r="60" spans="1:42" s="94" customFormat="1">
      <c r="A60" s="81">
        <v>35</v>
      </c>
      <c r="B60" s="64">
        <f>Mode3!B60</f>
        <v>250.40223378840963</v>
      </c>
      <c r="C60" s="64">
        <f t="shared" si="0"/>
        <v>93.644187058656797</v>
      </c>
      <c r="D60" s="64">
        <f t="shared" si="1"/>
        <v>344.04642084706643</v>
      </c>
      <c r="E60" s="65">
        <f t="shared" si="2"/>
        <v>11.5</v>
      </c>
      <c r="F60" s="66">
        <f t="shared" si="30"/>
        <v>10</v>
      </c>
      <c r="G60" s="67">
        <f t="shared" si="3"/>
        <v>238.90223378840963</v>
      </c>
      <c r="H60" s="71">
        <f t="shared" si="4"/>
        <v>334.04642084706643</v>
      </c>
      <c r="I60" s="64">
        <f t="shared" si="31"/>
        <v>154.2836006006074</v>
      </c>
      <c r="J60" s="7"/>
      <c r="K60" s="81">
        <v>35</v>
      </c>
      <c r="L60" s="64">
        <f t="shared" si="6"/>
        <v>250.40223378840963</v>
      </c>
      <c r="M60" s="64">
        <f t="shared" si="7"/>
        <v>106.99376888569847</v>
      </c>
      <c r="N60" s="64">
        <f t="shared" si="8"/>
        <v>357.3960026741081</v>
      </c>
      <c r="O60" s="65">
        <f t="shared" si="9"/>
        <v>11.5</v>
      </c>
      <c r="P60" s="66">
        <f t="shared" si="10"/>
        <v>10</v>
      </c>
      <c r="Q60" s="67">
        <f t="shared" si="11"/>
        <v>238.90223378840963</v>
      </c>
      <c r="R60" s="71">
        <f t="shared" si="12"/>
        <v>347.3960026741081</v>
      </c>
      <c r="S60" s="64">
        <f t="shared" si="32"/>
        <v>102.85573373373829</v>
      </c>
      <c r="T60" s="7"/>
      <c r="U60" s="81">
        <v>35</v>
      </c>
      <c r="V60" s="64">
        <f t="shared" si="14"/>
        <v>250.40223378840963</v>
      </c>
      <c r="W60" s="64">
        <f t="shared" si="15"/>
        <v>120.03310314653586</v>
      </c>
      <c r="X60" s="64">
        <f t="shared" si="16"/>
        <v>370.4353369349455</v>
      </c>
      <c r="Y60" s="65">
        <f t="shared" si="17"/>
        <v>11.5</v>
      </c>
      <c r="Z60" s="66">
        <f t="shared" si="18"/>
        <v>10</v>
      </c>
      <c r="AA60" s="67">
        <f t="shared" si="19"/>
        <v>238.90223378840963</v>
      </c>
      <c r="AB60" s="71">
        <f t="shared" si="20"/>
        <v>360.4353369349455</v>
      </c>
      <c r="AC60" s="64">
        <f t="shared" si="33"/>
        <v>51.427866866869145</v>
      </c>
      <c r="AD60" s="7"/>
      <c r="AE60" s="81">
        <v>35</v>
      </c>
      <c r="AF60" s="64">
        <f t="shared" si="22"/>
        <v>250.40223378840963</v>
      </c>
      <c r="AG60" s="64">
        <f t="shared" si="23"/>
        <v>126.21036318039634</v>
      </c>
      <c r="AH60" s="64">
        <f t="shared" si="24"/>
        <v>376.61259696880597</v>
      </c>
      <c r="AI60" s="65">
        <f t="shared" si="25"/>
        <v>11.5</v>
      </c>
      <c r="AJ60" s="66">
        <f t="shared" si="26"/>
        <v>10</v>
      </c>
      <c r="AK60" s="67">
        <f t="shared" si="27"/>
        <v>238.90223378840963</v>
      </c>
      <c r="AL60" s="71">
        <f t="shared" si="28"/>
        <v>366.61259696880597</v>
      </c>
      <c r="AM60" s="64">
        <f t="shared" si="34"/>
        <v>25.713933433434573</v>
      </c>
      <c r="AN60" s="7"/>
      <c r="AO60" s="94">
        <v>0.87716380699462049</v>
      </c>
      <c r="AP60" s="8">
        <f>Mode3!H60</f>
        <v>371.1462186492048</v>
      </c>
    </row>
    <row r="61" spans="1:42" s="94" customFormat="1">
      <c r="A61" s="81">
        <v>36</v>
      </c>
      <c r="B61" s="64">
        <f>Mode3!B61</f>
        <v>247.67490247105056</v>
      </c>
      <c r="C61" s="64">
        <f t="shared" si="0"/>
        <v>92.901018007369231</v>
      </c>
      <c r="D61" s="64">
        <f t="shared" si="1"/>
        <v>340.57592047841979</v>
      </c>
      <c r="E61" s="65">
        <f t="shared" si="2"/>
        <v>11.5</v>
      </c>
      <c r="F61" s="66">
        <f t="shared" si="30"/>
        <v>10</v>
      </c>
      <c r="G61" s="67">
        <f t="shared" si="3"/>
        <v>236.17490247105056</v>
      </c>
      <c r="H61" s="71">
        <f t="shared" si="4"/>
        <v>330.57592047841979</v>
      </c>
      <c r="I61" s="64">
        <f t="shared" si="31"/>
        <v>152.52006378448635</v>
      </c>
      <c r="J61" s="7"/>
      <c r="K61" s="81">
        <v>36</v>
      </c>
      <c r="L61" s="64">
        <f t="shared" si="6"/>
        <v>247.67490247105056</v>
      </c>
      <c r="M61" s="64">
        <f t="shared" si="7"/>
        <v>106.00560365492188</v>
      </c>
      <c r="N61" s="64">
        <f t="shared" si="8"/>
        <v>353.68050612597244</v>
      </c>
      <c r="O61" s="65">
        <f t="shared" si="9"/>
        <v>11.5</v>
      </c>
      <c r="P61" s="66">
        <f t="shared" si="10"/>
        <v>10</v>
      </c>
      <c r="Q61" s="67">
        <f t="shared" si="11"/>
        <v>236.17490247105056</v>
      </c>
      <c r="R61" s="71">
        <f t="shared" si="12"/>
        <v>343.68050612597244</v>
      </c>
      <c r="S61" s="64">
        <f t="shared" si="32"/>
        <v>101.68004252299095</v>
      </c>
      <c r="T61" s="7"/>
      <c r="U61" s="81">
        <v>36</v>
      </c>
      <c r="V61" s="64">
        <f t="shared" si="14"/>
        <v>247.67490247105056</v>
      </c>
      <c r="W61" s="64">
        <f t="shared" si="15"/>
        <v>118.80563550776074</v>
      </c>
      <c r="X61" s="64">
        <f t="shared" si="16"/>
        <v>366.4805379788113</v>
      </c>
      <c r="Y61" s="65">
        <f t="shared" si="17"/>
        <v>11.5</v>
      </c>
      <c r="Z61" s="66">
        <f t="shared" si="18"/>
        <v>10</v>
      </c>
      <c r="AA61" s="67">
        <f t="shared" si="19"/>
        <v>236.17490247105056</v>
      </c>
      <c r="AB61" s="71">
        <f t="shared" si="20"/>
        <v>356.4805379788113</v>
      </c>
      <c r="AC61" s="64">
        <f t="shared" si="33"/>
        <v>50.840021261495473</v>
      </c>
      <c r="AD61" s="7"/>
      <c r="AE61" s="81">
        <v>36</v>
      </c>
      <c r="AF61" s="64">
        <f t="shared" si="22"/>
        <v>247.67490247105056</v>
      </c>
      <c r="AG61" s="64">
        <f t="shared" si="23"/>
        <v>124.86952831202453</v>
      </c>
      <c r="AH61" s="64">
        <f t="shared" si="24"/>
        <v>372.54443078307509</v>
      </c>
      <c r="AI61" s="65">
        <f t="shared" si="25"/>
        <v>11.5</v>
      </c>
      <c r="AJ61" s="66">
        <f t="shared" si="26"/>
        <v>10</v>
      </c>
      <c r="AK61" s="67">
        <f t="shared" si="27"/>
        <v>236.17490247105056</v>
      </c>
      <c r="AL61" s="71">
        <f t="shared" si="28"/>
        <v>362.54443078307509</v>
      </c>
      <c r="AM61" s="64">
        <f t="shared" si="34"/>
        <v>25.420010630747736</v>
      </c>
      <c r="AN61" s="7"/>
      <c r="AO61" s="94">
        <v>0.87102199734435148</v>
      </c>
      <c r="AP61" s="8">
        <f>Mode3!H61</f>
        <v>366.9948498579289</v>
      </c>
    </row>
    <row r="62" spans="1:42" s="94" customFormat="1">
      <c r="A62" s="81">
        <v>37</v>
      </c>
      <c r="B62" s="64">
        <f>Mode3!B62</f>
        <v>244.91895257370257</v>
      </c>
      <c r="C62" s="64">
        <f t="shared" si="0"/>
        <v>92.156820640697759</v>
      </c>
      <c r="D62" s="64">
        <f t="shared" si="1"/>
        <v>337.07577321440033</v>
      </c>
      <c r="E62" s="65">
        <f t="shared" si="2"/>
        <v>11.5</v>
      </c>
      <c r="F62" s="66">
        <f t="shared" si="30"/>
        <v>10</v>
      </c>
      <c r="G62" s="67">
        <f t="shared" si="3"/>
        <v>233.41895257370257</v>
      </c>
      <c r="H62" s="71">
        <f t="shared" si="4"/>
        <v>327.07577321440033</v>
      </c>
      <c r="I62" s="64">
        <f t="shared" si="31"/>
        <v>150.67279331353103</v>
      </c>
      <c r="J62" s="7"/>
      <c r="K62" s="81">
        <v>37</v>
      </c>
      <c r="L62" s="64">
        <f t="shared" si="6"/>
        <v>244.91895257370257</v>
      </c>
      <c r="M62" s="64">
        <f t="shared" si="7"/>
        <v>105.01140327892708</v>
      </c>
      <c r="N62" s="64">
        <f t="shared" si="8"/>
        <v>349.93035585262965</v>
      </c>
      <c r="O62" s="65">
        <f t="shared" si="9"/>
        <v>11.5</v>
      </c>
      <c r="P62" s="66">
        <f t="shared" si="10"/>
        <v>10</v>
      </c>
      <c r="Q62" s="67">
        <f t="shared" si="11"/>
        <v>233.41895257370257</v>
      </c>
      <c r="R62" s="71">
        <f t="shared" si="12"/>
        <v>339.93035585262965</v>
      </c>
      <c r="S62" s="64">
        <f t="shared" si="32"/>
        <v>100.4485288756874</v>
      </c>
      <c r="T62" s="7"/>
      <c r="U62" s="81">
        <v>37</v>
      </c>
      <c r="V62" s="64">
        <f t="shared" si="14"/>
        <v>244.91895257370257</v>
      </c>
      <c r="W62" s="64">
        <f t="shared" si="15"/>
        <v>117.56724225389016</v>
      </c>
      <c r="X62" s="64">
        <f t="shared" si="16"/>
        <v>362.48619482759273</v>
      </c>
      <c r="Y62" s="65">
        <f t="shared" si="17"/>
        <v>11.5</v>
      </c>
      <c r="Z62" s="66">
        <f t="shared" si="18"/>
        <v>10</v>
      </c>
      <c r="AA62" s="67">
        <f t="shared" si="19"/>
        <v>233.41895257370257</v>
      </c>
      <c r="AB62" s="71">
        <f t="shared" si="20"/>
        <v>352.48619482759273</v>
      </c>
      <c r="AC62" s="64">
        <f t="shared" si="33"/>
        <v>50.224264437843701</v>
      </c>
      <c r="AD62" s="7"/>
      <c r="AE62" s="81">
        <v>37</v>
      </c>
      <c r="AF62" s="64">
        <f t="shared" si="22"/>
        <v>244.91895257370257</v>
      </c>
      <c r="AG62" s="64">
        <f t="shared" si="23"/>
        <v>123.51545101517442</v>
      </c>
      <c r="AH62" s="64">
        <f t="shared" si="24"/>
        <v>368.43440358887699</v>
      </c>
      <c r="AI62" s="65">
        <f t="shared" si="25"/>
        <v>11.5</v>
      </c>
      <c r="AJ62" s="66">
        <f t="shared" si="26"/>
        <v>10</v>
      </c>
      <c r="AK62" s="67">
        <f t="shared" si="27"/>
        <v>233.41895257370257</v>
      </c>
      <c r="AL62" s="71">
        <f t="shared" si="28"/>
        <v>358.43440358887699</v>
      </c>
      <c r="AM62" s="64">
        <f t="shared" si="34"/>
        <v>25.11213221892185</v>
      </c>
      <c r="AN62" s="7"/>
      <c r="AO62" s="94">
        <v>0.86488018769408248</v>
      </c>
      <c r="AP62" s="8">
        <f>Mode3!H62</f>
        <v>362.79991969988384</v>
      </c>
    </row>
    <row r="63" spans="1:42" s="94" customFormat="1">
      <c r="A63" s="81">
        <v>38</v>
      </c>
      <c r="B63" s="64">
        <f>Mode3!B63</f>
        <v>242.03214872687326</v>
      </c>
      <c r="C63" s="64">
        <f t="shared" si="0"/>
        <v>91.358624146937387</v>
      </c>
      <c r="D63" s="64">
        <f t="shared" si="1"/>
        <v>333.39077287381065</v>
      </c>
      <c r="E63" s="65">
        <f t="shared" si="2"/>
        <v>11.5</v>
      </c>
      <c r="F63" s="66">
        <f t="shared" si="30"/>
        <v>10</v>
      </c>
      <c r="G63" s="67">
        <f t="shared" si="3"/>
        <v>230.53214872687326</v>
      </c>
      <c r="H63" s="71">
        <f t="shared" si="4"/>
        <v>323.39077287381065</v>
      </c>
      <c r="I63" s="64">
        <f t="shared" si="31"/>
        <v>148.73825120405547</v>
      </c>
      <c r="J63" s="7"/>
      <c r="K63" s="81">
        <v>38</v>
      </c>
      <c r="L63" s="64">
        <f t="shared" si="6"/>
        <v>242.03214872687326</v>
      </c>
      <c r="M63" s="64">
        <f t="shared" si="7"/>
        <v>103.95804943753214</v>
      </c>
      <c r="N63" s="64">
        <f t="shared" si="8"/>
        <v>345.9901981644054</v>
      </c>
      <c r="O63" s="65">
        <f t="shared" si="9"/>
        <v>11.5</v>
      </c>
      <c r="P63" s="66">
        <f t="shared" si="10"/>
        <v>10</v>
      </c>
      <c r="Q63" s="67">
        <f t="shared" si="11"/>
        <v>230.53214872687326</v>
      </c>
      <c r="R63" s="71">
        <f t="shared" si="12"/>
        <v>335.9901981644054</v>
      </c>
      <c r="S63" s="64">
        <f t="shared" si="32"/>
        <v>99.158834136037044</v>
      </c>
      <c r="T63" s="7"/>
      <c r="U63" s="81">
        <v>38</v>
      </c>
      <c r="V63" s="64">
        <f t="shared" si="14"/>
        <v>242.03214872687326</v>
      </c>
      <c r="W63" s="64">
        <f t="shared" si="15"/>
        <v>116.26466098439894</v>
      </c>
      <c r="X63" s="64">
        <f t="shared" si="16"/>
        <v>358.2968097112722</v>
      </c>
      <c r="Y63" s="65">
        <f t="shared" si="17"/>
        <v>11.5</v>
      </c>
      <c r="Z63" s="66">
        <f t="shared" si="18"/>
        <v>10</v>
      </c>
      <c r="AA63" s="67">
        <f t="shared" si="19"/>
        <v>230.53214872687326</v>
      </c>
      <c r="AB63" s="71">
        <f t="shared" si="20"/>
        <v>348.2968097112722</v>
      </c>
      <c r="AC63" s="64">
        <f t="shared" si="33"/>
        <v>49.579417068018522</v>
      </c>
      <c r="AD63" s="7"/>
      <c r="AE63" s="81">
        <v>38</v>
      </c>
      <c r="AF63" s="64">
        <f t="shared" si="22"/>
        <v>242.03214872687326</v>
      </c>
      <c r="AG63" s="64">
        <f t="shared" si="23"/>
        <v>122.09480063263467</v>
      </c>
      <c r="AH63" s="64">
        <f t="shared" si="24"/>
        <v>364.12694935950793</v>
      </c>
      <c r="AI63" s="65">
        <f t="shared" si="25"/>
        <v>11.5</v>
      </c>
      <c r="AJ63" s="66">
        <f t="shared" si="26"/>
        <v>10</v>
      </c>
      <c r="AK63" s="67">
        <f t="shared" si="27"/>
        <v>230.53214872687326</v>
      </c>
      <c r="AL63" s="71">
        <f t="shared" si="28"/>
        <v>354.12694935950793</v>
      </c>
      <c r="AM63" s="64">
        <f t="shared" si="34"/>
        <v>24.789708534009261</v>
      </c>
      <c r="AN63" s="7"/>
      <c r="AO63" s="94">
        <v>0.85873837804381359</v>
      </c>
      <c r="AP63" s="8">
        <f>Mode3!H63</f>
        <v>358.40581205334138</v>
      </c>
    </row>
    <row r="64" spans="1:42" s="94" customFormat="1">
      <c r="A64" s="81">
        <v>39</v>
      </c>
      <c r="B64" s="64">
        <f>Mode3!B64</f>
        <v>239.00896198118832</v>
      </c>
      <c r="C64" s="64">
        <f t="shared" si="0"/>
        <v>90.503881714964081</v>
      </c>
      <c r="D64" s="64">
        <f t="shared" si="1"/>
        <v>329.5128436961524</v>
      </c>
      <c r="E64" s="65">
        <f t="shared" si="2"/>
        <v>11.5</v>
      </c>
      <c r="F64" s="66">
        <f t="shared" si="30"/>
        <v>10</v>
      </c>
      <c r="G64" s="67">
        <f t="shared" si="3"/>
        <v>227.50896198118832</v>
      </c>
      <c r="H64" s="71">
        <f t="shared" si="4"/>
        <v>319.5128436961524</v>
      </c>
      <c r="I64" s="64">
        <f t="shared" si="31"/>
        <v>146.71309654230222</v>
      </c>
      <c r="J64" s="7"/>
      <c r="K64" s="81">
        <v>39</v>
      </c>
      <c r="L64" s="64">
        <f t="shared" si="6"/>
        <v>239.00896198118832</v>
      </c>
      <c r="M64" s="64">
        <f t="shared" si="7"/>
        <v>102.84287295920021</v>
      </c>
      <c r="N64" s="64">
        <f t="shared" si="8"/>
        <v>341.85183494038853</v>
      </c>
      <c r="O64" s="65">
        <f t="shared" si="9"/>
        <v>11.5</v>
      </c>
      <c r="P64" s="66">
        <f t="shared" si="10"/>
        <v>10</v>
      </c>
      <c r="Q64" s="67">
        <f t="shared" si="11"/>
        <v>227.50896198118832</v>
      </c>
      <c r="R64" s="71">
        <f t="shared" si="12"/>
        <v>331.85183494038853</v>
      </c>
      <c r="S64" s="64">
        <f t="shared" si="32"/>
        <v>97.808731028201535</v>
      </c>
      <c r="T64" s="7"/>
      <c r="U64" s="81">
        <v>39</v>
      </c>
      <c r="V64" s="64">
        <f t="shared" si="14"/>
        <v>239.00896198118832</v>
      </c>
      <c r="W64" s="64">
        <f t="shared" si="15"/>
        <v>114.89510301102322</v>
      </c>
      <c r="X64" s="64">
        <f t="shared" si="16"/>
        <v>353.90406499221154</v>
      </c>
      <c r="Y64" s="65">
        <f t="shared" si="17"/>
        <v>11.5</v>
      </c>
      <c r="Z64" s="66">
        <f t="shared" si="18"/>
        <v>10</v>
      </c>
      <c r="AA64" s="67">
        <f t="shared" si="19"/>
        <v>227.50896198118832</v>
      </c>
      <c r="AB64" s="71">
        <f t="shared" si="20"/>
        <v>343.90406499221154</v>
      </c>
      <c r="AC64" s="64">
        <f t="shared" si="33"/>
        <v>48.904365514100768</v>
      </c>
      <c r="AD64" s="7"/>
      <c r="AE64" s="81">
        <v>39</v>
      </c>
      <c r="AF64" s="64">
        <f t="shared" si="22"/>
        <v>239.00896198118832</v>
      </c>
      <c r="AG64" s="64">
        <f t="shared" si="23"/>
        <v>120.60473185623366</v>
      </c>
      <c r="AH64" s="64">
        <f t="shared" si="24"/>
        <v>359.61369383742198</v>
      </c>
      <c r="AI64" s="65">
        <f t="shared" si="25"/>
        <v>11.5</v>
      </c>
      <c r="AJ64" s="66">
        <f t="shared" si="26"/>
        <v>10</v>
      </c>
      <c r="AK64" s="67">
        <f t="shared" si="27"/>
        <v>227.50896198118832</v>
      </c>
      <c r="AL64" s="71">
        <f t="shared" si="28"/>
        <v>349.61369383742198</v>
      </c>
      <c r="AM64" s="64">
        <f t="shared" si="34"/>
        <v>24.452182757050384</v>
      </c>
      <c r="AN64" s="7"/>
      <c r="AO64" s="94">
        <v>0.85259656839354458</v>
      </c>
      <c r="AP64" s="8">
        <f>Mode3!H64</f>
        <v>353.80411110620895</v>
      </c>
    </row>
    <row r="65" spans="1:42" s="94" customFormat="1">
      <c r="A65" s="81">
        <v>40</v>
      </c>
      <c r="B65" s="64">
        <f>Mode3!B65</f>
        <v>235.84417135637517</v>
      </c>
      <c r="C65" s="64">
        <f t="shared" si="0"/>
        <v>89.561984913691333</v>
      </c>
      <c r="D65" s="64">
        <f t="shared" si="1"/>
        <v>325.4061562700665</v>
      </c>
      <c r="E65" s="65">
        <f t="shared" si="2"/>
        <v>11.5</v>
      </c>
      <c r="F65" s="66">
        <f t="shared" si="30"/>
        <v>10</v>
      </c>
      <c r="G65" s="67">
        <f>B65-E65</f>
        <v>224.34417135637517</v>
      </c>
      <c r="H65" s="71">
        <f t="shared" si="4"/>
        <v>315.4061562700665</v>
      </c>
      <c r="I65" s="64">
        <f>(I64*AP65)/AP64</f>
        <v>144.71551549641993</v>
      </c>
      <c r="J65" s="7"/>
      <c r="K65" s="81">
        <v>40</v>
      </c>
      <c r="L65" s="64">
        <f t="shared" si="6"/>
        <v>235.84417135637517</v>
      </c>
      <c r="M65" s="64">
        <f t="shared" si="7"/>
        <v>101.64529829719856</v>
      </c>
      <c r="N65" s="64">
        <f t="shared" si="8"/>
        <v>337.48946965357374</v>
      </c>
      <c r="O65" s="65">
        <f t="shared" si="9"/>
        <v>11.5</v>
      </c>
      <c r="P65" s="66">
        <f t="shared" si="10"/>
        <v>10</v>
      </c>
      <c r="Q65" s="67">
        <f>L65-O65</f>
        <v>224.34417135637517</v>
      </c>
      <c r="R65" s="71">
        <f t="shared" si="12"/>
        <v>327.48946965357374</v>
      </c>
      <c r="S65" s="64">
        <f>(S64*AP65)/AP64</f>
        <v>96.477010330946669</v>
      </c>
      <c r="T65" s="7"/>
      <c r="U65" s="81">
        <v>40</v>
      </c>
      <c r="V65" s="64">
        <f t="shared" si="14"/>
        <v>235.84417135637517</v>
      </c>
      <c r="W65" s="64">
        <f t="shared" si="15"/>
        <v>113.44779250468321</v>
      </c>
      <c r="X65" s="64">
        <f t="shared" si="16"/>
        <v>349.29196386105838</v>
      </c>
      <c r="Y65" s="65">
        <f t="shared" si="17"/>
        <v>11.5</v>
      </c>
      <c r="Z65" s="66">
        <f t="shared" si="18"/>
        <v>10</v>
      </c>
      <c r="AA65" s="67">
        <f>V65-Y65</f>
        <v>224.34417135637517</v>
      </c>
      <c r="AB65" s="71">
        <f t="shared" si="20"/>
        <v>339.29196386105838</v>
      </c>
      <c r="AC65" s="64">
        <f>(AC64*AP65)/AP64</f>
        <v>48.238505165473335</v>
      </c>
      <c r="AD65" s="7"/>
      <c r="AE65" s="81">
        <v>40</v>
      </c>
      <c r="AF65" s="64">
        <f t="shared" si="22"/>
        <v>235.84417135637517</v>
      </c>
      <c r="AG65" s="64">
        <f t="shared" si="23"/>
        <v>119.03911137950757</v>
      </c>
      <c r="AH65" s="64">
        <f t="shared" si="24"/>
        <v>354.88328273588274</v>
      </c>
      <c r="AI65" s="65">
        <f t="shared" si="25"/>
        <v>11.5</v>
      </c>
      <c r="AJ65" s="66">
        <f t="shared" si="26"/>
        <v>10</v>
      </c>
      <c r="AK65" s="67">
        <f>AF65-AI65</f>
        <v>224.34417135637517</v>
      </c>
      <c r="AL65" s="71">
        <f t="shared" si="28"/>
        <v>344.88328273588274</v>
      </c>
      <c r="AM65" s="64">
        <f>(AM64*AP65)/AP64</f>
        <v>24.119252582736667</v>
      </c>
      <c r="AN65" s="7"/>
      <c r="AO65" s="94">
        <v>0.84645475874327558</v>
      </c>
      <c r="AP65" s="8">
        <f>Mode3!H65</f>
        <v>348.98686981720641</v>
      </c>
    </row>
  </sheetData>
  <mergeCells count="20">
    <mergeCell ref="U1:AC1"/>
    <mergeCell ref="V3:X3"/>
    <mergeCell ref="A1:I1"/>
    <mergeCell ref="B3:D3"/>
    <mergeCell ref="K1:S1"/>
    <mergeCell ref="L3:N3"/>
    <mergeCell ref="E3:F3"/>
    <mergeCell ref="G3:H3"/>
    <mergeCell ref="O3:P3"/>
    <mergeCell ref="Q3:R3"/>
    <mergeCell ref="Y3:Z3"/>
    <mergeCell ref="AA3:AB3"/>
    <mergeCell ref="U3:U4"/>
    <mergeCell ref="K3:K4"/>
    <mergeCell ref="A3:A4"/>
    <mergeCell ref="AE1:AM1"/>
    <mergeCell ref="AE3:AE4"/>
    <mergeCell ref="AF3:AH3"/>
    <mergeCell ref="AI3:AJ3"/>
    <mergeCell ref="AK3:AL3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7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5"/>
  <sheetViews>
    <sheetView zoomScale="85" zoomScaleNormal="85" workbookViewId="0">
      <selection activeCell="P21" sqref="P21"/>
    </sheetView>
  </sheetViews>
  <sheetFormatPr defaultRowHeight="16.5"/>
  <cols>
    <col min="6" max="8" width="9" customWidth="1"/>
    <col min="18" max="39" width="0" hidden="1" customWidth="1"/>
  </cols>
  <sheetData>
    <row r="1" spans="1:39">
      <c r="A1" s="117" t="s">
        <v>50</v>
      </c>
      <c r="B1" s="117"/>
      <c r="C1" s="117"/>
      <c r="D1" s="117"/>
      <c r="E1" s="117"/>
      <c r="F1" s="117"/>
      <c r="G1" s="117"/>
      <c r="H1" s="117"/>
      <c r="I1" s="117"/>
      <c r="AM1" t="e">
        <f ca="1">+R:AMQ:AMI5R:AM:AV</f>
        <v>#NAME?</v>
      </c>
    </row>
    <row r="2" spans="1:39">
      <c r="A2" s="1"/>
      <c r="B2" s="1"/>
      <c r="C2" s="1"/>
      <c r="D2" s="1"/>
      <c r="E2" s="1"/>
      <c r="F2" s="1"/>
      <c r="G2" s="1"/>
      <c r="H2" s="1"/>
      <c r="I2" s="1"/>
    </row>
    <row r="3" spans="1:39">
      <c r="A3" s="78" t="s">
        <v>32</v>
      </c>
      <c r="B3" s="128" t="s">
        <v>33</v>
      </c>
      <c r="C3" s="128"/>
      <c r="D3" s="128"/>
      <c r="E3" s="129" t="s">
        <v>34</v>
      </c>
      <c r="F3" s="129"/>
      <c r="G3" s="128" t="s">
        <v>35</v>
      </c>
      <c r="H3" s="128"/>
      <c r="I3" s="76"/>
    </row>
    <row r="4" spans="1:39">
      <c r="A4" s="78"/>
      <c r="B4" s="78" t="s">
        <v>13</v>
      </c>
      <c r="C4" s="78" t="s">
        <v>37</v>
      </c>
      <c r="D4" s="78" t="s">
        <v>14</v>
      </c>
      <c r="E4" s="78" t="s">
        <v>13</v>
      </c>
      <c r="F4" s="79" t="s">
        <v>14</v>
      </c>
      <c r="G4" s="79" t="s">
        <v>13</v>
      </c>
      <c r="H4" s="78" t="s">
        <v>14</v>
      </c>
      <c r="I4" s="78" t="s">
        <v>38</v>
      </c>
      <c r="K4" t="s">
        <v>46</v>
      </c>
      <c r="L4" s="6" t="s">
        <v>6</v>
      </c>
    </row>
    <row r="5" spans="1:39">
      <c r="A5" s="81">
        <v>-20</v>
      </c>
      <c r="B5" s="64">
        <f>Mode3!B5</f>
        <v>291.36992403709252</v>
      </c>
      <c r="C5" s="64">
        <f>D5-B5</f>
        <v>85.62202132357038</v>
      </c>
      <c r="D5" s="64">
        <f>H5+F5</f>
        <v>376.9919453606629</v>
      </c>
      <c r="E5" s="65">
        <f>Mode3!$E$5</f>
        <v>11.5</v>
      </c>
      <c r="F5" s="66">
        <v>12</v>
      </c>
      <c r="G5" s="67">
        <f>B5-E5</f>
        <v>279.86992403709252</v>
      </c>
      <c r="H5" s="68">
        <f>Mode5!AP5-Mode5!$AU$8*I5*Mode5!AO5</f>
        <v>364.9919453606629</v>
      </c>
      <c r="I5" s="64">
        <f>(I6*L5)/L6</f>
        <v>241.84921082590222</v>
      </c>
      <c r="K5" s="34">
        <v>0.99787738254551228</v>
      </c>
      <c r="L5" s="7">
        <f>Mode3!H5</f>
        <v>433.50460894324601</v>
      </c>
      <c r="M5" s="4"/>
    </row>
    <row r="6" spans="1:39">
      <c r="A6" s="81">
        <v>-19</v>
      </c>
      <c r="B6" s="64">
        <f>Mode3!B6</f>
        <v>292.06244158231618</v>
      </c>
      <c r="C6" s="64">
        <f t="shared" ref="C6:C65" si="0">D6-B6</f>
        <v>85.743945713505354</v>
      </c>
      <c r="D6" s="64">
        <f t="shared" ref="D6:D65" si="1">H6+F6</f>
        <v>377.80638729582154</v>
      </c>
      <c r="E6" s="65">
        <f t="shared" ref="E6:E65" si="2">$E$5</f>
        <v>11.5</v>
      </c>
      <c r="F6" s="66">
        <v>12</v>
      </c>
      <c r="G6" s="67">
        <f t="shared" ref="G6:G64" si="3">B6-E6</f>
        <v>280.56244158231618</v>
      </c>
      <c r="H6" s="96">
        <f>Mode5!AP6-Mode5!$AU$8*I6*Mode5!AO6</f>
        <v>365.80638729582154</v>
      </c>
      <c r="I6" s="64">
        <f t="shared" ref="I6:I39" si="4">(I7*L6)/L7</f>
        <v>242.43728912414838</v>
      </c>
      <c r="K6" s="34">
        <v>0.99893904218541607</v>
      </c>
      <c r="L6" s="7">
        <f>Mode3!H6</f>
        <v>434.55871473023052</v>
      </c>
      <c r="M6" s="4"/>
    </row>
    <row r="7" spans="1:39">
      <c r="A7" s="81">
        <v>-18</v>
      </c>
      <c r="B7" s="64">
        <f>Mode3!B7</f>
        <v>292.72581494626007</v>
      </c>
      <c r="C7" s="64">
        <f t="shared" si="0"/>
        <v>85.85732435284433</v>
      </c>
      <c r="D7" s="64">
        <f t="shared" si="1"/>
        <v>378.5831392991044</v>
      </c>
      <c r="E7" s="65">
        <f t="shared" si="2"/>
        <v>11.5</v>
      </c>
      <c r="F7" s="66">
        <v>12</v>
      </c>
      <c r="G7" s="67">
        <f t="shared" si="3"/>
        <v>281.22581494626007</v>
      </c>
      <c r="H7" s="96">
        <f>Mode5!AP7-Mode5!$AU$8*I7*Mode5!AO7</f>
        <v>366.5831392991044</v>
      </c>
      <c r="I7" s="64">
        <f t="shared" si="4"/>
        <v>243.00061850354197</v>
      </c>
      <c r="K7" s="34">
        <v>1.0000007018253199</v>
      </c>
      <c r="L7" s="7">
        <f>Mode3!H7</f>
        <v>435.56845911387484</v>
      </c>
      <c r="M7" s="4"/>
    </row>
    <row r="8" spans="1:39">
      <c r="A8" s="81">
        <v>-17</v>
      </c>
      <c r="B8" s="64">
        <f>Mode3!B8</f>
        <v>293.3727998244043</v>
      </c>
      <c r="C8" s="64">
        <f t="shared" si="0"/>
        <v>85.965761470483017</v>
      </c>
      <c r="D8" s="64">
        <f t="shared" si="1"/>
        <v>379.33856129488731</v>
      </c>
      <c r="E8" s="65">
        <f t="shared" si="2"/>
        <v>11.5</v>
      </c>
      <c r="F8" s="66">
        <v>12</v>
      </c>
      <c r="G8" s="67">
        <f t="shared" si="3"/>
        <v>281.8727998244043</v>
      </c>
      <c r="H8" s="96">
        <f>Mode5!AP8-Mode5!$AU$8*I8*Mode5!AO8</f>
        <v>367.33856129488731</v>
      </c>
      <c r="I8" s="64">
        <f t="shared" si="4"/>
        <v>243.55003096067645</v>
      </c>
      <c r="K8" s="34">
        <v>1.0010623614652236</v>
      </c>
      <c r="L8" s="7">
        <f>Mode3!H8</f>
        <v>436.55325799564616</v>
      </c>
    </row>
    <row r="9" spans="1:39">
      <c r="A9" s="81">
        <v>-16</v>
      </c>
      <c r="B9" s="64">
        <f>Mode3!B9</f>
        <v>293.96220439095146</v>
      </c>
      <c r="C9" s="64">
        <f t="shared" si="0"/>
        <v>86.057713359583033</v>
      </c>
      <c r="D9" s="64">
        <f t="shared" si="1"/>
        <v>380.01991775053449</v>
      </c>
      <c r="E9" s="65">
        <f t="shared" si="2"/>
        <v>11.5</v>
      </c>
      <c r="F9" s="66">
        <v>12</v>
      </c>
      <c r="G9" s="67">
        <f t="shared" si="3"/>
        <v>282.46220439095146</v>
      </c>
      <c r="H9" s="96">
        <f>Mode5!AP9-Mode5!$AU$8*I9*Mode5!AO9</f>
        <v>368.01991775053449</v>
      </c>
      <c r="I9" s="64">
        <f t="shared" si="4"/>
        <v>244.05054684921134</v>
      </c>
      <c r="K9" s="34">
        <v>1.0021240211051274</v>
      </c>
      <c r="L9" s="7">
        <f>Mode3!H9</f>
        <v>437.45041182049528</v>
      </c>
      <c r="M9" s="4"/>
    </row>
    <row r="10" spans="1:39">
      <c r="A10" s="81">
        <v>-15</v>
      </c>
      <c r="B10" s="64">
        <f>Mode3!B10</f>
        <v>294.50768393946197</v>
      </c>
      <c r="C10" s="64">
        <f t="shared" si="0"/>
        <v>86.137051703830423</v>
      </c>
      <c r="D10" s="64">
        <f t="shared" si="1"/>
        <v>380.64473564329239</v>
      </c>
      <c r="E10" s="65">
        <f t="shared" si="2"/>
        <v>11.5</v>
      </c>
      <c r="F10" s="66">
        <v>12</v>
      </c>
      <c r="G10" s="67">
        <f t="shared" si="3"/>
        <v>283.00768393946197</v>
      </c>
      <c r="H10" s="96">
        <f>Mode5!AP10-Mode5!$AU$8*I10*Mode5!AO10</f>
        <v>368.64473564329239</v>
      </c>
      <c r="I10" s="64">
        <f t="shared" si="4"/>
        <v>244.51376209455583</v>
      </c>
      <c r="K10" s="34">
        <v>1.0031856807450312</v>
      </c>
      <c r="L10" s="7">
        <f>Mode3!H10</f>
        <v>438.28070580038411</v>
      </c>
    </row>
    <row r="11" spans="1:39">
      <c r="A11" s="81">
        <v>-14</v>
      </c>
      <c r="B11" s="64">
        <f>Mode3!B11</f>
        <v>295.07676206989032</v>
      </c>
      <c r="C11" s="64">
        <f t="shared" si="0"/>
        <v>86.222719286370591</v>
      </c>
      <c r="D11" s="64">
        <f t="shared" si="1"/>
        <v>381.29948135626091</v>
      </c>
      <c r="E11" s="65">
        <f t="shared" si="2"/>
        <v>11.5</v>
      </c>
      <c r="F11" s="66">
        <v>12</v>
      </c>
      <c r="G11" s="67">
        <f t="shared" si="3"/>
        <v>283.57676206989032</v>
      </c>
      <c r="H11" s="96">
        <f>Mode5!AP11-Mode5!$AU$8*I11*Mode5!AO11</f>
        <v>369.29948135626091</v>
      </c>
      <c r="I11" s="64">
        <f t="shared" si="4"/>
        <v>244.99701699664413</v>
      </c>
      <c r="K11" s="34">
        <v>1.004247340384935</v>
      </c>
      <c r="L11" s="7">
        <f>Mode3!H11</f>
        <v>439.14692002797779</v>
      </c>
    </row>
    <row r="12" spans="1:39">
      <c r="A12" s="81">
        <v>-13</v>
      </c>
      <c r="B12" s="64">
        <f>Mode3!B12</f>
        <v>295.57239094327417</v>
      </c>
      <c r="C12" s="64">
        <f t="shared" si="0"/>
        <v>86.287545912013229</v>
      </c>
      <c r="D12" s="64">
        <f t="shared" si="1"/>
        <v>381.8599368552874</v>
      </c>
      <c r="E12" s="65">
        <f t="shared" si="2"/>
        <v>11.5</v>
      </c>
      <c r="F12" s="66">
        <v>12</v>
      </c>
      <c r="G12" s="67">
        <f t="shared" si="3"/>
        <v>284.07239094327417</v>
      </c>
      <c r="H12" s="96">
        <f>Mode5!AP12-Mode5!$AU$8*I12*Mode5!AO12</f>
        <v>369.8599368552874</v>
      </c>
      <c r="I12" s="64">
        <f t="shared" si="4"/>
        <v>245.41789959583821</v>
      </c>
      <c r="K12" s="34">
        <v>1.0053090000248388</v>
      </c>
      <c r="L12" s="7">
        <f>Mode3!H12</f>
        <v>439.90133450777523</v>
      </c>
    </row>
    <row r="13" spans="1:39">
      <c r="A13" s="81">
        <v>-12</v>
      </c>
      <c r="B13" s="64">
        <f>Mode3!B13</f>
        <v>295.95408495361971</v>
      </c>
      <c r="C13" s="64">
        <f t="shared" si="0"/>
        <v>86.320271262620736</v>
      </c>
      <c r="D13" s="64">
        <f t="shared" si="1"/>
        <v>382.27435621624045</v>
      </c>
      <c r="E13" s="65">
        <f t="shared" si="2"/>
        <v>11.5</v>
      </c>
      <c r="F13" s="66">
        <v>12</v>
      </c>
      <c r="G13" s="67">
        <f t="shared" si="3"/>
        <v>284.45408495361971</v>
      </c>
      <c r="H13" s="96">
        <f>Mode5!AP13-Mode5!$AU$8*I13*Mode5!AO13</f>
        <v>370.27435621624045</v>
      </c>
      <c r="I13" s="64">
        <f t="shared" si="4"/>
        <v>245.74202995990325</v>
      </c>
      <c r="K13" s="34">
        <v>1.0063706596647426</v>
      </c>
      <c r="L13" s="7">
        <f>Mode3!H13</f>
        <v>440.48232464721298</v>
      </c>
    </row>
    <row r="14" spans="1:39">
      <c r="A14" s="81">
        <v>-11</v>
      </c>
      <c r="B14" s="64">
        <f>Mode3!B14</f>
        <v>296.45765080532902</v>
      </c>
      <c r="C14" s="64">
        <f t="shared" si="0"/>
        <v>86.386836190744987</v>
      </c>
      <c r="D14" s="64">
        <f t="shared" si="1"/>
        <v>382.84448699607401</v>
      </c>
      <c r="E14" s="65">
        <f t="shared" si="2"/>
        <v>11.5</v>
      </c>
      <c r="F14" s="66">
        <v>12</v>
      </c>
      <c r="G14" s="67">
        <f t="shared" si="3"/>
        <v>284.95765080532902</v>
      </c>
      <c r="H14" s="96">
        <f>Mode5!AP14-Mode5!$AU$8*I14*Mode5!AO14</f>
        <v>370.84448699607401</v>
      </c>
      <c r="I14" s="64">
        <f t="shared" si="4"/>
        <v>246.16965255397409</v>
      </c>
      <c r="K14" s="34">
        <v>1.0074323193046464</v>
      </c>
      <c r="L14" s="7">
        <f>Mode3!H14</f>
        <v>441.24882028631362</v>
      </c>
    </row>
    <row r="15" spans="1:39">
      <c r="A15" s="81">
        <v>-10</v>
      </c>
      <c r="B15" s="64">
        <f>Mode3!B15</f>
        <v>296.92085373000418</v>
      </c>
      <c r="C15" s="64">
        <f t="shared" si="0"/>
        <v>86.367569034139137</v>
      </c>
      <c r="D15" s="64">
        <f t="shared" si="1"/>
        <v>383.28842276414332</v>
      </c>
      <c r="E15" s="65">
        <f t="shared" si="2"/>
        <v>11.5</v>
      </c>
      <c r="F15" s="66">
        <v>12</v>
      </c>
      <c r="G15" s="67">
        <f t="shared" si="3"/>
        <v>285.42085373000418</v>
      </c>
      <c r="H15" s="68">
        <f>Mode5!AP15-Mode5!$AU$8*I15*Mode5!AO15</f>
        <v>371.28842276414332</v>
      </c>
      <c r="I15" s="64">
        <f t="shared" si="4"/>
        <v>246.56299939343597</v>
      </c>
      <c r="K15" s="34">
        <v>1.009555638584454</v>
      </c>
      <c r="L15" s="7">
        <f>Mode3!H15</f>
        <v>441.95387806689382</v>
      </c>
    </row>
    <row r="16" spans="1:39">
      <c r="A16" s="81">
        <v>-9</v>
      </c>
      <c r="B16" s="64">
        <f>Mode3!B16</f>
        <v>297.34306844606044</v>
      </c>
      <c r="C16" s="64">
        <f t="shared" si="0"/>
        <v>86.410843536966013</v>
      </c>
      <c r="D16" s="64">
        <f t="shared" si="1"/>
        <v>383.75391198302646</v>
      </c>
      <c r="E16" s="65">
        <f t="shared" si="2"/>
        <v>11.5</v>
      </c>
      <c r="F16" s="66">
        <v>12</v>
      </c>
      <c r="G16" s="67">
        <f t="shared" si="3"/>
        <v>285.84306844606044</v>
      </c>
      <c r="H16" s="96">
        <f>Mode5!AP16-Mode5!$AU$8*I16*Mode5!AO16</f>
        <v>371.75391198302646</v>
      </c>
      <c r="I16" s="64">
        <f t="shared" si="4"/>
        <v>246.92153949603033</v>
      </c>
      <c r="K16" s="34">
        <v>1.0106172982243578</v>
      </c>
      <c r="L16" s="7">
        <f>Mode3!H16</f>
        <v>442.59654622543303</v>
      </c>
    </row>
    <row r="17" spans="1:12">
      <c r="A17" s="81">
        <v>-8</v>
      </c>
      <c r="B17" s="64">
        <f>Mode3!B17</f>
        <v>297.72367561812865</v>
      </c>
      <c r="C17" s="64">
        <f t="shared" si="0"/>
        <v>86.442324838468096</v>
      </c>
      <c r="D17" s="64">
        <f t="shared" si="1"/>
        <v>384.16600045659675</v>
      </c>
      <c r="E17" s="65">
        <f t="shared" si="2"/>
        <v>11.5</v>
      </c>
      <c r="F17" s="66">
        <v>12</v>
      </c>
      <c r="G17" s="67">
        <f t="shared" si="3"/>
        <v>286.22367561812865</v>
      </c>
      <c r="H17" s="96">
        <f>Mode5!AP17-Mode5!$AU$8*I17*Mode5!AO17</f>
        <v>372.16600045659675</v>
      </c>
      <c r="I17" s="64">
        <f t="shared" si="4"/>
        <v>247.24474692895953</v>
      </c>
      <c r="K17" s="34">
        <v>1.0116789578642615</v>
      </c>
      <c r="L17" s="7">
        <f>Mode3!H17</f>
        <v>443.17588204935839</v>
      </c>
    </row>
    <row r="18" spans="1:12">
      <c r="A18" s="81">
        <v>-7</v>
      </c>
      <c r="B18" s="64">
        <f>Mode3!B18</f>
        <v>298.06206149837618</v>
      </c>
      <c r="C18" s="64">
        <f t="shared" si="0"/>
        <v>86.461874270800593</v>
      </c>
      <c r="D18" s="64">
        <f t="shared" si="1"/>
        <v>384.52393576917677</v>
      </c>
      <c r="E18" s="65">
        <f t="shared" si="2"/>
        <v>11.5</v>
      </c>
      <c r="F18" s="66">
        <v>12</v>
      </c>
      <c r="G18" s="67">
        <f t="shared" si="3"/>
        <v>286.56206149837618</v>
      </c>
      <c r="H18" s="96">
        <f>Mode5!AP18-Mode5!$AU$8*I18*Mode5!AO18</f>
        <v>372.52393576917677</v>
      </c>
      <c r="I18" s="64">
        <f t="shared" si="4"/>
        <v>247.5321005043007</v>
      </c>
      <c r="K18" s="34">
        <v>1.0127406175041653</v>
      </c>
      <c r="L18" s="7">
        <f>Mode3!H18</f>
        <v>443.69095133108692</v>
      </c>
    </row>
    <row r="19" spans="1:12">
      <c r="A19" s="81">
        <v>-6</v>
      </c>
      <c r="B19" s="64">
        <f>Mode3!B19</f>
        <v>298.35761754106824</v>
      </c>
      <c r="C19" s="64">
        <f t="shared" si="0"/>
        <v>86.544035522891363</v>
      </c>
      <c r="D19" s="64">
        <f t="shared" si="1"/>
        <v>384.9016530639596</v>
      </c>
      <c r="E19" s="65">
        <f t="shared" si="2"/>
        <v>11.5</v>
      </c>
      <c r="F19" s="66">
        <v>12</v>
      </c>
      <c r="G19" s="67">
        <f t="shared" si="3"/>
        <v>286.85761754106824</v>
      </c>
      <c r="H19" s="96">
        <f>Mode5!AP19-Mode5!$AU$8*I19*Mode5!AO19</f>
        <v>372.9016530639596</v>
      </c>
      <c r="I19" s="64">
        <f t="shared" si="4"/>
        <v>247.78308345169538</v>
      </c>
      <c r="K19" s="34">
        <v>1.0127406175041653</v>
      </c>
      <c r="L19" s="7">
        <f>Mode3!H19</f>
        <v>444.14082778133536</v>
      </c>
    </row>
    <row r="20" spans="1:12">
      <c r="A20" s="81">
        <v>-5</v>
      </c>
      <c r="B20" s="64">
        <f>Mode3!B20</f>
        <v>298.60973999394469</v>
      </c>
      <c r="C20" s="64">
        <f t="shared" si="0"/>
        <v>86.539377914103511</v>
      </c>
      <c r="D20" s="64">
        <f t="shared" si="1"/>
        <v>385.1491179080482</v>
      </c>
      <c r="E20" s="65">
        <f t="shared" si="2"/>
        <v>11.5</v>
      </c>
      <c r="F20" s="66">
        <v>12</v>
      </c>
      <c r="G20" s="67">
        <f t="shared" si="3"/>
        <v>287.10973999394469</v>
      </c>
      <c r="H20" s="96">
        <f>Mode5!AP20-Mode5!$AU$8*I20*Mode5!AO20</f>
        <v>373.1491179080482</v>
      </c>
      <c r="I20" s="64">
        <f t="shared" si="4"/>
        <v>247.997183071351</v>
      </c>
      <c r="K20" s="34">
        <v>1.0138022771440691</v>
      </c>
      <c r="L20" s="7">
        <f>Mode3!H20</f>
        <v>444.52459240713983</v>
      </c>
    </row>
    <row r="21" spans="1:12">
      <c r="A21" s="81">
        <v>-4</v>
      </c>
      <c r="B21" s="64">
        <f>Mode3!B21</f>
        <v>298.79073226038815</v>
      </c>
      <c r="C21" s="64">
        <f t="shared" si="0"/>
        <v>86.588013474352636</v>
      </c>
      <c r="D21" s="64">
        <f t="shared" si="1"/>
        <v>385.37874573474079</v>
      </c>
      <c r="E21" s="65">
        <f t="shared" si="2"/>
        <v>11.5</v>
      </c>
      <c r="F21" s="66">
        <v>12</v>
      </c>
      <c r="G21" s="67">
        <f t="shared" si="3"/>
        <v>287.29073226038815</v>
      </c>
      <c r="H21" s="96">
        <f>Mode5!AP21-Mode5!$AU$8*I21*Mode5!AO21</f>
        <v>373.37874573474079</v>
      </c>
      <c r="I21" s="64">
        <f t="shared" si="4"/>
        <v>248.15087971742145</v>
      </c>
      <c r="K21" s="34">
        <v>1.0138254423611959</v>
      </c>
      <c r="L21" s="7">
        <f>Mode3!H21</f>
        <v>444.80008722568039</v>
      </c>
    </row>
    <row r="22" spans="1:12">
      <c r="A22" s="81">
        <v>-3</v>
      </c>
      <c r="B22" s="64">
        <f>Mode3!B22</f>
        <v>298.93376199134173</v>
      </c>
      <c r="C22" s="64">
        <f t="shared" si="0"/>
        <v>86.626103995793756</v>
      </c>
      <c r="D22" s="64">
        <f t="shared" si="1"/>
        <v>385.55986598713548</v>
      </c>
      <c r="E22" s="65">
        <f t="shared" si="2"/>
        <v>11.5</v>
      </c>
      <c r="F22" s="66">
        <v>12</v>
      </c>
      <c r="G22" s="67">
        <f t="shared" si="3"/>
        <v>287.43376199134173</v>
      </c>
      <c r="H22" s="96">
        <f>Mode5!AP22-Mode5!$AU$8*I22*Mode5!AO22</f>
        <v>373.55986598713548</v>
      </c>
      <c r="I22" s="64">
        <f t="shared" si="4"/>
        <v>248.27233899503531</v>
      </c>
      <c r="K22" s="34">
        <v>1.0138486075783226</v>
      </c>
      <c r="L22" s="7">
        <f>Mode3!H22</f>
        <v>445.01779790774015</v>
      </c>
    </row>
    <row r="23" spans="1:12">
      <c r="A23" s="81">
        <v>-2</v>
      </c>
      <c r="B23" s="64">
        <f>Mode3!B23</f>
        <v>300.10694899037912</v>
      </c>
      <c r="C23" s="64">
        <f t="shared" si="0"/>
        <v>86.950284123593065</v>
      </c>
      <c r="D23" s="64">
        <f t="shared" si="1"/>
        <v>387.05723311397219</v>
      </c>
      <c r="E23" s="65">
        <f t="shared" si="2"/>
        <v>11.5</v>
      </c>
      <c r="F23" s="66">
        <v>12</v>
      </c>
      <c r="G23" s="67">
        <f t="shared" si="3"/>
        <v>288.60694899037912</v>
      </c>
      <c r="H23" s="96">
        <f>Mode5!AP23-Mode5!$AU$8*I23*Mode5!AO23</f>
        <v>375.05723311397219</v>
      </c>
      <c r="I23" s="64">
        <f t="shared" si="4"/>
        <v>249.26859651757314</v>
      </c>
      <c r="K23" s="34">
        <v>1.0138717727954494</v>
      </c>
      <c r="L23" s="7">
        <f>Mode3!H23</f>
        <v>446.80354790559903</v>
      </c>
    </row>
    <row r="24" spans="1:12">
      <c r="A24" s="81">
        <v>-1</v>
      </c>
      <c r="B24" s="64">
        <f>Mode3!B24</f>
        <v>300.916660884225</v>
      </c>
      <c r="C24" s="64">
        <f t="shared" si="0"/>
        <v>87.17351030850017</v>
      </c>
      <c r="D24" s="64">
        <f t="shared" si="1"/>
        <v>388.09017119272517</v>
      </c>
      <c r="E24" s="65">
        <f t="shared" si="2"/>
        <v>11.5</v>
      </c>
      <c r="F24" s="66">
        <v>12</v>
      </c>
      <c r="G24" s="67">
        <f t="shared" si="3"/>
        <v>289.416660884225</v>
      </c>
      <c r="H24" s="96">
        <f>Mode5!AP24-Mode5!$AU$8*I24*Mode5!AO24</f>
        <v>376.09017119272517</v>
      </c>
      <c r="I24" s="64">
        <f t="shared" si="4"/>
        <v>249.95619497032979</v>
      </c>
      <c r="K24" s="34">
        <v>1.0138949380125761</v>
      </c>
      <c r="L24" s="7">
        <f>Mode3!H24</f>
        <v>448.03603941282506</v>
      </c>
    </row>
    <row r="25" spans="1:12">
      <c r="A25" s="81">
        <v>0</v>
      </c>
      <c r="B25" s="64">
        <f>Mode3!B25</f>
        <v>301.71083839594246</v>
      </c>
      <c r="C25" s="64">
        <f t="shared" si="0"/>
        <v>87.392413475936053</v>
      </c>
      <c r="D25" s="64">
        <f t="shared" si="1"/>
        <v>389.10325187187851</v>
      </c>
      <c r="E25" s="65">
        <f t="shared" si="2"/>
        <v>11.5</v>
      </c>
      <c r="F25" s="66">
        <v>12</v>
      </c>
      <c r="G25" s="67">
        <f t="shared" si="3"/>
        <v>290.21083839594246</v>
      </c>
      <c r="H25" s="68">
        <f>Mode5!AP25-Mode5!$AU$8*I25*Mode5!AO25</f>
        <v>377.10325187187851</v>
      </c>
      <c r="I25" s="64">
        <f t="shared" si="4"/>
        <v>250.63060179629022</v>
      </c>
      <c r="K25" s="34">
        <v>1.0139181032297029</v>
      </c>
      <c r="L25" s="7">
        <f>Mode3!H25</f>
        <v>449.24488548000159</v>
      </c>
    </row>
    <row r="26" spans="1:12">
      <c r="A26" s="81">
        <v>1</v>
      </c>
      <c r="B26" s="64">
        <f>Mode3!B26</f>
        <v>301.17291764177224</v>
      </c>
      <c r="C26" s="64">
        <f t="shared" si="0"/>
        <v>87.241385026584055</v>
      </c>
      <c r="D26" s="64">
        <f t="shared" si="1"/>
        <v>388.4143026683563</v>
      </c>
      <c r="E26" s="65">
        <f t="shared" si="2"/>
        <v>11.5</v>
      </c>
      <c r="F26" s="66">
        <v>12</v>
      </c>
      <c r="G26" s="67">
        <f t="shared" si="3"/>
        <v>289.67291764177224</v>
      </c>
      <c r="H26" s="96">
        <f>Mode5!AP26-Mode5!$AU$8*I26*Mode5!AO26</f>
        <v>376.4143026683563</v>
      </c>
      <c r="I26" s="64">
        <f t="shared" si="4"/>
        <v>250.17380539613322</v>
      </c>
      <c r="K26" s="34">
        <v>1.0139412684468294</v>
      </c>
      <c r="L26" s="7">
        <f>Mode3!H26</f>
        <v>448.42609701201155</v>
      </c>
    </row>
    <row r="27" spans="1:12">
      <c r="A27" s="81">
        <v>2</v>
      </c>
      <c r="B27" s="64">
        <f>Mode3!B27</f>
        <v>300.61418022983611</v>
      </c>
      <c r="C27" s="64">
        <f t="shared" si="0"/>
        <v>87.084581930454362</v>
      </c>
      <c r="D27" s="64">
        <f t="shared" si="1"/>
        <v>387.69876216029047</v>
      </c>
      <c r="E27" s="65">
        <f t="shared" si="2"/>
        <v>11.5</v>
      </c>
      <c r="F27" s="66">
        <v>12</v>
      </c>
      <c r="G27" s="67">
        <f t="shared" si="3"/>
        <v>289.11418022983611</v>
      </c>
      <c r="H27" s="96">
        <f>Mode5!AP27-Mode5!$AU$8*I27*Mode5!AO27</f>
        <v>375.69876216029047</v>
      </c>
      <c r="I27" s="64">
        <f t="shared" si="4"/>
        <v>249.6993317186876</v>
      </c>
      <c r="K27" s="34">
        <v>1.0139644336639562</v>
      </c>
      <c r="L27" s="7">
        <f>Mode3!H27</f>
        <v>447.57562276281919</v>
      </c>
    </row>
    <row r="28" spans="1:12">
      <c r="A28" s="81">
        <v>3</v>
      </c>
      <c r="B28" s="64">
        <f>Mode3!B28</f>
        <v>300.03195934090326</v>
      </c>
      <c r="C28" s="64">
        <f t="shared" si="0"/>
        <v>86.921263992274532</v>
      </c>
      <c r="D28" s="64">
        <f t="shared" si="1"/>
        <v>386.95322333317779</v>
      </c>
      <c r="E28" s="65">
        <f t="shared" si="2"/>
        <v>11.5</v>
      </c>
      <c r="F28" s="66">
        <v>12</v>
      </c>
      <c r="G28" s="67">
        <f t="shared" si="3"/>
        <v>288.53195934090326</v>
      </c>
      <c r="H28" s="96">
        <f>Mode5!AP28-Mode5!$AU$8*I28*Mode5!AO28</f>
        <v>374.95322333317779</v>
      </c>
      <c r="I28" s="64">
        <f t="shared" si="4"/>
        <v>249.20491613033383</v>
      </c>
      <c r="K28" s="34">
        <v>1.0139875988810829</v>
      </c>
      <c r="L28" s="7">
        <f>Mode3!H28</f>
        <v>446.68940347124982</v>
      </c>
    </row>
    <row r="29" spans="1:12">
      <c r="A29" s="81">
        <v>4</v>
      </c>
      <c r="B29" s="64">
        <f>Mode3!B29</f>
        <v>299.42361329333698</v>
      </c>
      <c r="C29" s="64">
        <f t="shared" si="0"/>
        <v>86.750698056615363</v>
      </c>
      <c r="D29" s="64">
        <f t="shared" si="1"/>
        <v>386.17431134995235</v>
      </c>
      <c r="E29" s="65">
        <f t="shared" si="2"/>
        <v>11.5</v>
      </c>
      <c r="F29" s="66">
        <v>12</v>
      </c>
      <c r="G29" s="67">
        <f t="shared" si="3"/>
        <v>287.92361329333698</v>
      </c>
      <c r="H29" s="96">
        <f>Mode5!AP29-Mode5!$AU$8*I29*Mode5!AO29</f>
        <v>374.17431134995235</v>
      </c>
      <c r="I29" s="64">
        <f t="shared" si="4"/>
        <v>248.68831534402156</v>
      </c>
      <c r="K29" s="34">
        <v>1.0140107640982097</v>
      </c>
      <c r="L29" s="7">
        <f>Mode3!H29</f>
        <v>445.76341813896238</v>
      </c>
    </row>
    <row r="30" spans="1:12">
      <c r="A30" s="81">
        <v>5</v>
      </c>
      <c r="B30" s="64">
        <f>Mode3!B30</f>
        <v>298.7865508391854</v>
      </c>
      <c r="C30" s="64">
        <f t="shared" si="0"/>
        <v>86.572165031330371</v>
      </c>
      <c r="D30" s="64">
        <f t="shared" si="1"/>
        <v>385.35871587051577</v>
      </c>
      <c r="E30" s="65">
        <f t="shared" si="2"/>
        <v>11.5</v>
      </c>
      <c r="F30" s="66">
        <v>12</v>
      </c>
      <c r="G30" s="67">
        <f t="shared" si="3"/>
        <v>287.2865508391854</v>
      </c>
      <c r="H30" s="96">
        <f>Mode5!AP30-Mode5!$AU$8*I30*Mode5!AO30</f>
        <v>373.35871587051577</v>
      </c>
      <c r="I30" s="64">
        <f t="shared" si="4"/>
        <v>248.14732890043183</v>
      </c>
      <c r="K30" s="34">
        <v>1.0140339293153364</v>
      </c>
      <c r="L30" s="7">
        <f>Mode3!H30</f>
        <v>444.79372253453562</v>
      </c>
    </row>
    <row r="31" spans="1:12">
      <c r="A31" s="81">
        <v>6</v>
      </c>
      <c r="B31" s="64">
        <f>Mode3!B31</f>
        <v>298.08256628591647</v>
      </c>
      <c r="C31" s="64">
        <f t="shared" si="0"/>
        <v>86.375056770536901</v>
      </c>
      <c r="D31" s="64">
        <f t="shared" si="1"/>
        <v>384.45762305645337</v>
      </c>
      <c r="E31" s="65">
        <f t="shared" si="2"/>
        <v>11.5</v>
      </c>
      <c r="F31" s="66">
        <v>12</v>
      </c>
      <c r="G31" s="67">
        <f t="shared" si="3"/>
        <v>286.58256628591647</v>
      </c>
      <c r="H31" s="96">
        <f>Mode5!AP31-Mode5!$AU$8*I31*Mode5!AO31</f>
        <v>372.45762305645337</v>
      </c>
      <c r="I31" s="64">
        <f t="shared" si="4"/>
        <v>247.54951294481691</v>
      </c>
      <c r="K31" s="34">
        <v>1.0140570945324632</v>
      </c>
      <c r="L31" s="7">
        <f>Mode3!H31</f>
        <v>443.7221624034363</v>
      </c>
    </row>
    <row r="32" spans="1:12">
      <c r="A32" s="81">
        <v>7</v>
      </c>
      <c r="B32" s="64">
        <f>Mode3!B32</f>
        <v>297.33524531806978</v>
      </c>
      <c r="C32" s="64">
        <f t="shared" si="0"/>
        <v>86.165923333051865</v>
      </c>
      <c r="D32" s="64">
        <f t="shared" si="1"/>
        <v>383.50116865112165</v>
      </c>
      <c r="E32" s="65">
        <f t="shared" si="2"/>
        <v>11.5</v>
      </c>
      <c r="F32" s="66">
        <v>12</v>
      </c>
      <c r="G32" s="67">
        <f t="shared" si="3"/>
        <v>285.83524531806978</v>
      </c>
      <c r="H32" s="96">
        <f>Mode5!AP32-Mode5!$AU$8*I32*Mode5!AO32</f>
        <v>371.50116865112165</v>
      </c>
      <c r="I32" s="64">
        <f t="shared" si="4"/>
        <v>246.91489618160824</v>
      </c>
      <c r="K32" s="34">
        <v>1.0140802597495899</v>
      </c>
      <c r="L32" s="7">
        <f>Mode3!H32</f>
        <v>442.58463836180675</v>
      </c>
    </row>
    <row r="33" spans="1:16">
      <c r="A33" s="81">
        <v>8</v>
      </c>
      <c r="B33" s="64">
        <f>Mode3!B33</f>
        <v>296.56300815682295</v>
      </c>
      <c r="C33" s="64">
        <f t="shared" si="0"/>
        <v>85.949880007234299</v>
      </c>
      <c r="D33" s="64">
        <f t="shared" si="1"/>
        <v>382.51288816405724</v>
      </c>
      <c r="E33" s="65">
        <f t="shared" si="2"/>
        <v>11.5</v>
      </c>
      <c r="F33" s="66">
        <v>12</v>
      </c>
      <c r="G33" s="67">
        <f t="shared" si="3"/>
        <v>285.06300815682295</v>
      </c>
      <c r="H33" s="96">
        <f>Mode5!AP33-Mode5!$AU$8*I33*Mode5!AO33</f>
        <v>370.51288816405724</v>
      </c>
      <c r="I33" s="64">
        <f t="shared" si="4"/>
        <v>246.2591208604475</v>
      </c>
      <c r="K33" s="34">
        <v>1.0141034249667167</v>
      </c>
      <c r="L33" s="7">
        <f>Mode3!H33</f>
        <v>441.40918848879033</v>
      </c>
    </row>
    <row r="34" spans="1:16">
      <c r="A34" s="81">
        <v>9</v>
      </c>
      <c r="B34" s="64">
        <f>Mode3!B34</f>
        <v>295.7498144033587</v>
      </c>
      <c r="C34" s="64">
        <f t="shared" si="0"/>
        <v>85.722473519743119</v>
      </c>
      <c r="D34" s="64">
        <f t="shared" si="1"/>
        <v>381.47228792310182</v>
      </c>
      <c r="E34" s="65">
        <f t="shared" si="2"/>
        <v>11.5</v>
      </c>
      <c r="F34" s="66">
        <v>12</v>
      </c>
      <c r="G34" s="67">
        <f t="shared" si="3"/>
        <v>284.2498144033587</v>
      </c>
      <c r="H34" s="96">
        <f>Mode5!AP34-Mode5!$AU$8*I34*Mode5!AO34</f>
        <v>369.47228792310182</v>
      </c>
      <c r="I34" s="64">
        <f t="shared" si="4"/>
        <v>245.56856565072027</v>
      </c>
      <c r="K34" s="34">
        <v>1.0141265901838434</v>
      </c>
      <c r="L34" s="7">
        <f>Mode3!H34</f>
        <v>440.17139711819118</v>
      </c>
    </row>
    <row r="35" spans="1:16">
      <c r="A35" s="95">
        <v>10</v>
      </c>
      <c r="B35" s="64">
        <f>Mode3!B35</f>
        <v>294.893744977555</v>
      </c>
      <c r="C35" s="64">
        <f t="shared" si="0"/>
        <v>85.483171726015541</v>
      </c>
      <c r="D35" s="64">
        <f t="shared" si="1"/>
        <v>380.37691670357054</v>
      </c>
      <c r="E35" s="65">
        <f t="shared" si="2"/>
        <v>11.5</v>
      </c>
      <c r="F35" s="66">
        <v>12</v>
      </c>
      <c r="G35" s="67">
        <f t="shared" si="3"/>
        <v>283.393744977555</v>
      </c>
      <c r="H35" s="68">
        <f>Mode5!AP35-Mode5!$AU$8*I35*Mode5!AO35</f>
        <v>368.37691670357054</v>
      </c>
      <c r="I35" s="64">
        <f t="shared" si="4"/>
        <v>244.84160089065102</v>
      </c>
      <c r="K35" s="34">
        <v>1.01414975540097</v>
      </c>
      <c r="L35" s="7">
        <f>Mode3!H35</f>
        <v>438.86834314934362</v>
      </c>
    </row>
    <row r="36" spans="1:16">
      <c r="A36" s="81">
        <v>11</v>
      </c>
      <c r="B36" s="64">
        <f>Mode3!B36</f>
        <v>293.99297297571434</v>
      </c>
      <c r="C36" s="64">
        <f t="shared" si="0"/>
        <v>85.42916269135435</v>
      </c>
      <c r="D36" s="64">
        <f t="shared" si="1"/>
        <v>379.42213566706869</v>
      </c>
      <c r="E36" s="65">
        <f t="shared" si="2"/>
        <v>11.5</v>
      </c>
      <c r="F36" s="66">
        <v>12</v>
      </c>
      <c r="G36" s="67">
        <f t="shared" si="3"/>
        <v>282.49297297571434</v>
      </c>
      <c r="H36" s="96">
        <f>Mode5!AP36-Mode5!$AU$8*I36*Mode5!AO36</f>
        <v>367.42213566706869</v>
      </c>
      <c r="I36" s="64">
        <f t="shared" si="4"/>
        <v>244.07667519367217</v>
      </c>
      <c r="K36" s="34">
        <v>1.0113198043207761</v>
      </c>
      <c r="L36" s="7">
        <f>Mode3!H36</f>
        <v>437.49724578662301</v>
      </c>
    </row>
    <row r="37" spans="1:16">
      <c r="A37" s="81">
        <v>12</v>
      </c>
      <c r="B37" s="64">
        <f>Mode3!B37</f>
        <v>293.0457555929865</v>
      </c>
      <c r="C37" s="64">
        <f t="shared" si="0"/>
        <v>85.360965697008567</v>
      </c>
      <c r="D37" s="64">
        <f t="shared" si="1"/>
        <v>378.40672128999506</v>
      </c>
      <c r="E37" s="65">
        <f t="shared" si="2"/>
        <v>11.5</v>
      </c>
      <c r="F37" s="66">
        <v>12</v>
      </c>
      <c r="G37" s="67">
        <f t="shared" si="3"/>
        <v>281.5457555929865</v>
      </c>
      <c r="H37" s="96">
        <f>Mode5!AP37-Mode5!$AU$8*I37*Mode5!AO37</f>
        <v>366.40672128999506</v>
      </c>
      <c r="I37" s="64">
        <f t="shared" si="4"/>
        <v>243.27230858903408</v>
      </c>
      <c r="K37" s="34">
        <v>1.0084898532405819</v>
      </c>
      <c r="L37" s="7">
        <f>Mode3!H37</f>
        <v>436.05545224427544</v>
      </c>
    </row>
    <row r="38" spans="1:16">
      <c r="A38" s="81">
        <v>13</v>
      </c>
      <c r="B38" s="64">
        <f>Mode3!B38</f>
        <v>291.85704700630055</v>
      </c>
      <c r="C38" s="64">
        <f t="shared" si="0"/>
        <v>85.223932199729688</v>
      </c>
      <c r="D38" s="64">
        <f t="shared" si="1"/>
        <v>377.08097920603024</v>
      </c>
      <c r="E38" s="65">
        <f t="shared" si="2"/>
        <v>11.5</v>
      </c>
      <c r="F38" s="66">
        <v>12</v>
      </c>
      <c r="G38" s="67">
        <f t="shared" si="3"/>
        <v>280.35704700630055</v>
      </c>
      <c r="H38" s="96">
        <f>Mode5!AP38-Mode5!$AU$8*I38*Mode5!AO38</f>
        <v>365.08097920603024</v>
      </c>
      <c r="I38" s="64">
        <f t="shared" si="4"/>
        <v>242.26287030463203</v>
      </c>
      <c r="K38" s="34">
        <v>1.005659902160388</v>
      </c>
      <c r="L38" s="7">
        <f>Mode3!H38</f>
        <v>434.24607628130377</v>
      </c>
    </row>
    <row r="39" spans="1:16">
      <c r="A39" s="81">
        <v>14</v>
      </c>
      <c r="B39" s="64">
        <f>Mode3!B39</f>
        <v>290.56975567596032</v>
      </c>
      <c r="C39" s="64">
        <f t="shared" si="0"/>
        <v>85.057636322918654</v>
      </c>
      <c r="D39" s="64">
        <f t="shared" si="1"/>
        <v>375.62739199887898</v>
      </c>
      <c r="E39" s="65">
        <f t="shared" si="2"/>
        <v>11.5</v>
      </c>
      <c r="F39" s="66">
        <v>12</v>
      </c>
      <c r="G39" s="67">
        <f t="shared" si="3"/>
        <v>279.06975567596032</v>
      </c>
      <c r="H39" s="96">
        <f>Mode5!AP39-Mode5!$AU$8*I39*Mode5!AO39</f>
        <v>363.62739199887898</v>
      </c>
      <c r="I39" s="64">
        <f t="shared" si="4"/>
        <v>241.16971663637494</v>
      </c>
      <c r="K39" s="34">
        <v>1.0028299510801939</v>
      </c>
      <c r="L39" s="7">
        <f>Mode3!H39</f>
        <v>432.28664398936303</v>
      </c>
    </row>
    <row r="40" spans="1:16">
      <c r="A40" s="95">
        <v>15</v>
      </c>
      <c r="B40" s="64">
        <f>Mode3!B40</f>
        <v>289.19230424467059</v>
      </c>
      <c r="C40" s="64">
        <f t="shared" si="0"/>
        <v>84.864243567157757</v>
      </c>
      <c r="D40" s="64">
        <f t="shared" si="1"/>
        <v>374.05654781182835</v>
      </c>
      <c r="E40" s="65">
        <f t="shared" si="2"/>
        <v>11.5</v>
      </c>
      <c r="F40" s="66">
        <v>12</v>
      </c>
      <c r="G40" s="67">
        <f t="shared" si="3"/>
        <v>277.69230424467059</v>
      </c>
      <c r="H40" s="96">
        <f>Mode5!AP40-Mode5!$AU$8*I40*Mode5!AO40</f>
        <v>362.05654781182835</v>
      </c>
      <c r="I40" s="64">
        <f>Mode5!AT8</f>
        <v>240</v>
      </c>
      <c r="K40" s="34">
        <v>1</v>
      </c>
      <c r="L40" s="7">
        <f>Mode3!H40</f>
        <v>430.18997577492274</v>
      </c>
      <c r="P40" s="4"/>
    </row>
    <row r="41" spans="1:16">
      <c r="A41" s="81">
        <v>16</v>
      </c>
      <c r="B41" s="64">
        <f>Mode3!B41</f>
        <v>287.86295391236041</v>
      </c>
      <c r="C41" s="64">
        <f t="shared" si="0"/>
        <v>84.699495389869924</v>
      </c>
      <c r="D41" s="64">
        <f t="shared" si="1"/>
        <v>372.56244930223033</v>
      </c>
      <c r="E41" s="65">
        <f t="shared" si="2"/>
        <v>11.5</v>
      </c>
      <c r="F41" s="66">
        <v>12</v>
      </c>
      <c r="G41" s="67">
        <f t="shared" si="3"/>
        <v>276.36295391236041</v>
      </c>
      <c r="H41" s="96">
        <f>Mode5!AP41-Mode5!$AU$8*I41*Mode5!AO41</f>
        <v>360.56244930223033</v>
      </c>
      <c r="I41" s="64">
        <f>(I40*L42)/L41</f>
        <v>238.8111769583212</v>
      </c>
      <c r="K41" s="34">
        <v>0.99717004891980598</v>
      </c>
      <c r="L41" s="7">
        <f>Mode3!H41</f>
        <v>428.16652396798634</v>
      </c>
    </row>
    <row r="42" spans="1:16">
      <c r="A42" s="81">
        <v>17</v>
      </c>
      <c r="B42" s="64">
        <f>Mode3!B42</f>
        <v>286.46958773349917</v>
      </c>
      <c r="C42" s="64">
        <f t="shared" si="0"/>
        <v>84.96159504881922</v>
      </c>
      <c r="D42" s="64">
        <f t="shared" si="1"/>
        <v>371.43118278231839</v>
      </c>
      <c r="E42" s="65">
        <f t="shared" si="2"/>
        <v>11.5</v>
      </c>
      <c r="F42" s="66">
        <v>12</v>
      </c>
      <c r="G42" s="67">
        <f t="shared" si="3"/>
        <v>274.96958773349917</v>
      </c>
      <c r="H42" s="96">
        <f>Mode5!AP42-Mode5!$AU$8*I42*Mode5!AO42</f>
        <v>359.43118278231839</v>
      </c>
      <c r="I42" s="64">
        <f t="shared" ref="I42:I64" si="5">(I41*L43)/L42</f>
        <v>237.56758483447393</v>
      </c>
      <c r="K42" s="34">
        <v>0.98771638069946199</v>
      </c>
      <c r="L42" s="7">
        <f>Mode3!H42</f>
        <v>426.04563134561693</v>
      </c>
    </row>
    <row r="43" spans="1:16">
      <c r="A43" s="81">
        <v>18</v>
      </c>
      <c r="B43" s="64">
        <f>Mode3!B43</f>
        <v>285.01202916934147</v>
      </c>
      <c r="C43" s="64">
        <f t="shared" si="0"/>
        <v>84.97668123631496</v>
      </c>
      <c r="D43" s="64">
        <f t="shared" si="1"/>
        <v>369.98871040565643</v>
      </c>
      <c r="E43" s="65">
        <f t="shared" si="2"/>
        <v>11.5</v>
      </c>
      <c r="F43" s="66">
        <v>12</v>
      </c>
      <c r="G43" s="67">
        <f t="shared" si="3"/>
        <v>273.51202916934147</v>
      </c>
      <c r="H43" s="96">
        <f>Mode5!AP43-Mode5!$AU$8*I43*Mode5!AO43</f>
        <v>357.98871040565643</v>
      </c>
      <c r="I43" s="64">
        <f t="shared" si="5"/>
        <v>236.26883251112619</v>
      </c>
      <c r="K43" s="34">
        <v>0.9815745710491931</v>
      </c>
      <c r="L43" s="7">
        <f>Mode3!H43</f>
        <v>423.82702919186005</v>
      </c>
    </row>
    <row r="44" spans="1:16">
      <c r="A44" s="81">
        <v>19</v>
      </c>
      <c r="B44" s="64">
        <f>Mode3!B44</f>
        <v>283.48981980880046</v>
      </c>
      <c r="C44" s="64">
        <f t="shared" si="0"/>
        <v>84.968927779963565</v>
      </c>
      <c r="D44" s="64">
        <f t="shared" si="1"/>
        <v>368.45874758876403</v>
      </c>
      <c r="E44" s="65">
        <f t="shared" si="2"/>
        <v>11.5</v>
      </c>
      <c r="F44" s="66">
        <v>12</v>
      </c>
      <c r="G44" s="67">
        <f t="shared" si="3"/>
        <v>271.98981980880046</v>
      </c>
      <c r="H44" s="96">
        <f>Mode5!AP44-Mode5!$AU$8*I44*Mode5!AO44</f>
        <v>356.45874758876403</v>
      </c>
      <c r="I44" s="64">
        <f t="shared" si="5"/>
        <v>234.91430186724102</v>
      </c>
      <c r="K44" s="34">
        <v>0.9754327613989241</v>
      </c>
      <c r="L44" s="7">
        <f>Mode3!H44</f>
        <v>421.51001974276357</v>
      </c>
    </row>
    <row r="45" spans="1:16">
      <c r="A45" s="95">
        <v>20</v>
      </c>
      <c r="B45" s="64">
        <f>Mode3!B45</f>
        <v>281.90223517992627</v>
      </c>
      <c r="C45" s="64">
        <f t="shared" si="0"/>
        <v>84.937894686180016</v>
      </c>
      <c r="D45" s="64">
        <f t="shared" si="1"/>
        <v>366.84012986610628</v>
      </c>
      <c r="E45" s="65">
        <f t="shared" si="2"/>
        <v>11.5</v>
      </c>
      <c r="F45" s="66">
        <v>12</v>
      </c>
      <c r="G45" s="67">
        <f t="shared" si="3"/>
        <v>270.40223517992627</v>
      </c>
      <c r="H45" s="68">
        <f>Mode5!AP45-Mode5!$AU$8*I45*Mode5!AO45</f>
        <v>354.84012986610628</v>
      </c>
      <c r="I45" s="64">
        <f t="shared" si="5"/>
        <v>233.50315690207657</v>
      </c>
      <c r="K45" s="34">
        <v>0.96929095174865509</v>
      </c>
      <c r="L45" s="7">
        <f>Mode3!H45</f>
        <v>419.0935002535951</v>
      </c>
    </row>
    <row r="46" spans="1:16">
      <c r="A46" s="81">
        <v>21</v>
      </c>
      <c r="B46" s="64">
        <f>Mode3!B46</f>
        <v>280.24829544373654</v>
      </c>
      <c r="C46" s="64">
        <f t="shared" si="0"/>
        <v>84.883060921383105</v>
      </c>
      <c r="D46" s="64">
        <f t="shared" si="1"/>
        <v>365.13135636511964</v>
      </c>
      <c r="E46" s="65">
        <f t="shared" si="2"/>
        <v>11.5</v>
      </c>
      <c r="F46" s="66">
        <v>12</v>
      </c>
      <c r="G46" s="67">
        <f t="shared" si="3"/>
        <v>268.74829544373654</v>
      </c>
      <c r="H46" s="96">
        <f>Mode5!AP46-Mode5!$AU$8*I46*Mode5!AO46</f>
        <v>353.13135636511964</v>
      </c>
      <c r="I46" s="64">
        <f t="shared" si="5"/>
        <v>232.03434902901571</v>
      </c>
      <c r="K46" s="34">
        <v>0.96314914209838609</v>
      </c>
      <c r="L46" s="7">
        <f>Mode3!H46</f>
        <v>416.57597927630599</v>
      </c>
    </row>
    <row r="47" spans="1:16">
      <c r="A47" s="81">
        <v>22</v>
      </c>
      <c r="B47" s="64">
        <f>Mode3!B47</f>
        <v>278.52677159887736</v>
      </c>
      <c r="C47" s="64">
        <f t="shared" si="0"/>
        <v>84.803825235233319</v>
      </c>
      <c r="D47" s="64">
        <f t="shared" si="1"/>
        <v>363.33059683411068</v>
      </c>
      <c r="E47" s="65">
        <f t="shared" si="2"/>
        <v>11.5</v>
      </c>
      <c r="F47" s="66">
        <v>12</v>
      </c>
      <c r="G47" s="67">
        <f t="shared" si="3"/>
        <v>267.02677159887736</v>
      </c>
      <c r="H47" s="96">
        <f>Mode5!AP47-Mode5!$AU$8*I47*Mode5!AO47</f>
        <v>351.33059683411068</v>
      </c>
      <c r="I47" s="64">
        <f t="shared" si="5"/>
        <v>230.5066191482677</v>
      </c>
      <c r="K47" s="34">
        <v>0.9570073324481172</v>
      </c>
      <c r="L47" s="7">
        <f>Mode3!H47</f>
        <v>413.95558610386735</v>
      </c>
    </row>
    <row r="48" spans="1:16">
      <c r="A48" s="81">
        <v>23</v>
      </c>
      <c r="B48" s="64">
        <f>Mode3!B48</f>
        <v>276.73618791094344</v>
      </c>
      <c r="C48" s="64">
        <f t="shared" si="0"/>
        <v>84.699505720640389</v>
      </c>
      <c r="D48" s="64">
        <f t="shared" si="1"/>
        <v>361.43569363158383</v>
      </c>
      <c r="E48" s="65">
        <f t="shared" si="2"/>
        <v>11.5</v>
      </c>
      <c r="F48" s="66">
        <v>12</v>
      </c>
      <c r="G48" s="67">
        <f t="shared" si="3"/>
        <v>265.23618791094344</v>
      </c>
      <c r="H48" s="96">
        <f>Mode5!AP48-Mode5!$AU$8*I48*Mode5!AO48</f>
        <v>349.43569363158383</v>
      </c>
      <c r="I48" s="64">
        <f t="shared" si="5"/>
        <v>228.91849717706512</v>
      </c>
      <c r="K48" s="34">
        <v>0.95086552279784819</v>
      </c>
      <c r="L48" s="7">
        <f>Mode3!H48</f>
        <v>411.23007446802609</v>
      </c>
    </row>
    <row r="49" spans="1:12">
      <c r="A49" s="81">
        <v>24</v>
      </c>
      <c r="B49" s="64">
        <f>Mode3!B49</f>
        <v>274.87482136184349</v>
      </c>
      <c r="C49" s="64">
        <f t="shared" si="0"/>
        <v>84.268673663349546</v>
      </c>
      <c r="D49" s="64">
        <f t="shared" si="1"/>
        <v>359.14349502519303</v>
      </c>
      <c r="E49" s="65">
        <f t="shared" si="2"/>
        <v>11.5</v>
      </c>
      <c r="F49" s="66">
        <v>12</v>
      </c>
      <c r="G49" s="67">
        <f t="shared" si="3"/>
        <v>263.37482136184349</v>
      </c>
      <c r="H49" s="96">
        <f>Mode5!AP49-Mode5!$AU$8*I49*Mode5!AO49</f>
        <v>347.14349502519303</v>
      </c>
      <c r="I49" s="64">
        <f t="shared" si="5"/>
        <v>228.38935893461684</v>
      </c>
      <c r="K49" s="34">
        <v>0.94472371314757919</v>
      </c>
      <c r="L49" s="7">
        <f>Mode3!H49</f>
        <v>408.39682170116362</v>
      </c>
    </row>
    <row r="50" spans="1:12">
      <c r="A50" s="81">
        <v>25</v>
      </c>
      <c r="B50" s="64">
        <f>Mode3!B50</f>
        <v>274.25464215508083</v>
      </c>
      <c r="C50" s="64">
        <f t="shared" si="0"/>
        <v>84.868918008938749</v>
      </c>
      <c r="D50" s="64">
        <f t="shared" si="1"/>
        <v>359.12356016401958</v>
      </c>
      <c r="E50" s="65">
        <f t="shared" si="2"/>
        <v>11.5</v>
      </c>
      <c r="F50" s="66">
        <v>12</v>
      </c>
      <c r="G50" s="67">
        <f t="shared" si="3"/>
        <v>262.75464215508083</v>
      </c>
      <c r="H50" s="96">
        <f>Mode5!AP50-Mode5!$AU$8*I50*Mode5!AO50</f>
        <v>347.12356016401958</v>
      </c>
      <c r="I50" s="64">
        <f t="shared" si="5"/>
        <v>226.41586579856749</v>
      </c>
      <c r="K50" s="34">
        <v>0.93858190349731019</v>
      </c>
      <c r="L50" s="7">
        <f>Mode3!H50</f>
        <v>407.45282469296524</v>
      </c>
    </row>
    <row r="51" spans="1:12">
      <c r="A51" s="81">
        <v>26</v>
      </c>
      <c r="B51" s="64">
        <f>Mode3!B51</f>
        <v>271.94159934418201</v>
      </c>
      <c r="C51" s="64">
        <f t="shared" si="0"/>
        <v>84.510404106907004</v>
      </c>
      <c r="D51" s="64">
        <f t="shared" si="1"/>
        <v>356.45200345108901</v>
      </c>
      <c r="E51" s="65">
        <f t="shared" si="2"/>
        <v>11.5</v>
      </c>
      <c r="F51" s="66">
        <v>12</v>
      </c>
      <c r="G51" s="67">
        <f t="shared" si="3"/>
        <v>260.44159934418201</v>
      </c>
      <c r="H51" s="96">
        <f>Mode5!AP51-Mode5!$AU$8*I51*Mode5!AO51</f>
        <v>344.45200345108901</v>
      </c>
      <c r="I51" s="64">
        <f t="shared" si="5"/>
        <v>224.69915020124486</v>
      </c>
      <c r="K51" s="34">
        <v>0.9324400938470413</v>
      </c>
      <c r="L51" s="7">
        <f>Mode3!H51</f>
        <v>403.93205929239468</v>
      </c>
    </row>
    <row r="52" spans="1:12">
      <c r="A52" s="81">
        <v>27</v>
      </c>
      <c r="B52" s="64">
        <f>Mode3!B52</f>
        <v>269.92951397220349</v>
      </c>
      <c r="C52" s="64">
        <f t="shared" si="0"/>
        <v>84.320742703646033</v>
      </c>
      <c r="D52" s="64">
        <f t="shared" si="1"/>
        <v>354.25025667584953</v>
      </c>
      <c r="E52" s="65">
        <f t="shared" si="2"/>
        <v>11.5</v>
      </c>
      <c r="F52" s="66">
        <v>12</v>
      </c>
      <c r="G52" s="67">
        <f t="shared" si="3"/>
        <v>258.42951397220349</v>
      </c>
      <c r="H52" s="96">
        <f>Mode5!AP52-Mode5!$AU$8*I52*Mode5!AO52</f>
        <v>342.25025667584953</v>
      </c>
      <c r="I52" s="64">
        <f t="shared" si="5"/>
        <v>222.91513188077445</v>
      </c>
      <c r="K52" s="34">
        <v>0.92629828419677229</v>
      </c>
      <c r="L52" s="7">
        <f>Mode3!H52</f>
        <v>400.86939200094781</v>
      </c>
    </row>
    <row r="53" spans="1:12">
      <c r="A53" s="81">
        <v>28</v>
      </c>
      <c r="B53" s="64">
        <f>Mode3!B53</f>
        <v>267.83854609636046</v>
      </c>
      <c r="C53" s="64">
        <f t="shared" si="0"/>
        <v>84.102032555819108</v>
      </c>
      <c r="D53" s="64">
        <f t="shared" si="1"/>
        <v>351.94057865217957</v>
      </c>
      <c r="E53" s="65">
        <f t="shared" si="2"/>
        <v>11.5</v>
      </c>
      <c r="F53" s="66">
        <v>12</v>
      </c>
      <c r="G53" s="67">
        <f t="shared" si="3"/>
        <v>256.33854609636046</v>
      </c>
      <c r="H53" s="96">
        <f>Mode5!AP53-Mode5!$AU$8*I53*Mode5!AO53</f>
        <v>339.94057865217957</v>
      </c>
      <c r="I53" s="64">
        <f t="shared" si="5"/>
        <v>221.06082925526027</v>
      </c>
      <c r="K53" s="34">
        <v>0.92015647454650329</v>
      </c>
      <c r="L53" s="7">
        <f>Mode3!H53</f>
        <v>397.68665482190187</v>
      </c>
    </row>
    <row r="54" spans="1:12">
      <c r="A54" s="81">
        <v>29</v>
      </c>
      <c r="B54" s="64">
        <f>Mode3!B54</f>
        <v>265.66520113821053</v>
      </c>
      <c r="C54" s="64">
        <f t="shared" si="0"/>
        <v>83.852919676046668</v>
      </c>
      <c r="D54" s="64">
        <f t="shared" si="1"/>
        <v>349.5181208142572</v>
      </c>
      <c r="E54" s="65">
        <f t="shared" si="2"/>
        <v>11.5</v>
      </c>
      <c r="F54" s="66">
        <v>12</v>
      </c>
      <c r="G54" s="67">
        <f t="shared" si="3"/>
        <v>254.16520113821053</v>
      </c>
      <c r="H54" s="96">
        <f>Mode5!AP54-Mode5!$AU$8*I54*Mode5!AO54</f>
        <v>337.5181208142572</v>
      </c>
      <c r="I54" s="64">
        <f t="shared" si="5"/>
        <v>219.13301162280504</v>
      </c>
      <c r="K54" s="34">
        <v>0.91401466489623429</v>
      </c>
      <c r="L54" s="7">
        <f>Mode3!H54</f>
        <v>394.37852853210552</v>
      </c>
    </row>
    <row r="55" spans="1:12">
      <c r="A55" s="81">
        <v>30</v>
      </c>
      <c r="B55" s="64">
        <f>Mode3!B55</f>
        <v>263.40569253692854</v>
      </c>
      <c r="C55" s="64">
        <f t="shared" si="0"/>
        <v>83.58390242269553</v>
      </c>
      <c r="D55" s="64">
        <f t="shared" si="1"/>
        <v>346.98959495962407</v>
      </c>
      <c r="E55" s="65">
        <f t="shared" si="2"/>
        <v>11.5</v>
      </c>
      <c r="F55" s="66">
        <v>12</v>
      </c>
      <c r="G55" s="67">
        <f t="shared" si="3"/>
        <v>251.90569253692854</v>
      </c>
      <c r="H55" s="96">
        <f>Mode5!AP55-Mode5!$AU$8*I55*Mode5!AO55</f>
        <v>334.98959495962407</v>
      </c>
      <c r="I55" s="64">
        <f t="shared" si="5"/>
        <v>217.08178285039253</v>
      </c>
      <c r="K55" s="34">
        <v>0.90787285524596539</v>
      </c>
      <c r="L55" s="7">
        <f>Mode3!H55</f>
        <v>390.93924947155324</v>
      </c>
    </row>
    <row r="56" spans="1:12">
      <c r="A56" s="81">
        <v>31</v>
      </c>
      <c r="B56" s="64">
        <f>Mode3!B56</f>
        <v>261.00153927241013</v>
      </c>
      <c r="C56" s="64">
        <f t="shared" si="0"/>
        <v>83.252737832219168</v>
      </c>
      <c r="D56" s="64">
        <f t="shared" si="1"/>
        <v>344.2542771046293</v>
      </c>
      <c r="E56" s="65">
        <f t="shared" si="2"/>
        <v>11.5</v>
      </c>
      <c r="F56" s="66">
        <v>12</v>
      </c>
      <c r="G56" s="67">
        <f t="shared" si="3"/>
        <v>249.50153927241013</v>
      </c>
      <c r="H56" s="96">
        <f>Mode5!AP56-Mode5!$AU$8*I56*Mode5!AO56</f>
        <v>332.2542771046293</v>
      </c>
      <c r="I56" s="64">
        <f t="shared" si="5"/>
        <v>214.95035678363809</v>
      </c>
      <c r="K56" s="34">
        <v>0.90173104559569639</v>
      </c>
      <c r="L56" s="7">
        <f>Mode3!H56</f>
        <v>387.27980158260743</v>
      </c>
    </row>
    <row r="57" spans="1:12">
      <c r="A57" s="81">
        <v>32</v>
      </c>
      <c r="B57" s="64">
        <f>Mode3!B57</f>
        <v>258.50339035533921</v>
      </c>
      <c r="C57" s="64">
        <f t="shared" si="0"/>
        <v>82.886358932003475</v>
      </c>
      <c r="D57" s="64">
        <f t="shared" si="1"/>
        <v>341.38974928734268</v>
      </c>
      <c r="E57" s="65">
        <f t="shared" si="2"/>
        <v>11.5</v>
      </c>
      <c r="F57" s="66">
        <v>12</v>
      </c>
      <c r="G57" s="67">
        <f t="shared" si="3"/>
        <v>247.00339035533921</v>
      </c>
      <c r="H57" s="96">
        <f>Mode5!AP57-Mode5!$AU$8*I57*Mode5!AO57</f>
        <v>329.38974928734268</v>
      </c>
      <c r="I57" s="64">
        <f t="shared" si="5"/>
        <v>212.73516660319152</v>
      </c>
      <c r="K57" s="34">
        <v>0.89558923594542739</v>
      </c>
      <c r="L57" s="7">
        <f>Mode3!H57</f>
        <v>383.47727954053659</v>
      </c>
    </row>
    <row r="58" spans="1:12">
      <c r="A58" s="81">
        <v>33</v>
      </c>
      <c r="B58" s="64">
        <f>Mode3!B58</f>
        <v>255.90706527669576</v>
      </c>
      <c r="C58" s="64">
        <f t="shared" si="0"/>
        <v>82.483087365950638</v>
      </c>
      <c r="D58" s="64">
        <f t="shared" si="1"/>
        <v>338.3901526426464</v>
      </c>
      <c r="E58" s="65">
        <f t="shared" si="2"/>
        <v>11.5</v>
      </c>
      <c r="F58" s="66">
        <v>12</v>
      </c>
      <c r="G58" s="67">
        <f t="shared" si="3"/>
        <v>244.40706527669576</v>
      </c>
      <c r="H58" s="96">
        <f>Mode5!AP58-Mode5!$AU$8*I58*Mode5!AO58</f>
        <v>326.3901526426464</v>
      </c>
      <c r="I58" s="64">
        <f t="shared" si="5"/>
        <v>210.43247934976333</v>
      </c>
      <c r="K58" s="34">
        <v>0.88944742629515838</v>
      </c>
      <c r="L58" s="7">
        <f>Mode3!H58</f>
        <v>379.52532004266232</v>
      </c>
    </row>
    <row r="59" spans="1:12">
      <c r="A59" s="81">
        <v>34</v>
      </c>
      <c r="B59" s="64">
        <f>Mode3!B59</f>
        <v>253.2081888022872</v>
      </c>
      <c r="C59" s="64">
        <f t="shared" si="0"/>
        <v>82.041149570920396</v>
      </c>
      <c r="D59" s="64">
        <f t="shared" si="1"/>
        <v>335.24933837320759</v>
      </c>
      <c r="E59" s="65">
        <f t="shared" si="2"/>
        <v>11.5</v>
      </c>
      <c r="F59" s="66">
        <v>12</v>
      </c>
      <c r="G59" s="67">
        <f t="shared" si="3"/>
        <v>241.7081888022872</v>
      </c>
      <c r="H59" s="96">
        <f>Mode5!AP59-Mode5!$AU$8*I59*Mode5!AO59</f>
        <v>323.24933837320759</v>
      </c>
      <c r="I59" s="64">
        <f t="shared" si="5"/>
        <v>208.03843245454016</v>
      </c>
      <c r="K59" s="34">
        <v>0.88330561664488938</v>
      </c>
      <c r="L59" s="7">
        <f>Mode3!H59</f>
        <v>375.41726338813839</v>
      </c>
    </row>
    <row r="60" spans="1:12">
      <c r="A60" s="81">
        <v>35</v>
      </c>
      <c r="B60" s="64">
        <f>Mode3!B60</f>
        <v>250.40223378840963</v>
      </c>
      <c r="C60" s="64">
        <f t="shared" si="0"/>
        <v>81.518249176984881</v>
      </c>
      <c r="D60" s="64">
        <f t="shared" si="1"/>
        <v>331.92048296539451</v>
      </c>
      <c r="E60" s="65">
        <f t="shared" si="2"/>
        <v>11.5</v>
      </c>
      <c r="F60" s="66">
        <v>12</v>
      </c>
      <c r="G60" s="67">
        <f t="shared" si="3"/>
        <v>238.90223378840963</v>
      </c>
      <c r="H60" s="96">
        <f>Mode5!AP60-Mode5!$AU$8*I60*Mode5!AO60</f>
        <v>319.92048296539451</v>
      </c>
      <c r="I60" s="64">
        <f t="shared" si="5"/>
        <v>205.71146746747658</v>
      </c>
      <c r="K60" s="34">
        <v>0.87716380699462049</v>
      </c>
      <c r="L60" s="7">
        <f>Mode3!H60</f>
        <v>371.1462186492048</v>
      </c>
    </row>
    <row r="61" spans="1:12">
      <c r="A61" s="81">
        <v>36</v>
      </c>
      <c r="B61" s="64">
        <f>Mode3!B61</f>
        <v>247.67490247105056</v>
      </c>
      <c r="C61" s="64">
        <f t="shared" si="0"/>
        <v>81.034324262146384</v>
      </c>
      <c r="D61" s="64">
        <f t="shared" si="1"/>
        <v>328.70922673319694</v>
      </c>
      <c r="E61" s="65">
        <f t="shared" si="2"/>
        <v>11.5</v>
      </c>
      <c r="F61" s="66">
        <v>12</v>
      </c>
      <c r="G61" s="67">
        <f t="shared" si="3"/>
        <v>236.17490247105056</v>
      </c>
      <c r="H61" s="96">
        <f>Mode5!AP61-Mode5!$AU$8*I61*Mode5!AO61</f>
        <v>316.70922673319694</v>
      </c>
      <c r="I61" s="64">
        <f t="shared" si="5"/>
        <v>203.36008504598189</v>
      </c>
      <c r="K61" s="34">
        <v>0.87102199734435148</v>
      </c>
      <c r="L61" s="7">
        <f>Mode3!H61</f>
        <v>366.9948498579289</v>
      </c>
    </row>
    <row r="62" spans="1:12">
      <c r="A62" s="81">
        <v>37</v>
      </c>
      <c r="B62" s="64">
        <f>Mode3!B62</f>
        <v>244.91895257370257</v>
      </c>
      <c r="C62" s="64">
        <f t="shared" si="0"/>
        <v>80.554669038119386</v>
      </c>
      <c r="D62" s="64">
        <f t="shared" si="1"/>
        <v>325.47362161182195</v>
      </c>
      <c r="E62" s="65">
        <f t="shared" si="2"/>
        <v>11.5</v>
      </c>
      <c r="F62" s="66">
        <v>12</v>
      </c>
      <c r="G62" s="67">
        <f t="shared" si="3"/>
        <v>233.41895257370257</v>
      </c>
      <c r="H62" s="96">
        <f>Mode5!AP62-Mode5!$AU$8*I62*Mode5!AO62</f>
        <v>313.47362161182195</v>
      </c>
      <c r="I62" s="64">
        <f t="shared" si="5"/>
        <v>200.8970577513748</v>
      </c>
      <c r="K62" s="34">
        <v>0.86488018769408248</v>
      </c>
      <c r="L62" s="7">
        <f>Mode3!H62</f>
        <v>362.79991969988384</v>
      </c>
    </row>
    <row r="63" spans="1:12">
      <c r="A63" s="81">
        <v>38</v>
      </c>
      <c r="B63" s="64">
        <f>Mode3!B63</f>
        <v>242.03214872687326</v>
      </c>
      <c r="C63" s="64">
        <f t="shared" si="0"/>
        <v>80.026468780153863</v>
      </c>
      <c r="D63" s="64">
        <f t="shared" si="1"/>
        <v>322.05861750702712</v>
      </c>
      <c r="E63" s="65">
        <f t="shared" si="2"/>
        <v>11.5</v>
      </c>
      <c r="F63" s="66">
        <v>12</v>
      </c>
      <c r="G63" s="67">
        <f t="shared" si="3"/>
        <v>230.53214872687326</v>
      </c>
      <c r="H63" s="96">
        <f>Mode5!AP63-Mode5!$AU$8*I63*Mode5!AO63</f>
        <v>310.05861750702712</v>
      </c>
      <c r="I63" s="64">
        <f t="shared" si="5"/>
        <v>198.31766827207409</v>
      </c>
      <c r="K63" s="34">
        <v>0.85873837804381359</v>
      </c>
      <c r="L63" s="7">
        <f>Mode3!H63</f>
        <v>358.40581205334138</v>
      </c>
    </row>
    <row r="64" spans="1:12">
      <c r="A64" s="81">
        <v>39</v>
      </c>
      <c r="B64" s="64">
        <f>Mode3!B64</f>
        <v>239.00896198118832</v>
      </c>
      <c r="C64" s="64">
        <f t="shared" si="0"/>
        <v>79.447306153510709</v>
      </c>
      <c r="D64" s="64">
        <f t="shared" si="1"/>
        <v>318.45626813469903</v>
      </c>
      <c r="E64" s="65">
        <f t="shared" si="2"/>
        <v>11.5</v>
      </c>
      <c r="F64" s="66">
        <v>12</v>
      </c>
      <c r="G64" s="67">
        <f t="shared" si="3"/>
        <v>227.50896198118832</v>
      </c>
      <c r="H64" s="96">
        <f>Mode5!AP64-Mode5!$AU$8*I64*Mode5!AO64</f>
        <v>306.45626813469903</v>
      </c>
      <c r="I64" s="64">
        <f t="shared" si="5"/>
        <v>195.61746205640307</v>
      </c>
      <c r="K64" s="34">
        <v>0.85259656839354458</v>
      </c>
      <c r="L64" s="7">
        <f>Mode3!H64</f>
        <v>353.80411110620895</v>
      </c>
    </row>
    <row r="65" spans="1:12">
      <c r="A65" s="81">
        <v>40</v>
      </c>
      <c r="B65" s="64">
        <f>Mode3!B65</f>
        <v>235.84417135637517</v>
      </c>
      <c r="C65" s="64">
        <f t="shared" si="0"/>
        <v>78.775956372000053</v>
      </c>
      <c r="D65" s="64">
        <f t="shared" si="1"/>
        <v>314.62012772837522</v>
      </c>
      <c r="E65" s="65">
        <f t="shared" si="2"/>
        <v>11.5</v>
      </c>
      <c r="F65" s="66">
        <v>12</v>
      </c>
      <c r="G65" s="67">
        <f>B65-E65</f>
        <v>224.34417135637517</v>
      </c>
      <c r="H65" s="96">
        <f>Mode5!AP65-Mode5!$AU$8*I65*Mode5!AO65</f>
        <v>302.62012772837522</v>
      </c>
      <c r="I65" s="64">
        <f>(I64*L65)/L64</f>
        <v>192.95402066189334</v>
      </c>
      <c r="K65" s="34">
        <v>0.84645475874327558</v>
      </c>
      <c r="L65" s="7">
        <f>Mode3!H65</f>
        <v>348.98686981720641</v>
      </c>
    </row>
  </sheetData>
  <mergeCells count="4">
    <mergeCell ref="A1:I1"/>
    <mergeCell ref="B3:D3"/>
    <mergeCell ref="E3:F3"/>
    <mergeCell ref="G3:H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tabSelected="1" workbookViewId="0">
      <selection activeCell="E12" sqref="E12"/>
    </sheetView>
  </sheetViews>
  <sheetFormatPr defaultRowHeight="16.5"/>
  <cols>
    <col min="12" max="12" width="9.875" customWidth="1"/>
  </cols>
  <sheetData>
    <row r="1" spans="1:13">
      <c r="A1" s="130" t="s">
        <v>51</v>
      </c>
      <c r="B1" s="131"/>
      <c r="C1" s="131"/>
      <c r="D1" s="131"/>
      <c r="E1" s="132"/>
      <c r="I1" s="23" t="s">
        <v>47</v>
      </c>
      <c r="J1" s="23"/>
      <c r="K1" s="23" t="s">
        <v>52</v>
      </c>
      <c r="L1" s="23"/>
      <c r="M1" s="23"/>
    </row>
    <row r="2" spans="1:13">
      <c r="A2" s="35"/>
      <c r="B2" s="36"/>
      <c r="C2" s="36"/>
      <c r="D2" s="36"/>
      <c r="E2" s="37" t="s">
        <v>53</v>
      </c>
      <c r="I2" s="23"/>
      <c r="J2" s="23"/>
      <c r="K2" s="23"/>
      <c r="L2" s="23"/>
      <c r="M2" s="23" t="s">
        <v>54</v>
      </c>
    </row>
    <row r="3" spans="1:13">
      <c r="A3" s="38" t="s">
        <v>55</v>
      </c>
      <c r="B3" s="39" t="s">
        <v>56</v>
      </c>
      <c r="C3" s="39" t="s">
        <v>45</v>
      </c>
      <c r="D3" s="39" t="s">
        <v>30</v>
      </c>
      <c r="E3" s="40" t="s">
        <v>57</v>
      </c>
      <c r="I3" s="24" t="s">
        <v>55</v>
      </c>
      <c r="J3" s="25" t="s">
        <v>56</v>
      </c>
      <c r="K3" s="24" t="s">
        <v>45</v>
      </c>
      <c r="L3" s="25" t="s">
        <v>30</v>
      </c>
      <c r="M3" s="25" t="s">
        <v>57</v>
      </c>
    </row>
    <row r="4" spans="1:13">
      <c r="A4" s="41" t="s">
        <v>6</v>
      </c>
      <c r="B4" s="42">
        <v>450.4</v>
      </c>
      <c r="C4" s="39" t="s">
        <v>58</v>
      </c>
      <c r="D4" s="39" t="s">
        <v>58</v>
      </c>
      <c r="E4" s="40" t="s">
        <v>58</v>
      </c>
      <c r="I4" s="26" t="s">
        <v>6</v>
      </c>
      <c r="J4" s="25">
        <v>450.4</v>
      </c>
      <c r="K4" s="25" t="s">
        <v>59</v>
      </c>
      <c r="L4" s="25" t="s">
        <v>59</v>
      </c>
      <c r="M4" s="25" t="s">
        <v>59</v>
      </c>
    </row>
    <row r="5" spans="1:13">
      <c r="A5" s="38" t="s">
        <v>38</v>
      </c>
      <c r="B5" s="42">
        <v>449</v>
      </c>
      <c r="C5" s="39">
        <v>7.69</v>
      </c>
      <c r="D5" s="39">
        <f>B4-B5</f>
        <v>1.3999999999999773</v>
      </c>
      <c r="E5" s="40">
        <f>D5/C5</f>
        <v>0.18205461638491252</v>
      </c>
      <c r="F5">
        <v>0.18205461638491299</v>
      </c>
      <c r="I5" s="26" t="s">
        <v>7</v>
      </c>
      <c r="J5" s="25">
        <v>449</v>
      </c>
      <c r="K5" s="25">
        <v>7.69</v>
      </c>
      <c r="L5" s="28">
        <f>$J$4-J5</f>
        <v>1.3999999999999773</v>
      </c>
      <c r="M5" s="25">
        <f>L5/K5</f>
        <v>0.18205461638491252</v>
      </c>
    </row>
    <row r="6" spans="1:13">
      <c r="A6" s="41" t="s">
        <v>8</v>
      </c>
      <c r="B6" s="39">
        <v>436.6</v>
      </c>
      <c r="C6" s="39">
        <v>58.121000000000002</v>
      </c>
      <c r="D6" s="39">
        <f>B4-B6</f>
        <v>13.799999999999955</v>
      </c>
      <c r="E6" s="40">
        <f>D6/C6</f>
        <v>0.23743569449940563</v>
      </c>
      <c r="F6">
        <v>0.23743569449940563</v>
      </c>
      <c r="I6" s="26" t="s">
        <v>8</v>
      </c>
      <c r="J6" s="27">
        <v>436.15385833003563</v>
      </c>
      <c r="K6" s="25">
        <v>60</v>
      </c>
      <c r="L6" s="28">
        <f>$J$4-J6</f>
        <v>14.246141669964345</v>
      </c>
      <c r="M6" s="25">
        <f>L6/K6</f>
        <v>0.23743569449940574</v>
      </c>
    </row>
    <row r="7" spans="1:13">
      <c r="A7" s="41" t="s">
        <v>9</v>
      </c>
      <c r="B7" s="39">
        <v>419.8</v>
      </c>
      <c r="C7" s="39">
        <v>116.242</v>
      </c>
      <c r="D7" s="39">
        <f>B4-B7</f>
        <v>30.599999999999966</v>
      </c>
      <c r="E7" s="40">
        <f>D7/C7</f>
        <v>0.26324392216238507</v>
      </c>
      <c r="F7">
        <v>0.26324392216238507</v>
      </c>
      <c r="I7" s="26" t="s">
        <v>9</v>
      </c>
      <c r="J7" s="27">
        <v>418.81072934051377</v>
      </c>
      <c r="K7" s="25">
        <v>120</v>
      </c>
      <c r="L7" s="28">
        <f t="shared" ref="L7:L9" si="0">$J$4-J7</f>
        <v>31.589270659486203</v>
      </c>
      <c r="M7" s="25">
        <f t="shared" ref="M7:M9" si="1">L7/K7</f>
        <v>0.26324392216238501</v>
      </c>
    </row>
    <row r="8" spans="1:13">
      <c r="A8" s="41" t="s">
        <v>10</v>
      </c>
      <c r="B8" s="39">
        <v>402.6</v>
      </c>
      <c r="C8" s="39">
        <v>174.364</v>
      </c>
      <c r="D8" s="39">
        <f>B4-B8</f>
        <v>47.799999999999955</v>
      </c>
      <c r="E8" s="40">
        <f t="shared" ref="E7:E9" si="2">D8/C8</f>
        <v>0.27413915716546966</v>
      </c>
      <c r="F8">
        <v>0.27413915716546966</v>
      </c>
      <c r="I8" s="26" t="s">
        <v>10</v>
      </c>
      <c r="J8" s="27">
        <v>401.05495171021545</v>
      </c>
      <c r="K8" s="25">
        <v>180</v>
      </c>
      <c r="L8" s="28">
        <f t="shared" si="0"/>
        <v>49.345048289784529</v>
      </c>
      <c r="M8" s="25">
        <f t="shared" si="1"/>
        <v>0.2741391571654696</v>
      </c>
    </row>
    <row r="9" spans="1:13" ht="17.25" thickBot="1">
      <c r="A9" s="43" t="s">
        <v>11</v>
      </c>
      <c r="B9" s="44">
        <v>384.4</v>
      </c>
      <c r="C9" s="44">
        <v>232.48500000000001</v>
      </c>
      <c r="D9" s="44">
        <f>B4-B9</f>
        <v>66</v>
      </c>
      <c r="E9" s="45">
        <f t="shared" si="2"/>
        <v>0.28388928317955997</v>
      </c>
      <c r="F9">
        <v>0.28388928317955997</v>
      </c>
      <c r="I9" s="26" t="s">
        <v>11</v>
      </c>
      <c r="J9" s="27">
        <v>382.26657203690559</v>
      </c>
      <c r="K9" s="25">
        <v>240</v>
      </c>
      <c r="L9" s="28">
        <f t="shared" si="0"/>
        <v>68.133427963094391</v>
      </c>
      <c r="M9" s="25">
        <f t="shared" si="1"/>
        <v>0.28388928317955997</v>
      </c>
    </row>
    <row r="12" spans="1:13">
      <c r="I12" s="29" t="s">
        <v>60</v>
      </c>
      <c r="J12" s="23"/>
      <c r="K12" s="23" t="s">
        <v>52</v>
      </c>
      <c r="L12" s="23"/>
      <c r="M12" s="23"/>
    </row>
    <row r="13" spans="1:13">
      <c r="I13" s="23"/>
      <c r="J13" s="23"/>
      <c r="K13" s="23"/>
      <c r="L13" s="23"/>
      <c r="M13" s="23" t="s">
        <v>54</v>
      </c>
    </row>
    <row r="14" spans="1:13">
      <c r="I14" s="24" t="s">
        <v>55</v>
      </c>
      <c r="J14" s="25" t="s">
        <v>57</v>
      </c>
      <c r="K14" s="25" t="s">
        <v>44</v>
      </c>
      <c r="L14" s="30"/>
      <c r="M14" s="31"/>
    </row>
    <row r="15" spans="1:13">
      <c r="I15" s="26" t="s">
        <v>6</v>
      </c>
      <c r="J15" s="25" t="s">
        <v>59</v>
      </c>
      <c r="K15" s="25"/>
      <c r="L15" s="30"/>
      <c r="M15" s="31"/>
    </row>
    <row r="16" spans="1:13">
      <c r="I16" s="26" t="s">
        <v>7</v>
      </c>
      <c r="J16" s="27">
        <v>0.18205461638491252</v>
      </c>
      <c r="K16" s="25" t="s">
        <v>47</v>
      </c>
      <c r="L16" s="30"/>
      <c r="M16" s="31"/>
    </row>
    <row r="17" spans="9:13">
      <c r="I17" s="26" t="s">
        <v>61</v>
      </c>
      <c r="J17" s="27">
        <v>0.18999339764124024</v>
      </c>
      <c r="K17" s="25" t="s">
        <v>62</v>
      </c>
      <c r="L17" s="30"/>
      <c r="M17" s="31"/>
    </row>
    <row r="18" spans="9:13">
      <c r="I18" s="26" t="s">
        <v>8</v>
      </c>
      <c r="J18" s="27">
        <v>0.25883417644068463</v>
      </c>
      <c r="K18" s="25" t="s">
        <v>62</v>
      </c>
      <c r="L18" s="30"/>
      <c r="M18" s="31"/>
    </row>
    <row r="19" spans="9:13">
      <c r="I19" s="26" t="s">
        <v>9</v>
      </c>
      <c r="J19" s="27">
        <v>0.27517388330904236</v>
      </c>
      <c r="K19" s="25" t="s">
        <v>62</v>
      </c>
      <c r="L19" s="30"/>
      <c r="M19" s="31"/>
    </row>
    <row r="20" spans="9:13">
      <c r="I20" s="26" t="s">
        <v>10</v>
      </c>
      <c r="J20" s="27">
        <v>0.27766050876668108</v>
      </c>
      <c r="K20" s="25" t="s">
        <v>62</v>
      </c>
      <c r="L20" s="30"/>
      <c r="M20" s="31"/>
    </row>
    <row r="21" spans="9:13">
      <c r="I21" s="26" t="s">
        <v>11</v>
      </c>
      <c r="J21" s="27">
        <v>0.28388928317955997</v>
      </c>
      <c r="K21" s="25" t="s">
        <v>47</v>
      </c>
      <c r="L21" s="30"/>
      <c r="M21" s="31"/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4:H92"/>
  <sheetViews>
    <sheetView workbookViewId="0">
      <selection activeCell="P21" sqref="P21"/>
    </sheetView>
  </sheetViews>
  <sheetFormatPr defaultRowHeight="16.5"/>
  <sheetData>
    <row r="14" spans="3:8" ht="17.25" thickBot="1"/>
    <row r="15" spans="3:8" ht="17.25" thickBot="1">
      <c r="C15" s="58">
        <v>442.40600000000001</v>
      </c>
      <c r="D15" s="59">
        <v>445.75900000000001</v>
      </c>
      <c r="E15" s="59">
        <v>435.18799999999999</v>
      </c>
      <c r="F15" s="59">
        <v>416.529</v>
      </c>
      <c r="G15" s="59">
        <v>387.67599999999999</v>
      </c>
      <c r="H15" s="32" t="s">
        <v>63</v>
      </c>
    </row>
    <row r="16" spans="3:8" ht="17.25" thickBot="1">
      <c r="C16" s="60">
        <v>441.07400000000001</v>
      </c>
      <c r="D16" s="61">
        <v>444.41699999999997</v>
      </c>
      <c r="E16" s="61">
        <v>433.87700000000001</v>
      </c>
      <c r="F16" s="61">
        <v>415.27199999999999</v>
      </c>
      <c r="G16" s="61">
        <v>386.50299999999999</v>
      </c>
      <c r="H16" s="33" t="s">
        <v>64</v>
      </c>
    </row>
    <row r="19" spans="3:7">
      <c r="C19">
        <f>C15-C16</f>
        <v>1.3319999999999936</v>
      </c>
      <c r="D19">
        <f t="shared" ref="D19:G19" si="0">D15-D16</f>
        <v>1.3420000000000414</v>
      </c>
      <c r="E19">
        <f t="shared" si="0"/>
        <v>1.3109999999999786</v>
      </c>
      <c r="F19">
        <f t="shared" si="0"/>
        <v>1.257000000000005</v>
      </c>
      <c r="G19">
        <f t="shared" si="0"/>
        <v>1.1730000000000018</v>
      </c>
    </row>
    <row r="32" spans="3:7">
      <c r="C32">
        <f>[2]Mode5!$H$5-Mode5!H5</f>
        <v>-6.1279119854717692</v>
      </c>
    </row>
    <row r="33" spans="3:3">
      <c r="C33">
        <f>[2]Mode5!$H$5-Mode5!H6</f>
        <v>-7.0084432922749897</v>
      </c>
    </row>
    <row r="34" spans="3:3">
      <c r="C34">
        <f>[2]Mode5!$H$5-Mode5!H7</f>
        <v>-7.8494449514769826</v>
      </c>
    </row>
    <row r="35" spans="3:3">
      <c r="C35">
        <f>[2]Mode5!$H$5-Mode5!H8</f>
        <v>-8.6681195994611926</v>
      </c>
    </row>
    <row r="36" spans="3:3">
      <c r="C36">
        <f>[2]Mode5!$H$5-Mode5!H9</f>
        <v>-9.4089840385796037</v>
      </c>
    </row>
    <row r="37" spans="3:3">
      <c r="C37">
        <f>[2]Mode5!$H$5-Mode5!H10</f>
        <v>-10.090463732368448</v>
      </c>
    </row>
    <row r="38" spans="3:3">
      <c r="C38">
        <f>[2]Mode5!$H$5-Mode5!H11</f>
        <v>-10.803523709869239</v>
      </c>
    </row>
    <row r="39" spans="3:3">
      <c r="C39">
        <f>[2]Mode5!$H$5-Mode5!H12</f>
        <v>-11.417465068637682</v>
      </c>
    </row>
    <row r="40" spans="3:3">
      <c r="C40">
        <f>[2]Mode5!$H$5-Mode5!H13</f>
        <v>-11.877817756625802</v>
      </c>
    </row>
    <row r="41" spans="3:3">
      <c r="C41">
        <f>[2]Mode5!$H$5-Mode5!H14</f>
        <v>-12.502097837921212</v>
      </c>
    </row>
    <row r="42" spans="3:3">
      <c r="C42">
        <f>[2]Mode5!$H$5-Mode5!H15</f>
        <v>-13.018040250288152</v>
      </c>
    </row>
    <row r="43" spans="3:3">
      <c r="C43">
        <f>[2]Mode5!$H$5-Mode5!H16</f>
        <v>-13.532388088029791</v>
      </c>
    </row>
    <row r="44" spans="3:3">
      <c r="C44">
        <f>[2]Mode5!$H$5-Mode5!H17</f>
        <v>-13.990596459156507</v>
      </c>
    </row>
    <row r="45" spans="3:3">
      <c r="C45">
        <f>[2]Mode5!$H$5-Mode5!H18</f>
        <v>-14.391862817306901</v>
      </c>
    </row>
    <row r="46" spans="3:3">
      <c r="C46">
        <f>[2]Mode5!$H$5-Mode5!H19</f>
        <v>-14.789478620800139</v>
      </c>
    </row>
    <row r="47" spans="3:3">
      <c r="C47">
        <f>[2]Mode5!$H$5-Mode5!H20</f>
        <v>-15.074529303805491</v>
      </c>
    </row>
    <row r="48" spans="3:3">
      <c r="C48">
        <f>[2]Mode5!$H$5-Mode5!H21</f>
        <v>-15.316805348605953</v>
      </c>
    </row>
    <row r="49" spans="3:3">
      <c r="C49">
        <f>[2]Mode5!$H$5-Mode5!H22</f>
        <v>-15.508015727176769</v>
      </c>
    </row>
    <row r="50" spans="3:3">
      <c r="C50">
        <f>[2]Mode5!$H$5-Mode5!H23</f>
        <v>-17.084906914875035</v>
      </c>
    </row>
    <row r="51" spans="3:3">
      <c r="C51">
        <f>[2]Mode5!$H$5-Mode5!H24</f>
        <v>-18.172873570515264</v>
      </c>
    </row>
    <row r="52" spans="3:3">
      <c r="C52">
        <f>[2]Mode5!$H$5-Mode5!H25</f>
        <v>-19.239938241771085</v>
      </c>
    </row>
    <row r="53" spans="3:3">
      <c r="C53">
        <f>[2]Mode5!$H$5-Mode5!H26</f>
        <v>-18.51518474261519</v>
      </c>
    </row>
    <row r="54" spans="3:3">
      <c r="C54">
        <f>[2]Mode5!$H$5-Mode5!H27</f>
        <v>-17.762435093092449</v>
      </c>
    </row>
    <row r="55" spans="3:3">
      <c r="C55">
        <f>[2]Mode5!$H$5-Mode5!H28</f>
        <v>-16.97810241606129</v>
      </c>
    </row>
    <row r="56" spans="3:3">
      <c r="C56">
        <f>[2]Mode5!$H$5-Mode5!H29</f>
        <v>-16.158633689918133</v>
      </c>
    </row>
    <row r="57" spans="3:3">
      <c r="C57">
        <f>[2]Mode5!$H$5-Mode5!H30</f>
        <v>-15.300543773571803</v>
      </c>
    </row>
    <row r="58" spans="3:3">
      <c r="C58">
        <f>[2]Mode5!$H$5-Mode5!H31</f>
        <v>-14.352443128403138</v>
      </c>
    </row>
    <row r="59" spans="3:3">
      <c r="C59">
        <f>[2]Mode5!$H$5-Mode5!H32</f>
        <v>-13.346057211098866</v>
      </c>
    </row>
    <row r="60" spans="3:3">
      <c r="C60">
        <f>[2]Mode5!$H$5-Mode5!H33</f>
        <v>-12.306163153550472</v>
      </c>
    </row>
    <row r="61" spans="3:3">
      <c r="C61">
        <f>[2]Mode5!$H$5-Mode5!H34</f>
        <v>-11.211185759959221</v>
      </c>
    </row>
    <row r="62" spans="3:3">
      <c r="C62">
        <f>[2]Mode5!$H$5-Mode5!H35</f>
        <v>-10.058544233290831</v>
      </c>
    </row>
    <row r="63" spans="3:3">
      <c r="C63">
        <f>[2]Mode5!$H$5-Mode5!H36</f>
        <v>-8.9889603836172114</v>
      </c>
    </row>
    <row r="64" spans="3:3">
      <c r="C64">
        <f>[2]Mode5!$H$5-Mode5!H37</f>
        <v>-7.8559682788194891</v>
      </c>
    </row>
    <row r="65" spans="3:3">
      <c r="C65">
        <f>[2]Mode5!$H$5-Mode5!H38</f>
        <v>-6.396859986617244</v>
      </c>
    </row>
    <row r="66" spans="3:3">
      <c r="C66">
        <f>[2]Mode5!$H$5-Mode5!H39</f>
        <v>-4.8037816399029794</v>
      </c>
    </row>
    <row r="67" spans="3:3">
      <c r="C67">
        <f>[2]Mode5!$H$5-Mode5!H40</f>
        <v>-3.08793694776557</v>
      </c>
    </row>
    <row r="68" spans="3:3">
      <c r="C68">
        <f>[2]Mode5!$H$5-Mode5!H41</f>
        <v>-1.447864706490634</v>
      </c>
    </row>
    <row r="69" spans="3:3">
      <c r="C69">
        <f>[2]Mode5!$H$5-Mode5!H42</f>
        <v>-4.3700264025062552E-2</v>
      </c>
    </row>
    <row r="70" spans="3:3">
      <c r="C70">
        <f>[2]Mode5!$H$5-Mode5!H43</f>
        <v>1.6127965843796233</v>
      </c>
    </row>
    <row r="71" spans="3:3">
      <c r="C71">
        <f>[2]Mode5!$H$5-Mode5!H44</f>
        <v>3.3597942898506403</v>
      </c>
    </row>
    <row r="72" spans="3:3">
      <c r="C72">
        <f>[2]Mode5!$H$5-Mode5!H45</f>
        <v>5.1984402978799835</v>
      </c>
    </row>
    <row r="73" spans="3:3">
      <c r="C73">
        <f>[2]Mode5!$H$5-Mode5!H46</f>
        <v>7.1302328821400351</v>
      </c>
    </row>
    <row r="74" spans="3:3">
      <c r="C74">
        <f>[2]Mode5!$H$5-Mode5!H47</f>
        <v>9.1570134502313749</v>
      </c>
    </row>
    <row r="75" spans="3:3">
      <c r="C75">
        <f>[2]Mode5!$H$5-Mode5!H48</f>
        <v>11.280964083241486</v>
      </c>
    </row>
    <row r="76" spans="3:3">
      <c r="C76">
        <f>[2]Mode5!$H$5-Mode5!H49</f>
        <v>13.722363035111357</v>
      </c>
    </row>
    <row r="77" spans="3:3">
      <c r="C77">
        <f>[2]Mode5!$H$5-Mode5!H50</f>
        <v>13.997115993349325</v>
      </c>
    </row>
    <row r="78" spans="3:3">
      <c r="C78">
        <f>[2]Mode5!$H$5-Mode5!H51</f>
        <v>16.902849317119092</v>
      </c>
    </row>
    <row r="79" spans="3:3">
      <c r="C79">
        <f>[2]Mode5!$H$5-Mode5!H52</f>
        <v>19.342002340812769</v>
      </c>
    </row>
    <row r="80" spans="3:3">
      <c r="C80">
        <f>[2]Mode5!$H$5-Mode5!H53</f>
        <v>21.892433947251959</v>
      </c>
    </row>
    <row r="81" spans="3:3">
      <c r="C81">
        <f>[2]Mode5!$H$5-Mode5!H54</f>
        <v>24.559122490071445</v>
      </c>
    </row>
    <row r="82" spans="3:3">
      <c r="C82">
        <f>[2]Mode5!$H$5-Mode5!H55</f>
        <v>27.338796386613751</v>
      </c>
    </row>
    <row r="83" spans="3:3">
      <c r="C83">
        <f>[2]Mode5!$H$5-Mode5!H56</f>
        <v>30.328951059077724</v>
      </c>
    </row>
    <row r="84" spans="3:3">
      <c r="C84">
        <f>[2]Mode5!$H$5-Mode5!H57</f>
        <v>33.452138863884159</v>
      </c>
    </row>
    <row r="85" spans="3:3">
      <c r="C85">
        <f>[2]Mode5!$H$5-Mode5!H58</f>
        <v>36.714357769153594</v>
      </c>
    </row>
    <row r="86" spans="3:3">
      <c r="C86">
        <f>[2]Mode5!$H$5-Mode5!H59</f>
        <v>40.121897458263618</v>
      </c>
    </row>
    <row r="87" spans="3:3">
      <c r="C87">
        <f>[2]Mode5!$H$5-Mode5!H60</f>
        <v>43.710569690306158</v>
      </c>
    </row>
    <row r="88" spans="3:3">
      <c r="C88">
        <f>[2]Mode5!$H$5-Mode5!H61</f>
        <v>47.181070058952798</v>
      </c>
    </row>
    <row r="89" spans="3:3">
      <c r="C89">
        <f>[2]Mode5!$H$5-Mode5!H62</f>
        <v>50.681217322972259</v>
      </c>
    </row>
    <row r="90" spans="3:3">
      <c r="C90">
        <f>[2]Mode5!$H$5-Mode5!H63</f>
        <v>54.36621766356194</v>
      </c>
    </row>
    <row r="91" spans="3:3">
      <c r="C91">
        <f>[2]Mode5!$H$5-Mode5!H64</f>
        <v>58.244146841220186</v>
      </c>
    </row>
    <row r="92" spans="3:3">
      <c r="C92">
        <f>[2]Mode5!$H$5-Mode5!H65</f>
        <v>62.350834267306084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E1B33DAF8B805468A3BC622DE4574B0" ma:contentTypeVersion="3" ma:contentTypeDescription="새 문서를 만듭니다." ma:contentTypeScope="" ma:versionID="8de3b8f292af942b22949552d414e645">
  <xsd:schema xmlns:xsd="http://www.w3.org/2001/XMLSchema" xmlns:xs="http://www.w3.org/2001/XMLSchema" xmlns:p="http://schemas.microsoft.com/office/2006/metadata/properties" xmlns:ns2="88a1b192-5908-454b-88e4-fcfab3b4d21a" targetNamespace="http://schemas.microsoft.com/office/2006/metadata/properties" ma:root="true" ma:fieldsID="6120c82862467d566f5493efa23e3c99" ns2:_="">
    <xsd:import namespace="88a1b192-5908-454b-88e4-fcfab3b4d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1b192-5908-454b-88e4-fcfab3b4d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8335EA-F8F8-440D-A16C-C10A04D2305D}"/>
</file>

<file path=customXml/itemProps2.xml><?xml version="1.0" encoding="utf-8"?>
<ds:datastoreItem xmlns:ds="http://schemas.openxmlformats.org/officeDocument/2006/customXml" ds:itemID="{07BF3FFD-6F54-4458-A4BE-0732300E99B6}"/>
</file>

<file path=customXml/itemProps3.xml><?xml version="1.0" encoding="utf-8"?>
<ds:datastoreItem xmlns:ds="http://schemas.openxmlformats.org/officeDocument/2006/customXml" ds:itemID="{54B0A103-A10D-4106-8D3B-E5BA6A51907D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r1116</dc:creator>
  <cp:keywords/>
  <dc:description/>
  <cp:lastModifiedBy>정상우(Jeong Sang Woo)/정비기술팀(위례)/나래에너지서비스</cp:lastModifiedBy>
  <cp:revision/>
  <dcterms:created xsi:type="dcterms:W3CDTF">2015-11-24T07:05:41Z</dcterms:created>
  <dcterms:modified xsi:type="dcterms:W3CDTF">2026-06-24T22:21:48Z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75817b-f191-4ea0-91cb-f6b042f90394_Enabled">
    <vt:lpwstr>true</vt:lpwstr>
  </property>
  <property fmtid="{D5CDD505-2E9C-101B-9397-08002B2CF9AE}" pid="3" name="MSIP_Label_af75817b-f191-4ea0-91cb-f6b042f90394_SetDate">
    <vt:lpwstr>2021-01-28T05:12:43Z</vt:lpwstr>
  </property>
  <property fmtid="{D5CDD505-2E9C-101B-9397-08002B2CF9AE}" pid="4" name="MSIP_Label_af75817b-f191-4ea0-91cb-f6b042f90394_Method">
    <vt:lpwstr>Standard</vt:lpwstr>
  </property>
  <property fmtid="{D5CDD505-2E9C-101B-9397-08002B2CF9AE}" pid="5" name="MSIP_Label_af75817b-f191-4ea0-91cb-f6b042f90394_Name">
    <vt:lpwstr>Internal</vt:lpwstr>
  </property>
  <property fmtid="{D5CDD505-2E9C-101B-9397-08002B2CF9AE}" pid="6" name="MSIP_Label_af75817b-f191-4ea0-91cb-f6b042f90394_SiteId">
    <vt:lpwstr>815a09ae-06d8-4115-9a0e-6ea71d6976ad</vt:lpwstr>
  </property>
  <property fmtid="{D5CDD505-2E9C-101B-9397-08002B2CF9AE}" pid="7" name="MSIP_Label_af75817b-f191-4ea0-91cb-f6b042f90394_ActionId">
    <vt:lpwstr>e7c86c8f-1772-4005-9ba7-0026e89849bb</vt:lpwstr>
  </property>
  <property fmtid="{D5CDD505-2E9C-101B-9397-08002B2CF9AE}" pid="8" name="MSIP_Label_af75817b-f191-4ea0-91cb-f6b042f90394_ContentBits">
    <vt:lpwstr>0</vt:lpwstr>
  </property>
  <property fmtid="{D5CDD505-2E9C-101B-9397-08002B2CF9AE}" pid="9" name="ContentTypeId">
    <vt:lpwstr>0x0101003E1B33DAF8B805468A3BC622DE4574B0</vt:lpwstr>
  </property>
  <property fmtid="{D5CDD505-2E9C-101B-9397-08002B2CF9AE}" pid="10" name="MediaServiceImageTags">
    <vt:lpwstr/>
  </property>
</Properties>
</file>